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nwc365-my.sharepoint.com/personal/moaaahmed_nwc_com_sa/Documents/HILL/Weekly Projects Status/2026/Oct 2026/15-10-2026/"/>
    </mc:Choice>
  </mc:AlternateContent>
  <xr:revisionPtr revIDLastSave="777" documentId="13_ncr:1_{D5B23976-5BDB-4BCC-B620-1D0EACF02682}" xr6:coauthVersionLast="47" xr6:coauthVersionMax="47" xr10:uidLastSave="{6DF3F63E-CD63-4819-B7C6-F90B678F3596}"/>
  <bookViews>
    <workbookView xWindow="-108" yWindow="-108" windowWidth="23256" windowHeight="12456" tabRatio="799" firstSheet="9" activeTab="20" xr2:uid="{E5479B9A-215F-4E23-A59F-55469A4210C5}"/>
  </bookViews>
  <sheets>
    <sheet name="PIVOT" sheetId="69" state="hidden" r:id="rId1"/>
    <sheet name="Dashboard" sheetId="66" state="hidden" r:id="rId2"/>
    <sheet name="Weekly Progeress - 10%" sheetId="7" r:id="rId3"/>
    <sheet name="Sheet1" sheetId="110" state="hidden" r:id="rId4"/>
    <sheet name="Pivot - 10%" sheetId="8" state="hidden" r:id="rId5"/>
    <sheet name="Pivot - 5%" sheetId="19" state="hidden" r:id="rId6"/>
    <sheet name="موقف خطة انجاز " sheetId="95" state="hidden" r:id="rId7"/>
    <sheet name="المشاريع الجاري سحبها" sheetId="108" state="hidden" r:id="rId8"/>
    <sheet name="Weekly Progeress - 05%" sheetId="111" r:id="rId9"/>
    <sheet name="المشاريع المتوقع سحبها" sheetId="107" r:id="rId10"/>
    <sheet name="موقف التعثر" sheetId="85" r:id="rId11"/>
    <sheet name="موقف التأخر" sheetId="87" r:id="rId12"/>
    <sheet name="المشاريع المتعثرة" sheetId="81" state="hidden" r:id="rId13"/>
    <sheet name="المتوقع تعثرها 2026" sheetId="90" r:id="rId14"/>
    <sheet name="المتوقع تأخرها 2026" sheetId="91" r:id="rId15"/>
    <sheet name="ذات الأداء المنخفض" sheetId="98" r:id="rId16"/>
    <sheet name="المشاريع المتاخرة" sheetId="82" state="hidden" r:id="rId17"/>
    <sheet name="15 Oct 2026" sheetId="26" state="hidden" r:id="rId18"/>
    <sheet name="وطنية" sheetId="112" state="hidden" r:id="rId19"/>
    <sheet name="خطة معالجة الـتأخر 2026" sheetId="75" state="hidden" r:id="rId20"/>
    <sheet name="Portfolio Status" sheetId="33" r:id="rId21"/>
    <sheet name="الرسم البياني للتعثر 2" sheetId="59" state="hidden" r:id="rId22"/>
    <sheet name=" 1الرسم البياني للتعثر" sheetId="72" state="hidden" r:id="rId23"/>
    <sheet name="الرسم البياني للتأخر " sheetId="62" state="hidden" r:id="rId24"/>
    <sheet name="1" sheetId="49" state="hidden" r:id="rId25"/>
    <sheet name="2" sheetId="50" state="hidden" r:id="rId26"/>
  </sheets>
  <definedNames>
    <definedName name="_xlnm._FilterDatabase" localSheetId="17" hidden="1">'15 Oct 2026'!$T$1:$T$53</definedName>
    <definedName name="_xlnm._FilterDatabase" localSheetId="20" hidden="1">'Portfolio Status'!$A$2:$AZ$78</definedName>
    <definedName name="_xlnm._FilterDatabase" localSheetId="14" hidden="1">'المتوقع تأخرها 2026'!$A$1:$W$7</definedName>
    <definedName name="_xlnm._FilterDatabase" localSheetId="13" hidden="1">'المتوقع تعثرها 2026'!$A$1:$X$5</definedName>
    <definedName name="_xlnm._FilterDatabase" localSheetId="7" hidden="1">'المشاريع الجاري سحبها'!$A$1:$W$4</definedName>
    <definedName name="_xlnm._FilterDatabase" localSheetId="16" hidden="1">'المشاريع المتاخرة'!$C$3:$U$3</definedName>
    <definedName name="_xlnm._FilterDatabase" localSheetId="12" hidden="1">'المشاريع المتعثرة'!$A$2:$BV$3</definedName>
    <definedName name="_xlnm._FilterDatabase" localSheetId="9" hidden="1">'المشاريع المتوقع سحبها'!$A$1:$W$12</definedName>
    <definedName name="_xlnm._FilterDatabase" localSheetId="19" hidden="1">'خطة معالجة الـتأخر 2026'!$A$2:$P$49</definedName>
    <definedName name="_xlnm._FilterDatabase" localSheetId="15" hidden="1">'ذات الأداء المنخفض'!$A$1:$Y$22</definedName>
    <definedName name="_xlnm._FilterDatabase" localSheetId="11" hidden="1">'موقف التأخر'!$A$1:$V$8</definedName>
    <definedName name="_xlnm._FilterDatabase" localSheetId="10" hidden="1">'موقف التعثر'!$A$1:$V$7</definedName>
    <definedName name="A1.">#REF!</definedName>
    <definedName name="aaaa">#REF!</definedName>
    <definedName name="Ahmed06">#REF!</definedName>
    <definedName name="AWSW">#REF!</definedName>
    <definedName name="Completed" localSheetId="16">#REF!,#REF!,#REF!,#REF!,#REF!,#REF!,#REF!,#REF!,#REF!,#REF!,#REF!,#REF!,#REF!,#REF!,#REF!,#REF!,#REF!,#REF!,#REF!,#REF!,#REF!,#REF!,#REF!,#REF!,#REF!,#REF!</definedName>
    <definedName name="Completed" localSheetId="12">#REF!,#REF!,#REF!,#REF!,#REF!,#REF!,#REF!,#REF!,#REF!,#REF!,#REF!,#REF!,#REF!,#REF!,#REF!,#REF!,#REF!,#REF!,#REF!,#REF!,#REF!,#REF!,#REF!,#REF!,#REF!,#REF!</definedName>
    <definedName name="Completed">#REF!,#REF!,#REF!,#REF!,#REF!,#REF!,#REF!,#REF!,#REF!,#REF!,#REF!,#REF!,#REF!,#REF!,#REF!,#REF!,#REF!,#REF!,#REF!,#REF!,#REF!,#REF!,#REF!,#REF!,#REF!,#REF!</definedName>
    <definedName name="Consultant">#REF!</definedName>
    <definedName name="Contractor">#REF!</definedName>
    <definedName name="DFDF">#REF!</definedName>
    <definedName name="Jeddah">#REF!</definedName>
    <definedName name="NWC">#REF!</definedName>
    <definedName name="Others">#REF!</definedName>
    <definedName name="Owner">#REF!</definedName>
    <definedName name="_xlnm.Print_Area" localSheetId="17">'15 Oct 2026'!$A$1:$U$53</definedName>
    <definedName name="_xlnm.Print_Area" localSheetId="4">'Pivot - 10%'!$A$1:$W$70</definedName>
    <definedName name="_xlnm.Print_Area" localSheetId="5">'Pivot - 5%'!$A$1:$W$69</definedName>
    <definedName name="_xlnm.Print_Area" localSheetId="20">'Portfolio Status'!$A$1:$AZ$79</definedName>
    <definedName name="_xlnm.Print_Area" localSheetId="8">'Weekly Progeress - 05%'!$A$1:$BL$50</definedName>
    <definedName name="_xlnm.Print_Area" localSheetId="2">'Weekly Progeress - 10%'!$A$1:$BL$50</definedName>
    <definedName name="_xlnm.Print_Area" localSheetId="14">'المتوقع تأخرها 2026'!$A$1:$W$7</definedName>
    <definedName name="_xlnm.Print_Area" localSheetId="13">'المتوقع تعثرها 2026'!$A$1:$X$5</definedName>
    <definedName name="_xlnm.Print_Area" localSheetId="16">'المشاريع المتاخرة'!$A$1:$Z$8</definedName>
    <definedName name="_xlnm.Print_Area" localSheetId="12">'المشاريع المتعثرة'!$A$1:$X$5</definedName>
    <definedName name="_xlnm.Print_Area" localSheetId="9">'المشاريع المتوقع سحبها'!$A$1:$V$12</definedName>
    <definedName name="_xlnm.Print_Area" localSheetId="19">'خطة معالجة الـتأخر 2026'!$A$1:$AB$69</definedName>
    <definedName name="_xlnm.Print_Area" localSheetId="15">'ذات الأداء المنخفض'!$A$1:$Y$22</definedName>
    <definedName name="_xlnm.Print_Area" localSheetId="11">'موقف التأخر'!$A$1:$V$8</definedName>
    <definedName name="_xlnm.Print_Titles" localSheetId="20">'Portfolio Status'!$1:$2</definedName>
    <definedName name="_xlnm.Print_Titles" localSheetId="8">'Weekly Progeress - 05%'!$1:$2</definedName>
    <definedName name="_xlnm.Print_Titles" localSheetId="2">'Weekly Progeress - 10%'!$1:$2</definedName>
    <definedName name="_xlnm.Print_Titles" localSheetId="12">'المشاريع المتعثرة'!$1:$2</definedName>
    <definedName name="_xlnm.Print_Titles" localSheetId="19">'خطة معالجة الـتأخر 2026'!$1:$2</definedName>
    <definedName name="_xlnm.Print_Titles" localSheetId="15">'ذات الأداء المنخفض'!$1:$1</definedName>
    <definedName name="rAnswers">#REF!</definedName>
    <definedName name="rBenAnn">#REF!</definedName>
    <definedName name="rBenOT">#REF!</definedName>
    <definedName name="rBenTotal">#REF!</definedName>
    <definedName name="rCostsAnn">#REF!</definedName>
    <definedName name="rCostsOT">#REF!</definedName>
    <definedName name="rCostsTotal">#REF!</definedName>
    <definedName name="rFeatureCt">#REF!</definedName>
    <definedName name="rList">#REF!</definedName>
    <definedName name="rNetBen">#REF!</definedName>
    <definedName name="rpt_ChartSource">#REF!</definedName>
    <definedName name="rpt_CustomerName">#REF!</definedName>
    <definedName name="rpt_Features_img">#REF!</definedName>
    <definedName name="rpt_ROISumTable">#REF!</definedName>
    <definedName name="rpt_ScopeList">#REF!</definedName>
    <definedName name="rpt_TextSummary">#REF!</definedName>
    <definedName name="rROI">#REF!</definedName>
    <definedName name="rUsers">#REF!</definedName>
    <definedName name="rYears">#REF!</definedName>
    <definedName name="S">#REF!</definedName>
    <definedName name="search_box">#REF!</definedName>
    <definedName name="Slicer_PO">#N/A</definedName>
    <definedName name="Slicer_اسم_المشروع">#N/A</definedName>
    <definedName name="Slicer_الإستشاري">#N/A</definedName>
    <definedName name="Slicer_المقاول">#N/A</definedName>
    <definedName name="Stakeholder">#REF!</definedName>
    <definedName name="مكتمل_الإنجاز" localSheetId="16">#REF!,#REF!,#REF!,#REF!,#REF!,#REF!,#REF!,#REF!,#REF!,#REF!,#REF!,#REF!,#REF!,#REF!,#REF!,#REF!,#REF!,#REF!,#REF!,#REF!,#REF!,#REF!,#REF!,#REF!,#REF!,#REF!</definedName>
    <definedName name="مكتمل_الإنجاز" localSheetId="12">#REF!,#REF!,#REF!,#REF!,#REF!,#REF!,#REF!,#REF!,#REF!,#REF!,#REF!,#REF!,#REF!,#REF!,#REF!,#REF!,#REF!,#REF!,#REF!,#REF!,#REF!,#REF!,#REF!,#REF!,#REF!,#REF!</definedName>
    <definedName name="مكتمل_الإنجاز">#REF!,#REF!,#REF!,#REF!,#REF!,#REF!,#REF!,#REF!,#REF!,#REF!,#REF!,#REF!,#REF!,#REF!,#REF!,#REF!,#REF!,#REF!,#REF!,#REF!,#REF!,#REF!,#REF!,#REF!,#REF!,#REF!</definedName>
  </definedNames>
  <calcPr calcId="191029"/>
  <pivotCaches>
    <pivotCache cacheId="0" r:id="rId27"/>
    <pivotCache cacheId="1" r:id="rId28"/>
    <pivotCache cacheId="2" r:id="rId29"/>
    <pivotCache cacheId="3" r:id="rId30"/>
  </pivotCaches>
  <extLs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2" i="111" l="1"/>
  <c r="T52" i="111"/>
  <c r="S52" i="111"/>
  <c r="AC51" i="111"/>
  <c r="AC52" i="111" s="1"/>
  <c r="BM13" i="111"/>
  <c r="BG13" i="111"/>
  <c r="BF13" i="111"/>
  <c r="BH13" i="111" s="1"/>
  <c r="BI13" i="111" s="1"/>
  <c r="AT13" i="111"/>
  <c r="AQ13" i="111"/>
  <c r="AG13" i="111"/>
  <c r="AF13" i="111"/>
  <c r="Z13" i="111"/>
  <c r="AA13" i="111" s="1"/>
  <c r="W13" i="111"/>
  <c r="A13" i="111"/>
  <c r="BM12" i="111"/>
  <c r="BG12" i="111"/>
  <c r="BF12" i="111"/>
  <c r="BH12" i="111" s="1"/>
  <c r="BI12" i="111" s="1"/>
  <c r="AV12" i="111"/>
  <c r="AT12" i="111"/>
  <c r="AQ12" i="111"/>
  <c r="AG12" i="111"/>
  <c r="AL12" i="111" s="1"/>
  <c r="AF12" i="111"/>
  <c r="Z12" i="111"/>
  <c r="AA12" i="111" s="1"/>
  <c r="W12" i="111"/>
  <c r="A12" i="111"/>
  <c r="BM11" i="111"/>
  <c r="BG11" i="111"/>
  <c r="BF11" i="111"/>
  <c r="BH11" i="111" s="1"/>
  <c r="BI11" i="111" s="1"/>
  <c r="AT11" i="111"/>
  <c r="AQ11" i="111"/>
  <c r="AG11" i="111"/>
  <c r="BK11" i="111" s="1"/>
  <c r="AF11" i="111"/>
  <c r="Z11" i="111"/>
  <c r="AA11" i="111" s="1"/>
  <c r="W11" i="111"/>
  <c r="A11" i="111"/>
  <c r="BM50" i="111"/>
  <c r="BG50" i="111"/>
  <c r="BF50" i="111"/>
  <c r="BH50" i="111" s="1"/>
  <c r="BI50" i="111" s="1"/>
  <c r="AT50" i="111"/>
  <c r="AQ50" i="111"/>
  <c r="AG50" i="111"/>
  <c r="AX50" i="111" s="1"/>
  <c r="AF50" i="111"/>
  <c r="BJ50" i="111" s="1"/>
  <c r="Z50" i="111"/>
  <c r="AA50" i="111" s="1"/>
  <c r="W50" i="111"/>
  <c r="A50" i="111"/>
  <c r="BM49" i="111"/>
  <c r="BG49" i="111"/>
  <c r="BF49" i="111"/>
  <c r="BH49" i="111" s="1"/>
  <c r="BI49" i="111" s="1"/>
  <c r="AV49" i="111"/>
  <c r="AT49" i="111"/>
  <c r="AQ49" i="111"/>
  <c r="AG49" i="111"/>
  <c r="AF49" i="111"/>
  <c r="AH49" i="111" s="1"/>
  <c r="Z49" i="111"/>
  <c r="AA49" i="111" s="1"/>
  <c r="W49" i="111"/>
  <c r="A49" i="111"/>
  <c r="BM10" i="111"/>
  <c r="BG10" i="111"/>
  <c r="BF10" i="111"/>
  <c r="BH10" i="111" s="1"/>
  <c r="BI10" i="111" s="1"/>
  <c r="AV10" i="111"/>
  <c r="AT10" i="111"/>
  <c r="AQ10" i="111"/>
  <c r="AG10" i="111"/>
  <c r="AF10" i="111"/>
  <c r="Z10" i="111"/>
  <c r="AA10" i="111" s="1"/>
  <c r="W10" i="111"/>
  <c r="A10" i="111"/>
  <c r="BM48" i="111"/>
  <c r="BG48" i="111"/>
  <c r="BF48" i="111"/>
  <c r="BH48" i="111" s="1"/>
  <c r="BI48" i="111" s="1"/>
  <c r="AV48" i="111"/>
  <c r="AT48" i="111"/>
  <c r="AQ48" i="111"/>
  <c r="AG48" i="111"/>
  <c r="AX48" i="111" s="1"/>
  <c r="AF48" i="111"/>
  <c r="Z48" i="111"/>
  <c r="AA48" i="111" s="1"/>
  <c r="W48" i="111"/>
  <c r="A48" i="111"/>
  <c r="BM47" i="111"/>
  <c r="BG47" i="111"/>
  <c r="BF47" i="111"/>
  <c r="BH47" i="111" s="1"/>
  <c r="BI47" i="111" s="1"/>
  <c r="AV47" i="111"/>
  <c r="AT47" i="111"/>
  <c r="AQ47" i="111"/>
  <c r="AG47" i="111"/>
  <c r="AX47" i="111" s="1"/>
  <c r="AF47" i="111"/>
  <c r="Z47" i="111"/>
  <c r="AA47" i="111" s="1"/>
  <c r="W47" i="111"/>
  <c r="A47" i="111"/>
  <c r="BM46" i="111"/>
  <c r="BG46" i="111"/>
  <c r="BF46" i="111"/>
  <c r="BH46" i="111" s="1"/>
  <c r="BI46" i="111" s="1"/>
  <c r="AQ46" i="111"/>
  <c r="AG46" i="111"/>
  <c r="AI46" i="111" s="1"/>
  <c r="AF46" i="111"/>
  <c r="BJ46" i="111" s="1"/>
  <c r="Z46" i="111"/>
  <c r="AA46" i="111" s="1"/>
  <c r="W46" i="111"/>
  <c r="A46" i="111"/>
  <c r="BM45" i="111"/>
  <c r="BG45" i="111"/>
  <c r="BF45" i="111"/>
  <c r="BH45" i="111" s="1"/>
  <c r="BI45" i="111" s="1"/>
  <c r="AQ45" i="111"/>
  <c r="AG45" i="111"/>
  <c r="AI45" i="111" s="1"/>
  <c r="AF45" i="111"/>
  <c r="AH45" i="111" s="1"/>
  <c r="Z45" i="111"/>
  <c r="AA45" i="111" s="1"/>
  <c r="W45" i="111"/>
  <c r="A45" i="111"/>
  <c r="BM44" i="111"/>
  <c r="BG44" i="111"/>
  <c r="BF44" i="111"/>
  <c r="BH44" i="111" s="1"/>
  <c r="BI44" i="111" s="1"/>
  <c r="AT44" i="111"/>
  <c r="AQ44" i="111"/>
  <c r="AG44" i="111"/>
  <c r="BK44" i="111" s="1"/>
  <c r="AF44" i="111"/>
  <c r="AH44" i="111" s="1"/>
  <c r="Z44" i="111"/>
  <c r="AA44" i="111" s="1"/>
  <c r="W44" i="111"/>
  <c r="A44" i="111"/>
  <c r="BM43" i="111"/>
  <c r="BG43" i="111"/>
  <c r="BF43" i="111"/>
  <c r="BH43" i="111" s="1"/>
  <c r="BI43" i="111" s="1"/>
  <c r="AV43" i="111"/>
  <c r="AT43" i="111"/>
  <c r="AQ43" i="111"/>
  <c r="AG43" i="111"/>
  <c r="AX43" i="111" s="1"/>
  <c r="AF43" i="111"/>
  <c r="BJ43" i="111" s="1"/>
  <c r="Z43" i="111"/>
  <c r="AA43" i="111" s="1"/>
  <c r="W43" i="111"/>
  <c r="A43" i="111"/>
  <c r="BM42" i="111"/>
  <c r="BG42" i="111"/>
  <c r="BF42" i="111"/>
  <c r="BH42" i="111" s="1"/>
  <c r="BI42" i="111" s="1"/>
  <c r="AT42" i="111"/>
  <c r="AQ42" i="111"/>
  <c r="AG42" i="111"/>
  <c r="BK42" i="111" s="1"/>
  <c r="AF42" i="111"/>
  <c r="BJ42" i="111" s="1"/>
  <c r="Z42" i="111"/>
  <c r="AA42" i="111" s="1"/>
  <c r="W42" i="111"/>
  <c r="A42" i="111"/>
  <c r="BM41" i="111"/>
  <c r="BG41" i="111"/>
  <c r="BF41" i="111"/>
  <c r="BH41" i="111" s="1"/>
  <c r="BI41" i="111" s="1"/>
  <c r="AQ41" i="111"/>
  <c r="AG41" i="111"/>
  <c r="AF41" i="111"/>
  <c r="BJ41" i="111" s="1"/>
  <c r="Z41" i="111"/>
  <c r="AA41" i="111" s="1"/>
  <c r="W41" i="111"/>
  <c r="A41" i="111"/>
  <c r="BM40" i="111"/>
  <c r="BG40" i="111"/>
  <c r="BF40" i="111"/>
  <c r="BH40" i="111" s="1"/>
  <c r="BI40" i="111" s="1"/>
  <c r="AV40" i="111"/>
  <c r="AT40" i="111"/>
  <c r="AQ40" i="111"/>
  <c r="AG40" i="111"/>
  <c r="AF40" i="111"/>
  <c r="AH40" i="111" s="1"/>
  <c r="Z40" i="111"/>
  <c r="AA40" i="111" s="1"/>
  <c r="W40" i="111"/>
  <c r="A40" i="111"/>
  <c r="BM39" i="111"/>
  <c r="BG39" i="111"/>
  <c r="BF39" i="111"/>
  <c r="BH39" i="111" s="1"/>
  <c r="BI39" i="111" s="1"/>
  <c r="AT39" i="111"/>
  <c r="AQ39" i="111"/>
  <c r="AG39" i="111"/>
  <c r="AX39" i="111" s="1"/>
  <c r="AF39" i="111"/>
  <c r="AH39" i="111" s="1"/>
  <c r="Z39" i="111"/>
  <c r="AA39" i="111" s="1"/>
  <c r="W39" i="111"/>
  <c r="A39" i="111"/>
  <c r="BM38" i="111"/>
  <c r="BG38" i="111"/>
  <c r="BF38" i="111"/>
  <c r="BH38" i="111" s="1"/>
  <c r="BI38" i="111" s="1"/>
  <c r="AV38" i="111"/>
  <c r="AT38" i="111"/>
  <c r="AQ38" i="111"/>
  <c r="AG38" i="111"/>
  <c r="AF38" i="111"/>
  <c r="AH38" i="111" s="1"/>
  <c r="Z38" i="111"/>
  <c r="AA38" i="111" s="1"/>
  <c r="W38" i="111"/>
  <c r="A38" i="111"/>
  <c r="BM37" i="111"/>
  <c r="BG37" i="111"/>
  <c r="BF37" i="111"/>
  <c r="BH37" i="111" s="1"/>
  <c r="BI37" i="111" s="1"/>
  <c r="AV37" i="111"/>
  <c r="AT37" i="111"/>
  <c r="AQ37" i="111"/>
  <c r="AG37" i="111"/>
  <c r="AF37" i="111"/>
  <c r="AH37" i="111" s="1"/>
  <c r="Z37" i="111"/>
  <c r="AA37" i="111" s="1"/>
  <c r="W37" i="111"/>
  <c r="A37" i="111"/>
  <c r="BM36" i="111"/>
  <c r="BG36" i="111"/>
  <c r="BF36" i="111"/>
  <c r="BH36" i="111" s="1"/>
  <c r="BI36" i="111" s="1"/>
  <c r="AV36" i="111"/>
  <c r="AT36" i="111"/>
  <c r="AQ36" i="111"/>
  <c r="AG36" i="111"/>
  <c r="AI36" i="111" s="1"/>
  <c r="AF36" i="111"/>
  <c r="AH36" i="111" s="1"/>
  <c r="Z36" i="111"/>
  <c r="AA36" i="111" s="1"/>
  <c r="W36" i="111"/>
  <c r="A36" i="111"/>
  <c r="BM35" i="111"/>
  <c r="BG35" i="111"/>
  <c r="BF35" i="111"/>
  <c r="BH35" i="111" s="1"/>
  <c r="BI35" i="111" s="1"/>
  <c r="AQ35" i="111"/>
  <c r="AG35" i="111"/>
  <c r="AF35" i="111"/>
  <c r="AH35" i="111" s="1"/>
  <c r="Z35" i="111"/>
  <c r="AA35" i="111" s="1"/>
  <c r="W35" i="111"/>
  <c r="A35" i="111"/>
  <c r="BM34" i="111"/>
  <c r="BG34" i="111"/>
  <c r="BF34" i="111"/>
  <c r="BH34" i="111" s="1"/>
  <c r="BI34" i="111" s="1"/>
  <c r="AT34" i="111"/>
  <c r="AQ34" i="111"/>
  <c r="AG34" i="111"/>
  <c r="AF34" i="111"/>
  <c r="BJ34" i="111" s="1"/>
  <c r="Z34" i="111"/>
  <c r="AA34" i="111" s="1"/>
  <c r="W34" i="111"/>
  <c r="A34" i="111"/>
  <c r="BM33" i="111"/>
  <c r="BG33" i="111"/>
  <c r="BF33" i="111"/>
  <c r="BH33" i="111" s="1"/>
  <c r="BI33" i="111" s="1"/>
  <c r="AT33" i="111"/>
  <c r="AQ33" i="111"/>
  <c r="AG33" i="111"/>
  <c r="AF33" i="111"/>
  <c r="Z33" i="111"/>
  <c r="AA33" i="111" s="1"/>
  <c r="W33" i="111"/>
  <c r="A33" i="111"/>
  <c r="BM32" i="111"/>
  <c r="BG32" i="111"/>
  <c r="BF32" i="111"/>
  <c r="BH32" i="111" s="1"/>
  <c r="BI32" i="111" s="1"/>
  <c r="AV32" i="111"/>
  <c r="AT32" i="111"/>
  <c r="AQ32" i="111"/>
  <c r="AG32" i="111"/>
  <c r="AF32" i="111"/>
  <c r="Z32" i="111"/>
  <c r="AA32" i="111" s="1"/>
  <c r="W32" i="111"/>
  <c r="A32" i="111"/>
  <c r="BM31" i="111"/>
  <c r="BG31" i="111"/>
  <c r="BF31" i="111"/>
  <c r="BH31" i="111" s="1"/>
  <c r="BI31" i="111" s="1"/>
  <c r="AQ31" i="111"/>
  <c r="AG31" i="111"/>
  <c r="BK31" i="111" s="1"/>
  <c r="AF31" i="111"/>
  <c r="Z31" i="111"/>
  <c r="AA31" i="111" s="1"/>
  <c r="W31" i="111"/>
  <c r="A31" i="111"/>
  <c r="BM30" i="111"/>
  <c r="BG30" i="111"/>
  <c r="BF30" i="111"/>
  <c r="BH30" i="111" s="1"/>
  <c r="BI30" i="111" s="1"/>
  <c r="AT30" i="111"/>
  <c r="AQ30" i="111"/>
  <c r="AG30" i="111"/>
  <c r="AI30" i="111" s="1"/>
  <c r="AF30" i="111"/>
  <c r="AH30" i="111" s="1"/>
  <c r="Z30" i="111"/>
  <c r="AA30" i="111" s="1"/>
  <c r="W30" i="111"/>
  <c r="A30" i="111"/>
  <c r="BM29" i="111"/>
  <c r="BG29" i="111"/>
  <c r="BF29" i="111"/>
  <c r="BH29" i="111" s="1"/>
  <c r="BI29" i="111" s="1"/>
  <c r="AQ29" i="111"/>
  <c r="AG29" i="111"/>
  <c r="BK29" i="111" s="1"/>
  <c r="AF29" i="111"/>
  <c r="AH29" i="111" s="1"/>
  <c r="Z29" i="111"/>
  <c r="AA29" i="111" s="1"/>
  <c r="W29" i="111"/>
  <c r="A29" i="111"/>
  <c r="BM28" i="111"/>
  <c r="BG28" i="111"/>
  <c r="BF28" i="111"/>
  <c r="BH28" i="111" s="1"/>
  <c r="BI28" i="111" s="1"/>
  <c r="AQ28" i="111"/>
  <c r="AG28" i="111"/>
  <c r="AF28" i="111"/>
  <c r="BJ28" i="111" s="1"/>
  <c r="Z28" i="111"/>
  <c r="AA28" i="111" s="1"/>
  <c r="W28" i="111"/>
  <c r="A28" i="111"/>
  <c r="BM27" i="111"/>
  <c r="BG27" i="111"/>
  <c r="BF27" i="111"/>
  <c r="BH27" i="111" s="1"/>
  <c r="BI27" i="111" s="1"/>
  <c r="AT27" i="111"/>
  <c r="AQ27" i="111"/>
  <c r="AG27" i="111"/>
  <c r="AX27" i="111" s="1"/>
  <c r="BL27" i="111" s="1"/>
  <c r="AF27" i="111"/>
  <c r="BJ27" i="111" s="1"/>
  <c r="Z27" i="111"/>
  <c r="AA27" i="111" s="1"/>
  <c r="W27" i="111"/>
  <c r="A27" i="111"/>
  <c r="BM26" i="111"/>
  <c r="BG26" i="111"/>
  <c r="BF26" i="111"/>
  <c r="BH26" i="111" s="1"/>
  <c r="BI26" i="111" s="1"/>
  <c r="AV26" i="111"/>
  <c r="AT26" i="111"/>
  <c r="AQ26" i="111"/>
  <c r="AG26" i="111"/>
  <c r="AX26" i="111" s="1"/>
  <c r="BL26" i="111" s="1"/>
  <c r="AF26" i="111"/>
  <c r="AH26" i="111" s="1"/>
  <c r="Z26" i="111"/>
  <c r="AA26" i="111" s="1"/>
  <c r="W26" i="111"/>
  <c r="A26" i="111"/>
  <c r="BM25" i="111"/>
  <c r="BG25" i="111"/>
  <c r="BF25" i="111"/>
  <c r="BH25" i="111" s="1"/>
  <c r="BI25" i="111" s="1"/>
  <c r="AV25" i="111"/>
  <c r="AT25" i="111"/>
  <c r="AQ25" i="111"/>
  <c r="AG25" i="111"/>
  <c r="BK25" i="111" s="1"/>
  <c r="AF25" i="111"/>
  <c r="AH25" i="111" s="1"/>
  <c r="Z25" i="111"/>
  <c r="AA25" i="111" s="1"/>
  <c r="W25" i="111"/>
  <c r="A25" i="111"/>
  <c r="BM24" i="111"/>
  <c r="BG24" i="111"/>
  <c r="BF24" i="111"/>
  <c r="BH24" i="111" s="1"/>
  <c r="BI24" i="111" s="1"/>
  <c r="AQ24" i="111"/>
  <c r="AG24" i="111"/>
  <c r="AX24" i="111" s="1"/>
  <c r="BL24" i="111" s="1"/>
  <c r="AF24" i="111"/>
  <c r="AH24" i="111" s="1"/>
  <c r="Z24" i="111"/>
  <c r="AA24" i="111" s="1"/>
  <c r="W24" i="111"/>
  <c r="A24" i="111"/>
  <c r="BM23" i="111"/>
  <c r="BG23" i="111"/>
  <c r="BF23" i="111"/>
  <c r="BH23" i="111" s="1"/>
  <c r="BI23" i="111" s="1"/>
  <c r="AT23" i="111"/>
  <c r="AQ23" i="111"/>
  <c r="AG23" i="111"/>
  <c r="AX23" i="111" s="1"/>
  <c r="AF23" i="111"/>
  <c r="Z23" i="111"/>
  <c r="AA23" i="111" s="1"/>
  <c r="W23" i="111"/>
  <c r="A23" i="111"/>
  <c r="BM22" i="111"/>
  <c r="BG22" i="111"/>
  <c r="BF22" i="111"/>
  <c r="BH22" i="111" s="1"/>
  <c r="BI22" i="111" s="1"/>
  <c r="AQ22" i="111"/>
  <c r="AG22" i="111"/>
  <c r="AI22" i="111" s="1"/>
  <c r="AF22" i="111"/>
  <c r="BJ22" i="111" s="1"/>
  <c r="Z22" i="111"/>
  <c r="AA22" i="111" s="1"/>
  <c r="W22" i="111"/>
  <c r="A22" i="111"/>
  <c r="BM21" i="111"/>
  <c r="BG21" i="111"/>
  <c r="BF21" i="111"/>
  <c r="BH21" i="111" s="1"/>
  <c r="BI21" i="111" s="1"/>
  <c r="AT21" i="111"/>
  <c r="AQ21" i="111"/>
  <c r="AG21" i="111"/>
  <c r="AX21" i="111" s="1"/>
  <c r="AF21" i="111"/>
  <c r="BJ21" i="111" s="1"/>
  <c r="Z21" i="111"/>
  <c r="AA21" i="111" s="1"/>
  <c r="W21" i="111"/>
  <c r="A21" i="111"/>
  <c r="BM20" i="111"/>
  <c r="BG20" i="111"/>
  <c r="BF20" i="111"/>
  <c r="BH20" i="111" s="1"/>
  <c r="BI20" i="111" s="1"/>
  <c r="AV20" i="111"/>
  <c r="AT20" i="111"/>
  <c r="AQ20" i="111"/>
  <c r="AG20" i="111"/>
  <c r="AF20" i="111"/>
  <c r="BJ20" i="111" s="1"/>
  <c r="Z20" i="111"/>
  <c r="AA20" i="111" s="1"/>
  <c r="W20" i="111"/>
  <c r="A20" i="111"/>
  <c r="BM19" i="111"/>
  <c r="BG19" i="111"/>
  <c r="BF19" i="111"/>
  <c r="BH19" i="111" s="1"/>
  <c r="BI19" i="111" s="1"/>
  <c r="AV19" i="111"/>
  <c r="AT19" i="111"/>
  <c r="AQ19" i="111"/>
  <c r="AG19" i="111"/>
  <c r="AF19" i="111"/>
  <c r="BJ19" i="111" s="1"/>
  <c r="Z19" i="111"/>
  <c r="AA19" i="111" s="1"/>
  <c r="W19" i="111"/>
  <c r="A19" i="111"/>
  <c r="BM18" i="111"/>
  <c r="BG18" i="111"/>
  <c r="BF18" i="111"/>
  <c r="BH18" i="111" s="1"/>
  <c r="BI18" i="111" s="1"/>
  <c r="AV18" i="111"/>
  <c r="AT18" i="111"/>
  <c r="AQ18" i="111"/>
  <c r="AG18" i="111"/>
  <c r="BK18" i="111" s="1"/>
  <c r="AF18" i="111"/>
  <c r="BJ18" i="111" s="1"/>
  <c r="Z18" i="111"/>
  <c r="AA18" i="111" s="1"/>
  <c r="W18" i="111"/>
  <c r="A18" i="111"/>
  <c r="BM17" i="111"/>
  <c r="BG17" i="111"/>
  <c r="BF17" i="111"/>
  <c r="BH17" i="111" s="1"/>
  <c r="BI17" i="111" s="1"/>
  <c r="AV17" i="111"/>
  <c r="AT17" i="111"/>
  <c r="AQ17" i="111"/>
  <c r="AG17" i="111"/>
  <c r="AF17" i="111"/>
  <c r="BJ17" i="111" s="1"/>
  <c r="Z17" i="111"/>
  <c r="AA17" i="111" s="1"/>
  <c r="W17" i="111"/>
  <c r="A17" i="111"/>
  <c r="BM16" i="111"/>
  <c r="BG16" i="111"/>
  <c r="BF16" i="111"/>
  <c r="BH16" i="111" s="1"/>
  <c r="BI16" i="111" s="1"/>
  <c r="AV16" i="111"/>
  <c r="AT16" i="111"/>
  <c r="AQ16" i="111"/>
  <c r="AG16" i="111"/>
  <c r="AX16" i="111" s="1"/>
  <c r="AF16" i="111"/>
  <c r="BJ16" i="111" s="1"/>
  <c r="Z16" i="111"/>
  <c r="AA16" i="111" s="1"/>
  <c r="W16" i="111"/>
  <c r="A16" i="111"/>
  <c r="BM15" i="111"/>
  <c r="BG15" i="111"/>
  <c r="BF15" i="111"/>
  <c r="BH15" i="111" s="1"/>
  <c r="BI15" i="111" s="1"/>
  <c r="AV15" i="111"/>
  <c r="AT15" i="111"/>
  <c r="AQ15" i="111"/>
  <c r="AG15" i="111"/>
  <c r="AX15" i="111" s="1"/>
  <c r="AF15" i="111"/>
  <c r="AH15" i="111" s="1"/>
  <c r="Z15" i="111"/>
  <c r="AA15" i="111" s="1"/>
  <c r="W15" i="111"/>
  <c r="A15" i="111"/>
  <c r="BM14" i="111"/>
  <c r="BG14" i="111"/>
  <c r="BF14" i="111"/>
  <c r="BH14" i="111" s="1"/>
  <c r="BI14" i="111" s="1"/>
  <c r="AV14" i="111"/>
  <c r="AT14" i="111"/>
  <c r="AQ14" i="111"/>
  <c r="AG14" i="111"/>
  <c r="AF14" i="111"/>
  <c r="AH14" i="111" s="1"/>
  <c r="Z14" i="111"/>
  <c r="AA14" i="111" s="1"/>
  <c r="W14" i="111"/>
  <c r="A14" i="111"/>
  <c r="BM9" i="111"/>
  <c r="BG9" i="111"/>
  <c r="BF9" i="111"/>
  <c r="BH9" i="111" s="1"/>
  <c r="BI9" i="111" s="1"/>
  <c r="AV9" i="111"/>
  <c r="AT9" i="111"/>
  <c r="AQ9" i="111"/>
  <c r="AG9" i="111"/>
  <c r="AF9" i="111"/>
  <c r="BJ9" i="111" s="1"/>
  <c r="Z9" i="111"/>
  <c r="AA9" i="111" s="1"/>
  <c r="W9" i="111"/>
  <c r="A9" i="111"/>
  <c r="BM8" i="111"/>
  <c r="BG8" i="111"/>
  <c r="BF8" i="111"/>
  <c r="BH8" i="111" s="1"/>
  <c r="BI8" i="111" s="1"/>
  <c r="AT8" i="111"/>
  <c r="AQ8" i="111"/>
  <c r="AG8" i="111"/>
  <c r="AF8" i="111"/>
  <c r="BJ8" i="111" s="1"/>
  <c r="Z8" i="111"/>
  <c r="AA8" i="111" s="1"/>
  <c r="W8" i="111"/>
  <c r="A8" i="111"/>
  <c r="BM7" i="111"/>
  <c r="BG7" i="111"/>
  <c r="BF7" i="111"/>
  <c r="BH7" i="111" s="1"/>
  <c r="BI7" i="111" s="1"/>
  <c r="AV7" i="111"/>
  <c r="AT7" i="111"/>
  <c r="AQ7" i="111"/>
  <c r="AG7" i="111"/>
  <c r="BK7" i="111" s="1"/>
  <c r="AF7" i="111"/>
  <c r="BJ7" i="111" s="1"/>
  <c r="Z7" i="111"/>
  <c r="AA7" i="111" s="1"/>
  <c r="W7" i="111"/>
  <c r="A7" i="111"/>
  <c r="BM6" i="111"/>
  <c r="BG6" i="111"/>
  <c r="BF6" i="111"/>
  <c r="BH6" i="111" s="1"/>
  <c r="BI6" i="111" s="1"/>
  <c r="AV6" i="111"/>
  <c r="AT6" i="111"/>
  <c r="AQ6" i="111"/>
  <c r="AG6" i="111"/>
  <c r="AL6" i="111" s="1"/>
  <c r="AF6" i="111"/>
  <c r="BJ6" i="111" s="1"/>
  <c r="Z6" i="111"/>
  <c r="AA6" i="111" s="1"/>
  <c r="W6" i="111"/>
  <c r="A6" i="111"/>
  <c r="BM5" i="111"/>
  <c r="BG5" i="111"/>
  <c r="BF5" i="111"/>
  <c r="BH5" i="111" s="1"/>
  <c r="BI5" i="111" s="1"/>
  <c r="AV5" i="111"/>
  <c r="AT5" i="111"/>
  <c r="AQ5" i="111"/>
  <c r="AG5" i="111"/>
  <c r="AX5" i="111" s="1"/>
  <c r="BL5" i="111" s="1"/>
  <c r="AF5" i="111"/>
  <c r="AH5" i="111" s="1"/>
  <c r="Z5" i="111"/>
  <c r="AA5" i="111" s="1"/>
  <c r="W5" i="111"/>
  <c r="A5" i="111"/>
  <c r="BM4" i="111"/>
  <c r="BG4" i="111"/>
  <c r="BF4" i="111"/>
  <c r="BH4" i="111" s="1"/>
  <c r="BI4" i="111" s="1"/>
  <c r="AV4" i="111"/>
  <c r="AT4" i="111"/>
  <c r="AQ4" i="111"/>
  <c r="AG4" i="111"/>
  <c r="BK4" i="111" s="1"/>
  <c r="AF4" i="111"/>
  <c r="BJ4" i="111" s="1"/>
  <c r="Z4" i="111"/>
  <c r="AA4" i="111" s="1"/>
  <c r="W4" i="111"/>
  <c r="A4" i="111"/>
  <c r="BM3" i="111"/>
  <c r="BG3" i="111"/>
  <c r="BF3" i="111"/>
  <c r="BH3" i="111" s="1"/>
  <c r="BI3" i="111" s="1"/>
  <c r="AQ3" i="111"/>
  <c r="AG3" i="111"/>
  <c r="AX3" i="111" s="1"/>
  <c r="BL3" i="111" s="1"/>
  <c r="AF3" i="111"/>
  <c r="AH3" i="111" s="1"/>
  <c r="Z3" i="111"/>
  <c r="AA3" i="111" s="1"/>
  <c r="W3" i="111"/>
  <c r="A3" i="111"/>
  <c r="AX25" i="111" l="1"/>
  <c r="BL25" i="111" s="1"/>
  <c r="BN25" i="111" s="1"/>
  <c r="AX9" i="111"/>
  <c r="AL9" i="111"/>
  <c r="AW8" i="111"/>
  <c r="AL8" i="111"/>
  <c r="BJ25" i="111"/>
  <c r="BK26" i="111"/>
  <c r="AH4" i="111"/>
  <c r="AX7" i="111"/>
  <c r="BL7" i="111" s="1"/>
  <c r="BN7" i="111" s="1"/>
  <c r="BK15" i="111"/>
  <c r="AX30" i="111"/>
  <c r="BL30" i="111" s="1"/>
  <c r="BN30" i="111" s="1"/>
  <c r="BJ5" i="111"/>
  <c r="BK5" i="111"/>
  <c r="AU15" i="111"/>
  <c r="BK45" i="111"/>
  <c r="AH21" i="111"/>
  <c r="AI44" i="111"/>
  <c r="AX44" i="111"/>
  <c r="BL44" i="111" s="1"/>
  <c r="BN44" i="111" s="1"/>
  <c r="AJ17" i="111"/>
  <c r="BK46" i="111"/>
  <c r="AU6" i="111"/>
  <c r="BJ29" i="111"/>
  <c r="AJ42" i="111"/>
  <c r="AU4" i="111"/>
  <c r="BK27" i="111"/>
  <c r="BK30" i="111"/>
  <c r="AJ38" i="111"/>
  <c r="AI4" i="111"/>
  <c r="AX4" i="111"/>
  <c r="BL4" i="111" s="1"/>
  <c r="BN4" i="111" s="1"/>
  <c r="AI15" i="111"/>
  <c r="AJ36" i="111"/>
  <c r="AJ44" i="111"/>
  <c r="AL15" i="111"/>
  <c r="AX46" i="111"/>
  <c r="AH42" i="111"/>
  <c r="AW14" i="111"/>
  <c r="AX42" i="111"/>
  <c r="AU7" i="111"/>
  <c r="AJ4" i="111"/>
  <c r="AJ28" i="111"/>
  <c r="AH28" i="111"/>
  <c r="AW15" i="111"/>
  <c r="AJ29" i="111"/>
  <c r="AU17" i="111"/>
  <c r="AW18" i="111"/>
  <c r="BK24" i="111"/>
  <c r="BJ35" i="111"/>
  <c r="BJ40" i="111"/>
  <c r="BJ45" i="111"/>
  <c r="BL43" i="111"/>
  <c r="BN43" i="111" s="1"/>
  <c r="BJ3" i="111"/>
  <c r="AI38" i="111"/>
  <c r="AJ49" i="111"/>
  <c r="AU3" i="111"/>
  <c r="AJ5" i="111"/>
  <c r="AW16" i="111"/>
  <c r="BK23" i="111"/>
  <c r="AX29" i="111"/>
  <c r="BL29" i="111" s="1"/>
  <c r="BN29" i="111" s="1"/>
  <c r="BJ44" i="111"/>
  <c r="AI26" i="111"/>
  <c r="AH43" i="111"/>
  <c r="AH16" i="111"/>
  <c r="AI7" i="111"/>
  <c r="AI42" i="111"/>
  <c r="BK28" i="111"/>
  <c r="AI23" i="111"/>
  <c r="BK3" i="111"/>
  <c r="AH8" i="111"/>
  <c r="AX28" i="111"/>
  <c r="AL7" i="111"/>
  <c r="AH17" i="111"/>
  <c r="AJ23" i="111"/>
  <c r="BJ24" i="111"/>
  <c r="BJ26" i="111"/>
  <c r="BK39" i="111"/>
  <c r="AI28" i="111"/>
  <c r="AI3" i="111"/>
  <c r="AJ3" i="111"/>
  <c r="BK16" i="111"/>
  <c r="AI16" i="111"/>
  <c r="AX8" i="111"/>
  <c r="BL8" i="111" s="1"/>
  <c r="BN8" i="111" s="1"/>
  <c r="AJ16" i="111"/>
  <c r="AU18" i="111"/>
  <c r="AJ45" i="111"/>
  <c r="AX10" i="111"/>
  <c r="BL10" i="111" s="1"/>
  <c r="BN10" i="111" s="1"/>
  <c r="AL18" i="111"/>
  <c r="BK43" i="111"/>
  <c r="AL16" i="111"/>
  <c r="AJ25" i="111"/>
  <c r="AJ27" i="111"/>
  <c r="AI29" i="111"/>
  <c r="AX49" i="111"/>
  <c r="BL49" i="111" s="1"/>
  <c r="BN49" i="111" s="1"/>
  <c r="AJ26" i="111"/>
  <c r="BN26" i="111"/>
  <c r="AI24" i="111"/>
  <c r="AJ24" i="111"/>
  <c r="AI43" i="111"/>
  <c r="AW3" i="111"/>
  <c r="AW5" i="111"/>
  <c r="AU14" i="111"/>
  <c r="AH27" i="111"/>
  <c r="BN27" i="111"/>
  <c r="AJ41" i="111"/>
  <c r="AX45" i="111"/>
  <c r="BL45" i="111" s="1"/>
  <c r="BN45" i="111" s="1"/>
  <c r="AI8" i="111"/>
  <c r="BN3" i="111"/>
  <c r="AI18" i="111"/>
  <c r="AJ50" i="111"/>
  <c r="AJ43" i="111"/>
  <c r="AU5" i="111"/>
  <c r="BJ15" i="111"/>
  <c r="AU16" i="111"/>
  <c r="AX18" i="111"/>
  <c r="BL18" i="111" s="1"/>
  <c r="BN18" i="111" s="1"/>
  <c r="AI25" i="111"/>
  <c r="AI27" i="111"/>
  <c r="AH41" i="111"/>
  <c r="BL50" i="111"/>
  <c r="BN50" i="111" s="1"/>
  <c r="BL23" i="111"/>
  <c r="BN23" i="111" s="1"/>
  <c r="AH23" i="111"/>
  <c r="BK37" i="111"/>
  <c r="AX37" i="111"/>
  <c r="AJ7" i="111"/>
  <c r="AI37" i="111"/>
  <c r="BJ47" i="111"/>
  <c r="AH47" i="111"/>
  <c r="AX22" i="111"/>
  <c r="BK22" i="111"/>
  <c r="AJ22" i="111"/>
  <c r="AX36" i="111"/>
  <c r="BK36" i="111"/>
  <c r="BJ36" i="111"/>
  <c r="BK41" i="111"/>
  <c r="AJ47" i="111"/>
  <c r="BN5" i="111"/>
  <c r="BJ32" i="111"/>
  <c r="AH32" i="111"/>
  <c r="AH7" i="111"/>
  <c r="AH19" i="111"/>
  <c r="BJ23" i="111"/>
  <c r="BJ12" i="111"/>
  <c r="AH12" i="111"/>
  <c r="AH33" i="111"/>
  <c r="BJ33" i="111"/>
  <c r="AU9" i="111"/>
  <c r="AI5" i="111"/>
  <c r="AX17" i="111"/>
  <c r="AW17" i="111"/>
  <c r="AI17" i="111"/>
  <c r="BK17" i="111"/>
  <c r="AH22" i="111"/>
  <c r="BJ39" i="111"/>
  <c r="AI41" i="111"/>
  <c r="AX41" i="111"/>
  <c r="BJ31" i="111"/>
  <c r="AH31" i="111"/>
  <c r="BK19" i="111"/>
  <c r="AJ19" i="111"/>
  <c r="AX19" i="111"/>
  <c r="AI19" i="111"/>
  <c r="BJ48" i="111"/>
  <c r="AH48" i="111"/>
  <c r="BJ37" i="111"/>
  <c r="AJ37" i="111"/>
  <c r="BL15" i="111"/>
  <c r="BN15" i="111" s="1"/>
  <c r="AH20" i="111"/>
  <c r="AX40" i="111"/>
  <c r="AI40" i="111"/>
  <c r="BL48" i="111"/>
  <c r="BN48" i="111" s="1"/>
  <c r="AH10" i="111"/>
  <c r="BJ10" i="111"/>
  <c r="AX6" i="111"/>
  <c r="AW6" i="111"/>
  <c r="BK6" i="111"/>
  <c r="AI6" i="111"/>
  <c r="AH18" i="111"/>
  <c r="BK35" i="111"/>
  <c r="AX35" i="111"/>
  <c r="AJ35" i="111"/>
  <c r="BL21" i="111"/>
  <c r="BN21" i="111" s="1"/>
  <c r="BL39" i="111"/>
  <c r="BN39" i="111" s="1"/>
  <c r="BL47" i="111"/>
  <c r="BN47" i="111" s="1"/>
  <c r="BK32" i="111"/>
  <c r="AI32" i="111"/>
  <c r="AJ32" i="111"/>
  <c r="AX32" i="111"/>
  <c r="AI39" i="111"/>
  <c r="AJ48" i="111"/>
  <c r="BK12" i="111"/>
  <c r="AJ12" i="111"/>
  <c r="AI12" i="111"/>
  <c r="AX12" i="111"/>
  <c r="BL16" i="111"/>
  <c r="BN16" i="111" s="1"/>
  <c r="BK20" i="111"/>
  <c r="AI20" i="111"/>
  <c r="AJ20" i="111"/>
  <c r="AX20" i="111"/>
  <c r="BK33" i="111"/>
  <c r="AI33" i="111"/>
  <c r="AJ33" i="111"/>
  <c r="AX33" i="111"/>
  <c r="AI13" i="111"/>
  <c r="AJ13" i="111"/>
  <c r="AW13" i="111"/>
  <c r="AU13" i="111"/>
  <c r="BK13" i="111"/>
  <c r="AH6" i="111"/>
  <c r="BJ14" i="111"/>
  <c r="BN24" i="111"/>
  <c r="AJ40" i="111"/>
  <c r="BJ11" i="111"/>
  <c r="AH11" i="111"/>
  <c r="AJ9" i="111"/>
  <c r="AI9" i="111"/>
  <c r="BK9" i="111"/>
  <c r="AH9" i="111"/>
  <c r="AJ39" i="111"/>
  <c r="AJ34" i="111"/>
  <c r="AI34" i="111"/>
  <c r="BK34" i="111"/>
  <c r="AX34" i="111"/>
  <c r="AH34" i="111"/>
  <c r="BJ13" i="111"/>
  <c r="AH13" i="111"/>
  <c r="BK40" i="111"/>
  <c r="AJ6" i="111"/>
  <c r="BK8" i="111"/>
  <c r="AU8" i="111"/>
  <c r="AJ8" i="111"/>
  <c r="AJ14" i="111"/>
  <c r="AI14" i="111"/>
  <c r="AX14" i="111"/>
  <c r="BK14" i="111"/>
  <c r="AJ18" i="111"/>
  <c r="BK21" i="111"/>
  <c r="AJ21" i="111"/>
  <c r="AI21" i="111"/>
  <c r="AI35" i="111"/>
  <c r="AX38" i="111"/>
  <c r="BK38" i="111"/>
  <c r="BJ38" i="111"/>
  <c r="AX13" i="111"/>
  <c r="AJ15" i="111"/>
  <c r="AJ30" i="111"/>
  <c r="BJ30" i="111"/>
  <c r="AJ46" i="111"/>
  <c r="BK47" i="111"/>
  <c r="BK48" i="111"/>
  <c r="BJ49" i="111"/>
  <c r="BK50" i="111"/>
  <c r="BK10" i="111"/>
  <c r="BK49" i="111"/>
  <c r="AX31" i="111"/>
  <c r="AX11" i="111"/>
  <c r="AI47" i="111"/>
  <c r="AI48" i="111"/>
  <c r="AI10" i="111"/>
  <c r="AH50" i="111"/>
  <c r="AI11" i="111"/>
  <c r="AI31" i="111"/>
  <c r="AH46" i="111"/>
  <c r="AJ10" i="111"/>
  <c r="AI49" i="111"/>
  <c r="AI50" i="111"/>
  <c r="AJ11" i="111"/>
  <c r="AJ31" i="111"/>
  <c r="T7" i="87"/>
  <c r="S7" i="87"/>
  <c r="R7" i="87"/>
  <c r="Q7" i="87"/>
  <c r="D7" i="87"/>
  <c r="BL9" i="111" l="1"/>
  <c r="BN9" i="111" s="1"/>
  <c r="BL46" i="111"/>
  <c r="BN46" i="111" s="1"/>
  <c r="BJ51" i="111"/>
  <c r="BJ52" i="111" s="1"/>
  <c r="BL42" i="111"/>
  <c r="BN42" i="111" s="1"/>
  <c r="BL28" i="111"/>
  <c r="BN28" i="111" s="1"/>
  <c r="BK51" i="111"/>
  <c r="BL41" i="111"/>
  <c r="BN41" i="111" s="1"/>
  <c r="BL34" i="111"/>
  <c r="BN34" i="111" s="1"/>
  <c r="BL40" i="111"/>
  <c r="BN40" i="111" s="1"/>
  <c r="BL13" i="111"/>
  <c r="BN13" i="111" s="1"/>
  <c r="BL33" i="111"/>
  <c r="BN33" i="111" s="1"/>
  <c r="BL6" i="111"/>
  <c r="BN6" i="111" s="1"/>
  <c r="BL38" i="111"/>
  <c r="BN38" i="111" s="1"/>
  <c r="BL32" i="111"/>
  <c r="BN32" i="111" s="1"/>
  <c r="BL17" i="111"/>
  <c r="BN17" i="111" s="1"/>
  <c r="BL36" i="111"/>
  <c r="BN36" i="111" s="1"/>
  <c r="BL19" i="111"/>
  <c r="BN19" i="111" s="1"/>
  <c r="BL35" i="111"/>
  <c r="BN35" i="111" s="1"/>
  <c r="BL37" i="111"/>
  <c r="BN37" i="111" s="1"/>
  <c r="BL31" i="111"/>
  <c r="BN31" i="111" s="1"/>
  <c r="BL20" i="111"/>
  <c r="BN20" i="111" s="1"/>
  <c r="BL22" i="111"/>
  <c r="BN22" i="111" s="1"/>
  <c r="BL11" i="111"/>
  <c r="BN11" i="111" s="1"/>
  <c r="BL14" i="111"/>
  <c r="BN14" i="111" s="1"/>
  <c r="BL12" i="111"/>
  <c r="BN12" i="111" s="1"/>
  <c r="T6" i="91"/>
  <c r="T5" i="91"/>
  <c r="T4" i="91"/>
  <c r="T3" i="91"/>
  <c r="T2" i="91"/>
  <c r="R6" i="91"/>
  <c r="R5" i="91"/>
  <c r="R4" i="91"/>
  <c r="R3" i="91"/>
  <c r="R2" i="91"/>
  <c r="W5" i="91"/>
  <c r="U5" i="91"/>
  <c r="S5" i="91"/>
  <c r="O5" i="91"/>
  <c r="N5" i="91"/>
  <c r="M5" i="91"/>
  <c r="L5" i="91"/>
  <c r="J5" i="91"/>
  <c r="I5" i="91"/>
  <c r="H5" i="91"/>
  <c r="G5" i="91"/>
  <c r="F5" i="91"/>
  <c r="P5" i="91" s="1"/>
  <c r="E5" i="91"/>
  <c r="D5" i="91"/>
  <c r="C5" i="91"/>
  <c r="BJ53" i="111" l="1"/>
  <c r="BK52" i="111"/>
  <c r="K5" i="91"/>
  <c r="Q84" i="33"/>
  <c r="AV28" i="7" l="1"/>
  <c r="AV21" i="7"/>
  <c r="AV49" i="7" l="1"/>
  <c r="AV46" i="7"/>
  <c r="AV45" i="7"/>
  <c r="AV44" i="7"/>
  <c r="AV43" i="7"/>
  <c r="AV39" i="7"/>
  <c r="AV36" i="7"/>
  <c r="AV9" i="7"/>
  <c r="AV34" i="7"/>
  <c r="AV33" i="7"/>
  <c r="AV32" i="7"/>
  <c r="AV22" i="7"/>
  <c r="AV16" i="7"/>
  <c r="AV15" i="7"/>
  <c r="AV14" i="7"/>
  <c r="AV13" i="7"/>
  <c r="AV12" i="7"/>
  <c r="AV11" i="7"/>
  <c r="AV10" i="7"/>
  <c r="AV7" i="7"/>
  <c r="AV6" i="7"/>
  <c r="AV5" i="7"/>
  <c r="AV4" i="7"/>
  <c r="AT50" i="7"/>
  <c r="AT49" i="7"/>
  <c r="AT48" i="7"/>
  <c r="AT47" i="7"/>
  <c r="AT46" i="7"/>
  <c r="AT45" i="7"/>
  <c r="AT44" i="7"/>
  <c r="AT43" i="7"/>
  <c r="AT40" i="7"/>
  <c r="AT39" i="7"/>
  <c r="AT38" i="7"/>
  <c r="AT36" i="7"/>
  <c r="AT9" i="7"/>
  <c r="AT35" i="7"/>
  <c r="AT34" i="7"/>
  <c r="AT33" i="7"/>
  <c r="AT32" i="7"/>
  <c r="AT30" i="7"/>
  <c r="AT29" i="7"/>
  <c r="AT28" i="7"/>
  <c r="AT26" i="7"/>
  <c r="AT23" i="7"/>
  <c r="AT22" i="7"/>
  <c r="AT21" i="7"/>
  <c r="AT19" i="7"/>
  <c r="AT17" i="7"/>
  <c r="AT16" i="7"/>
  <c r="AT15" i="7"/>
  <c r="AT14" i="7"/>
  <c r="AT13" i="7"/>
  <c r="AT12" i="7"/>
  <c r="AT11" i="7"/>
  <c r="AT10" i="7"/>
  <c r="AT8" i="7"/>
  <c r="AT7" i="7"/>
  <c r="AT6" i="7"/>
  <c r="AT5" i="7"/>
  <c r="AT4" i="7"/>
  <c r="S52" i="7"/>
  <c r="T52" i="7"/>
  <c r="U52" i="7"/>
  <c r="D5" i="107" l="1"/>
  <c r="L5" i="107"/>
  <c r="R5" i="107"/>
  <c r="T5" i="107"/>
  <c r="U5" i="107"/>
  <c r="V5" i="107"/>
  <c r="D6" i="107"/>
  <c r="L6" i="107"/>
  <c r="R6" i="107"/>
  <c r="T6" i="107"/>
  <c r="U6" i="107"/>
  <c r="V6" i="107"/>
  <c r="D7" i="107"/>
  <c r="L7" i="107"/>
  <c r="R7" i="107"/>
  <c r="T7" i="107"/>
  <c r="U7" i="107"/>
  <c r="V7" i="107"/>
  <c r="D8" i="107"/>
  <c r="L8" i="107"/>
  <c r="R8" i="107"/>
  <c r="T8" i="107"/>
  <c r="U8" i="107"/>
  <c r="V8" i="107"/>
  <c r="D9" i="107"/>
  <c r="L9" i="107"/>
  <c r="R9" i="107"/>
  <c r="T9" i="107"/>
  <c r="U9" i="107"/>
  <c r="V9" i="107"/>
  <c r="D10" i="107"/>
  <c r="L10" i="107"/>
  <c r="R10" i="107"/>
  <c r="T10" i="107"/>
  <c r="U10" i="107"/>
  <c r="V10" i="107"/>
  <c r="D11" i="107"/>
  <c r="L11" i="107"/>
  <c r="R11" i="107"/>
  <c r="T11" i="107"/>
  <c r="U11" i="107"/>
  <c r="V11" i="107"/>
  <c r="A78" i="33" l="1"/>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6" i="33"/>
  <c r="A5" i="33"/>
  <c r="A4" i="33"/>
  <c r="T78" i="33" l="1"/>
  <c r="T77" i="33"/>
  <c r="T76" i="33"/>
  <c r="T75" i="33"/>
  <c r="T74" i="33"/>
  <c r="T73" i="33"/>
  <c r="T72" i="33"/>
  <c r="T71" i="33"/>
  <c r="T70" i="33"/>
  <c r="T69" i="33"/>
  <c r="T68" i="33"/>
  <c r="S78" i="33"/>
  <c r="S77" i="33"/>
  <c r="S76" i="33"/>
  <c r="S75" i="33"/>
  <c r="S74" i="33"/>
  <c r="S73" i="33"/>
  <c r="S72" i="33"/>
  <c r="S71" i="33"/>
  <c r="S70" i="33"/>
  <c r="S69" i="33"/>
  <c r="S68" i="33"/>
  <c r="AG75" i="33"/>
  <c r="AG70" i="33"/>
  <c r="AG68" i="33"/>
  <c r="AB78" i="33"/>
  <c r="AG78" i="33"/>
  <c r="AB68" i="33"/>
  <c r="AB69" i="33"/>
  <c r="AB70" i="33"/>
  <c r="AB71" i="33"/>
  <c r="AB72" i="33"/>
  <c r="AB73" i="33"/>
  <c r="AB74" i="33"/>
  <c r="AB75" i="33"/>
  <c r="AB76" i="33"/>
  <c r="AB77" i="33"/>
  <c r="AG69" i="33"/>
  <c r="Q4" i="85"/>
  <c r="AP67" i="33"/>
  <c r="AP66" i="33"/>
  <c r="AP65" i="33"/>
  <c r="AP64" i="33"/>
  <c r="AP63" i="33"/>
  <c r="AP62" i="33"/>
  <c r="AP61" i="33"/>
  <c r="AP60" i="33"/>
  <c r="AP59" i="33"/>
  <c r="AP58" i="33"/>
  <c r="AP57" i="33"/>
  <c r="AP56" i="33"/>
  <c r="AP55" i="33"/>
  <c r="AP54" i="33"/>
  <c r="AP53" i="33"/>
  <c r="AP52" i="33"/>
  <c r="AN67" i="33"/>
  <c r="AN66" i="33"/>
  <c r="AN65" i="33"/>
  <c r="AN64" i="33"/>
  <c r="AN63" i="33"/>
  <c r="AN62" i="33"/>
  <c r="AN61" i="33"/>
  <c r="AN60" i="33"/>
  <c r="AN59" i="33"/>
  <c r="AN58" i="33"/>
  <c r="AN57" i="33"/>
  <c r="AN56" i="33"/>
  <c r="AN55" i="33"/>
  <c r="AN54" i="33"/>
  <c r="AN53" i="33"/>
  <c r="AN52" i="33"/>
  <c r="AG77" i="33" l="1"/>
  <c r="AG76" i="33"/>
  <c r="AG73" i="33"/>
  <c r="AG74" i="33"/>
  <c r="AG71" i="33"/>
  <c r="AG72" i="33"/>
  <c r="U8" i="98"/>
  <c r="U4" i="85" l="1"/>
  <c r="N50" i="33" l="1"/>
  <c r="N49" i="33"/>
  <c r="N48" i="33"/>
  <c r="N47" i="33"/>
  <c r="N46" i="33"/>
  <c r="N45" i="33"/>
  <c r="N44" i="33"/>
  <c r="N43" i="33"/>
  <c r="N42" i="33"/>
  <c r="N41" i="33"/>
  <c r="N40" i="33"/>
  <c r="N39" i="33"/>
  <c r="N38" i="33"/>
  <c r="N37" i="33"/>
  <c r="N36" i="33"/>
  <c r="N35" i="33"/>
  <c r="N34" i="33"/>
  <c r="N33" i="33"/>
  <c r="N32" i="33"/>
  <c r="N31" i="33"/>
  <c r="N30" i="33"/>
  <c r="N29" i="33"/>
  <c r="N28" i="33"/>
  <c r="N27" i="33"/>
  <c r="N26" i="33"/>
  <c r="N25" i="33"/>
  <c r="N24" i="33"/>
  <c r="N23" i="33"/>
  <c r="N22" i="33"/>
  <c r="N21" i="33"/>
  <c r="N20" i="33"/>
  <c r="N19" i="33"/>
  <c r="N18" i="33"/>
  <c r="N17" i="33"/>
  <c r="N16" i="33"/>
  <c r="N15" i="33"/>
  <c r="N14" i="33"/>
  <c r="N13" i="33"/>
  <c r="N12" i="33"/>
  <c r="N11" i="33"/>
  <c r="N10" i="33"/>
  <c r="N9" i="33"/>
  <c r="N8" i="33"/>
  <c r="N7" i="33"/>
  <c r="N6" i="33"/>
  <c r="N5" i="33"/>
  <c r="N4" i="33"/>
  <c r="N3" i="33"/>
  <c r="Y21" i="98" l="1"/>
  <c r="W21" i="98"/>
  <c r="V21" i="98"/>
  <c r="U21" i="98"/>
  <c r="T21" i="98"/>
  <c r="I21" i="98"/>
  <c r="H21" i="98"/>
  <c r="D21" i="98"/>
  <c r="V26" i="26" l="1"/>
  <c r="E7" i="110" l="1"/>
  <c r="H4" i="110"/>
  <c r="G4" i="110"/>
  <c r="F5" i="110"/>
  <c r="G5" i="110" s="1"/>
  <c r="H5" i="110" s="1"/>
  <c r="F4" i="110"/>
  <c r="U12" i="98"/>
  <c r="Y9" i="98"/>
  <c r="Y8" i="98"/>
  <c r="Y19" i="98"/>
  <c r="Y2" i="98"/>
  <c r="Y3" i="98"/>
  <c r="V6" i="87"/>
  <c r="T6" i="87"/>
  <c r="S6" i="87"/>
  <c r="R6" i="87"/>
  <c r="Q6" i="87"/>
  <c r="T5" i="87"/>
  <c r="S5" i="87"/>
  <c r="R5" i="87"/>
  <c r="Q5" i="87"/>
  <c r="D5" i="87"/>
  <c r="F6" i="110" l="1"/>
  <c r="Y20" i="98" l="1"/>
  <c r="W20" i="98"/>
  <c r="V20" i="98"/>
  <c r="U20" i="98"/>
  <c r="T20" i="98"/>
  <c r="I20" i="98"/>
  <c r="H20" i="98"/>
  <c r="D20" i="98"/>
  <c r="W19" i="98" l="1"/>
  <c r="V19" i="98"/>
  <c r="U19" i="98"/>
  <c r="T19" i="98"/>
  <c r="I19" i="98"/>
  <c r="H19" i="98"/>
  <c r="U79" i="33"/>
  <c r="V79" i="33"/>
  <c r="W79" i="33"/>
  <c r="X79" i="33"/>
  <c r="Y79" i="33"/>
  <c r="Z79" i="33"/>
  <c r="AA79" i="33"/>
  <c r="R4" i="107" l="1"/>
  <c r="R3" i="107"/>
  <c r="R2" i="107"/>
  <c r="V18" i="98"/>
  <c r="V16" i="98"/>
  <c r="V15" i="98"/>
  <c r="T18" i="98"/>
  <c r="T17" i="98"/>
  <c r="T16" i="98"/>
  <c r="T15" i="98"/>
  <c r="T14" i="98"/>
  <c r="T13" i="98"/>
  <c r="T12" i="98"/>
  <c r="T11" i="98"/>
  <c r="T10" i="98"/>
  <c r="T9" i="98"/>
  <c r="T8" i="98"/>
  <c r="T7" i="98"/>
  <c r="T6" i="98"/>
  <c r="T5" i="98"/>
  <c r="T4" i="98"/>
  <c r="T3" i="98"/>
  <c r="T2" i="98"/>
  <c r="Q4" i="87"/>
  <c r="Q3" i="87"/>
  <c r="Q2" i="87"/>
  <c r="Q6" i="85"/>
  <c r="Q5" i="85"/>
  <c r="Q3" i="85"/>
  <c r="Q2" i="85"/>
  <c r="T51" i="33" l="1"/>
  <c r="T52" i="33"/>
  <c r="T53" i="33"/>
  <c r="T54" i="33"/>
  <c r="T55" i="33"/>
  <c r="T56" i="33"/>
  <c r="T57" i="33"/>
  <c r="T58" i="33"/>
  <c r="T59" i="33"/>
  <c r="T60" i="33"/>
  <c r="T61" i="33"/>
  <c r="T62" i="33"/>
  <c r="T63" i="33"/>
  <c r="T64" i="33"/>
  <c r="T65" i="33"/>
  <c r="T66" i="33"/>
  <c r="T67" i="33"/>
  <c r="S51" i="33"/>
  <c r="S52" i="33"/>
  <c r="S53" i="33"/>
  <c r="S54" i="33"/>
  <c r="S55" i="33"/>
  <c r="S56" i="33"/>
  <c r="S57" i="33"/>
  <c r="S58" i="33"/>
  <c r="S59" i="33"/>
  <c r="S60" i="33"/>
  <c r="S61" i="33"/>
  <c r="S62" i="33"/>
  <c r="S63" i="33"/>
  <c r="S64" i="33"/>
  <c r="S65" i="33"/>
  <c r="S66" i="33"/>
  <c r="S67" i="33"/>
  <c r="AP41" i="33" l="1"/>
  <c r="AP37" i="33"/>
  <c r="AP33" i="33"/>
  <c r="AP31" i="33"/>
  <c r="AP30" i="33"/>
  <c r="AP26" i="33"/>
  <c r="AP25" i="33"/>
  <c r="AP23" i="33"/>
  <c r="AP20" i="33"/>
  <c r="AP19" i="33"/>
  <c r="AP18" i="33"/>
  <c r="AP17" i="33"/>
  <c r="AP16" i="33"/>
  <c r="AP15" i="33"/>
  <c r="AP14" i="33"/>
  <c r="AP12" i="33"/>
  <c r="AP10" i="33"/>
  <c r="AP9" i="33"/>
  <c r="AP8" i="33"/>
  <c r="AP7" i="33"/>
  <c r="AP6" i="33"/>
  <c r="AP5" i="33"/>
  <c r="AP4" i="33"/>
  <c r="AP3" i="33"/>
  <c r="AN25" i="33"/>
  <c r="AN18" i="33"/>
  <c r="AN17" i="33"/>
  <c r="AN14" i="33"/>
  <c r="AN12" i="33"/>
  <c r="AN10" i="33"/>
  <c r="AN9" i="33"/>
  <c r="AN8" i="33"/>
  <c r="AN7" i="33"/>
  <c r="AN6" i="33"/>
  <c r="AN5" i="33"/>
  <c r="AN3" i="33"/>
  <c r="AN51" i="33"/>
  <c r="H50" i="33"/>
  <c r="H49" i="33"/>
  <c r="H48" i="33"/>
  <c r="C5" i="87" s="1"/>
  <c r="H47" i="33"/>
  <c r="H46" i="33"/>
  <c r="H45" i="33"/>
  <c r="H44" i="33"/>
  <c r="H43" i="33"/>
  <c r="H42" i="33"/>
  <c r="H41" i="33"/>
  <c r="H40" i="33"/>
  <c r="H39" i="33"/>
  <c r="H38" i="33"/>
  <c r="C6" i="107" s="1"/>
  <c r="H37" i="33"/>
  <c r="H36" i="33"/>
  <c r="H35" i="33"/>
  <c r="H34" i="33"/>
  <c r="H33" i="33"/>
  <c r="H32" i="33"/>
  <c r="C10" i="107" s="1"/>
  <c r="H31" i="33"/>
  <c r="H30" i="33"/>
  <c r="C7" i="107" s="1"/>
  <c r="H29" i="33"/>
  <c r="H28" i="33"/>
  <c r="H27" i="33"/>
  <c r="H26" i="33"/>
  <c r="C11" i="107" s="1"/>
  <c r="H25" i="33"/>
  <c r="C5" i="107" s="1"/>
  <c r="H24" i="33"/>
  <c r="H23" i="33"/>
  <c r="H22" i="33"/>
  <c r="H21" i="33"/>
  <c r="H20" i="33"/>
  <c r="H19" i="33"/>
  <c r="H18" i="33"/>
  <c r="H17" i="33"/>
  <c r="H16" i="33"/>
  <c r="H15" i="33"/>
  <c r="H14" i="33"/>
  <c r="H13" i="33"/>
  <c r="H12" i="33"/>
  <c r="H11" i="33"/>
  <c r="H10" i="33"/>
  <c r="H9" i="33"/>
  <c r="H8" i="33"/>
  <c r="H7" i="33"/>
  <c r="H6" i="33"/>
  <c r="H5" i="33"/>
  <c r="H4" i="33"/>
  <c r="H3" i="33"/>
  <c r="C7" i="87" l="1"/>
  <c r="C20" i="98"/>
  <c r="C8" i="107"/>
  <c r="C21" i="98"/>
  <c r="C9" i="107"/>
  <c r="C19" i="98"/>
  <c r="C6" i="87"/>
  <c r="L6" i="33"/>
  <c r="I4" i="33"/>
  <c r="AD3" i="33"/>
  <c r="AD4" i="33"/>
  <c r="AD5" i="33"/>
  <c r="AD6" i="33"/>
  <c r="AD7" i="33"/>
  <c r="AD8" i="33"/>
  <c r="AD9" i="33"/>
  <c r="AD10" i="33"/>
  <c r="AD11" i="33"/>
  <c r="AD12" i="33"/>
  <c r="AD13" i="33"/>
  <c r="AD14" i="33"/>
  <c r="AD15" i="33"/>
  <c r="AD16" i="33"/>
  <c r="AD17" i="33"/>
  <c r="AD18" i="33"/>
  <c r="AD19" i="33"/>
  <c r="AD20" i="33"/>
  <c r="AD21" i="33"/>
  <c r="AD22" i="33"/>
  <c r="AD23" i="33"/>
  <c r="AD24" i="33"/>
  <c r="AD25" i="33"/>
  <c r="AD26" i="33"/>
  <c r="AD27" i="33"/>
  <c r="AD28" i="33"/>
  <c r="AD29" i="33"/>
  <c r="AD30" i="33"/>
  <c r="AD31" i="33"/>
  <c r="AD32" i="33"/>
  <c r="AD33" i="33"/>
  <c r="AD34" i="33"/>
  <c r="AD35" i="33"/>
  <c r="AD36" i="33"/>
  <c r="AD37" i="33"/>
  <c r="AD38" i="33"/>
  <c r="AD39" i="33"/>
  <c r="AD40" i="33"/>
  <c r="AD41" i="33"/>
  <c r="AD42" i="33"/>
  <c r="AD43" i="33"/>
  <c r="AD44" i="33"/>
  <c r="AD45" i="33"/>
  <c r="AD46" i="33"/>
  <c r="AD47" i="33"/>
  <c r="AD48" i="33"/>
  <c r="AD49" i="33"/>
  <c r="AD50" i="33"/>
  <c r="I3"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K21" i="33"/>
  <c r="K20" i="33"/>
  <c r="K19" i="33"/>
  <c r="K18" i="33"/>
  <c r="K17" i="33"/>
  <c r="K16" i="33"/>
  <c r="K15" i="33"/>
  <c r="K14" i="33"/>
  <c r="K13" i="33"/>
  <c r="K12" i="33"/>
  <c r="K11" i="33"/>
  <c r="K10" i="33"/>
  <c r="K9" i="33"/>
  <c r="K8" i="33"/>
  <c r="K7" i="33"/>
  <c r="K6" i="33"/>
  <c r="K5" i="33"/>
  <c r="K4" i="33"/>
  <c r="K3" i="33"/>
  <c r="D19" i="98" l="1"/>
  <c r="D6" i="87"/>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5" i="33"/>
  <c r="L4" i="33"/>
  <c r="L3"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G7" i="33"/>
  <c r="G6" i="33"/>
  <c r="G5" i="33"/>
  <c r="G4" i="33"/>
  <c r="G3"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C3" i="87" l="1"/>
  <c r="D3" i="87"/>
  <c r="R3" i="87"/>
  <c r="S3" i="87"/>
  <c r="T3" i="87"/>
  <c r="U6" i="85" l="1"/>
  <c r="T6" i="85"/>
  <c r="S6" i="85"/>
  <c r="D6" i="85"/>
  <c r="C6" i="85"/>
  <c r="U5" i="85"/>
  <c r="T5" i="85"/>
  <c r="S5" i="85"/>
  <c r="D5" i="85"/>
  <c r="C5" i="85"/>
  <c r="V53" i="26" l="1"/>
  <c r="W53" i="26" s="1"/>
  <c r="V52" i="26"/>
  <c r="W52" i="26" s="1"/>
  <c r="V51" i="26"/>
  <c r="W51" i="26" s="1"/>
  <c r="V50" i="26"/>
  <c r="W50" i="26" s="1"/>
  <c r="V49" i="26"/>
  <c r="W49" i="26" s="1"/>
  <c r="V48" i="26"/>
  <c r="W48" i="26" s="1"/>
  <c r="V47" i="26"/>
  <c r="W47" i="26" s="1"/>
  <c r="V46" i="26"/>
  <c r="W46" i="26" s="1"/>
  <c r="V45" i="26"/>
  <c r="W45" i="26" s="1"/>
  <c r="V44" i="26"/>
  <c r="W44" i="26" s="1"/>
  <c r="V43" i="26"/>
  <c r="W43" i="26" s="1"/>
  <c r="V42" i="26"/>
  <c r="W42" i="26" s="1"/>
  <c r="V41" i="26"/>
  <c r="W41" i="26" s="1"/>
  <c r="V40" i="26"/>
  <c r="W40" i="26" s="1"/>
  <c r="V39" i="26"/>
  <c r="W39" i="26" s="1"/>
  <c r="V38" i="26"/>
  <c r="W38" i="26" s="1"/>
  <c r="V37" i="26"/>
  <c r="W37" i="26" s="1"/>
  <c r="V36" i="26"/>
  <c r="W36" i="26" s="1"/>
  <c r="V35" i="26"/>
  <c r="W35" i="26" s="1"/>
  <c r="V34" i="26"/>
  <c r="W34" i="26" s="1"/>
  <c r="V33" i="26"/>
  <c r="W33" i="26" s="1"/>
  <c r="V32" i="26"/>
  <c r="W32" i="26" s="1"/>
  <c r="V31" i="26"/>
  <c r="W31" i="26" s="1"/>
  <c r="V30" i="26"/>
  <c r="W30" i="26" s="1"/>
  <c r="V29" i="26"/>
  <c r="W29" i="26" s="1"/>
  <c r="V28" i="26"/>
  <c r="W28" i="26" s="1"/>
  <c r="V27" i="26"/>
  <c r="W27" i="26" s="1"/>
  <c r="W26" i="26"/>
  <c r="V25" i="26"/>
  <c r="W25" i="26" s="1"/>
  <c r="V24" i="26"/>
  <c r="W24" i="26" s="1"/>
  <c r="V23" i="26"/>
  <c r="W23" i="26" s="1"/>
  <c r="V22" i="26"/>
  <c r="W22" i="26" s="1"/>
  <c r="V21" i="26"/>
  <c r="W21" i="26" s="1"/>
  <c r="V20" i="26"/>
  <c r="W20" i="26" s="1"/>
  <c r="V19" i="26"/>
  <c r="W19" i="26" s="1"/>
  <c r="V18" i="26"/>
  <c r="W18" i="26" s="1"/>
  <c r="V17" i="26"/>
  <c r="W17" i="26" s="1"/>
  <c r="V16" i="26"/>
  <c r="W16" i="26" s="1"/>
  <c r="V15" i="26"/>
  <c r="W15" i="26" s="1"/>
  <c r="V14" i="26"/>
  <c r="W14" i="26" s="1"/>
  <c r="V13" i="26"/>
  <c r="W13" i="26" s="1"/>
  <c r="V12" i="26"/>
  <c r="W12" i="26" s="1"/>
  <c r="V11" i="26"/>
  <c r="W11" i="26" s="1"/>
  <c r="V10" i="26"/>
  <c r="W10" i="26" s="1"/>
  <c r="V9" i="26"/>
  <c r="W9" i="26" s="1"/>
  <c r="V8" i="26"/>
  <c r="W8" i="26" s="1"/>
  <c r="V7" i="26"/>
  <c r="W7" i="26" s="1"/>
  <c r="V6" i="26"/>
  <c r="W6" i="26" s="1"/>
  <c r="V5" i="26"/>
  <c r="W5" i="26" s="1"/>
  <c r="V4" i="26"/>
  <c r="W4" i="26" s="1"/>
  <c r="V3" i="26"/>
  <c r="W3" i="26" s="1"/>
  <c r="V2" i="26"/>
  <c r="W2" i="26" s="1"/>
  <c r="AP51" i="33" l="1"/>
  <c r="AP46" i="33" l="1"/>
  <c r="AP47" i="33"/>
  <c r="AP42" i="33"/>
  <c r="AP35" i="33"/>
  <c r="AP28" i="33"/>
  <c r="AP50" i="33"/>
  <c r="AP48" i="33"/>
  <c r="AP49" i="33"/>
  <c r="AP36" i="33"/>
  <c r="AP27" i="33"/>
  <c r="AP39" i="33"/>
  <c r="AP43" i="33"/>
  <c r="AP45" i="33"/>
  <c r="AP40" i="33"/>
  <c r="AP22" i="33"/>
  <c r="AP13" i="33"/>
  <c r="AP24" i="33"/>
  <c r="AP44" i="33"/>
  <c r="AP21" i="33"/>
  <c r="AP32" i="33"/>
  <c r="AP29" i="33"/>
  <c r="AP34" i="33"/>
  <c r="AP11" i="33"/>
  <c r="AN4" i="33"/>
  <c r="AN46" i="33"/>
  <c r="AN47" i="33"/>
  <c r="AN26" i="33"/>
  <c r="AN23" i="33"/>
  <c r="AN31" i="33"/>
  <c r="AN42" i="33"/>
  <c r="AN35" i="33"/>
  <c r="AN41" i="33"/>
  <c r="AN28" i="33"/>
  <c r="AN33" i="33"/>
  <c r="AN50" i="33"/>
  <c r="AN48" i="33"/>
  <c r="AN49" i="33"/>
  <c r="AN36" i="33"/>
  <c r="AN27" i="33"/>
  <c r="AN39" i="33"/>
  <c r="AN37" i="33"/>
  <c r="AN43" i="33"/>
  <c r="AN30" i="33"/>
  <c r="AN45" i="33"/>
  <c r="AN20" i="33"/>
  <c r="AN15" i="33"/>
  <c r="AN40" i="33"/>
  <c r="AN22" i="33"/>
  <c r="AN19" i="33"/>
  <c r="AN16" i="33"/>
  <c r="AN13" i="33"/>
  <c r="AN24" i="33"/>
  <c r="AN44" i="33"/>
  <c r="AN21" i="33"/>
  <c r="AN32" i="33"/>
  <c r="AN29" i="33"/>
  <c r="AN34" i="33"/>
  <c r="AN11" i="33"/>
  <c r="T4" i="87"/>
  <c r="Z50" i="7" l="1"/>
  <c r="AA50" i="7" s="1"/>
  <c r="Z8" i="7"/>
  <c r="AA8" i="7" s="1"/>
  <c r="Z6" i="7"/>
  <c r="AA6" i="7" s="1"/>
  <c r="Z49" i="7"/>
  <c r="AA49" i="7" s="1"/>
  <c r="Z48" i="7"/>
  <c r="AA48" i="7" s="1"/>
  <c r="Z35" i="7"/>
  <c r="AA35" i="7" s="1"/>
  <c r="Z47" i="7"/>
  <c r="AA47" i="7" s="1"/>
  <c r="Z46" i="7"/>
  <c r="AA46" i="7" s="1"/>
  <c r="Z45" i="7"/>
  <c r="AA45" i="7" s="1"/>
  <c r="Z44" i="7"/>
  <c r="AA44" i="7" s="1"/>
  <c r="Z43" i="7"/>
  <c r="AA43" i="7" s="1"/>
  <c r="Z42" i="7"/>
  <c r="AA42" i="7" s="1"/>
  <c r="Z3" i="7"/>
  <c r="AA3" i="7" s="1"/>
  <c r="Z41" i="7"/>
  <c r="AA41" i="7" s="1"/>
  <c r="Z40" i="7"/>
  <c r="AA40" i="7" s="1"/>
  <c r="Z38" i="7"/>
  <c r="AA38" i="7" s="1"/>
  <c r="Z39" i="7"/>
  <c r="AA39" i="7" s="1"/>
  <c r="Z37" i="7"/>
  <c r="AA37" i="7" s="1"/>
  <c r="Z7" i="7"/>
  <c r="AA7" i="7" s="1"/>
  <c r="Z36" i="7"/>
  <c r="AA36" i="7" s="1"/>
  <c r="Z34" i="7"/>
  <c r="AA34" i="7" s="1"/>
  <c r="Z33" i="7"/>
  <c r="AA33" i="7" s="1"/>
  <c r="Z30" i="7"/>
  <c r="AA30" i="7" s="1"/>
  <c r="Z32" i="7"/>
  <c r="AA32" i="7" s="1"/>
  <c r="Z31" i="7"/>
  <c r="AA31" i="7" s="1"/>
  <c r="Z29" i="7"/>
  <c r="AA29" i="7" s="1"/>
  <c r="Z28" i="7"/>
  <c r="AA28" i="7" s="1"/>
  <c r="Z27" i="7"/>
  <c r="AA27" i="7" s="1"/>
  <c r="Z24" i="7"/>
  <c r="AA24" i="7" s="1"/>
  <c r="Z26" i="7"/>
  <c r="AA26" i="7" s="1"/>
  <c r="Z25" i="7"/>
  <c r="AA25" i="7" s="1"/>
  <c r="Z23" i="7"/>
  <c r="AA23" i="7" s="1"/>
  <c r="Z22" i="7"/>
  <c r="AA22" i="7" s="1"/>
  <c r="Z21" i="7"/>
  <c r="AA21" i="7" s="1"/>
  <c r="Z18" i="7"/>
  <c r="AA18" i="7" s="1"/>
  <c r="Z20" i="7"/>
  <c r="AA20" i="7" s="1"/>
  <c r="Z19" i="7"/>
  <c r="AA19" i="7" s="1"/>
  <c r="Z17" i="7"/>
  <c r="AA17" i="7" s="1"/>
  <c r="Z15" i="7"/>
  <c r="AA15" i="7" s="1"/>
  <c r="Z16" i="7"/>
  <c r="AA16" i="7" s="1"/>
  <c r="Z14" i="7"/>
  <c r="AA14" i="7" s="1"/>
  <c r="Z13" i="7"/>
  <c r="AA13" i="7" s="1"/>
  <c r="Z12" i="7"/>
  <c r="AA12" i="7" s="1"/>
  <c r="Z5" i="7"/>
  <c r="AA5" i="7" s="1"/>
  <c r="Z4" i="7"/>
  <c r="AA4" i="7" s="1"/>
  <c r="Z9" i="7"/>
  <c r="AA9" i="7" s="1"/>
  <c r="Z11" i="7"/>
  <c r="AA11" i="7" s="1"/>
  <c r="Z10" i="7"/>
  <c r="AA10" i="7" s="1"/>
  <c r="W3" i="98" l="1"/>
  <c r="V3" i="98"/>
  <c r="U3" i="98"/>
  <c r="D3" i="98"/>
  <c r="C3" i="98"/>
  <c r="W2" i="98"/>
  <c r="V2" i="98"/>
  <c r="U2" i="98"/>
  <c r="I2" i="98"/>
  <c r="H2" i="98"/>
  <c r="D2" i="98"/>
  <c r="C2" i="98"/>
  <c r="AG67" i="33" l="1"/>
  <c r="AG66" i="33"/>
  <c r="AG65" i="33"/>
  <c r="AG64" i="33"/>
  <c r="AG63" i="33"/>
  <c r="AG62" i="33"/>
  <c r="AG61" i="33"/>
  <c r="AG60" i="33"/>
  <c r="AG59" i="33"/>
  <c r="AG58" i="33"/>
  <c r="AG57" i="33"/>
  <c r="AG56" i="33"/>
  <c r="AG55" i="33"/>
  <c r="AG54" i="33"/>
  <c r="AG53" i="33"/>
  <c r="AG52" i="33"/>
  <c r="AG51" i="33"/>
  <c r="A3" i="33" l="1"/>
  <c r="O3" i="33"/>
  <c r="P3" i="33"/>
  <c r="Q3" i="33"/>
  <c r="R3" i="33"/>
  <c r="AB3" i="33"/>
  <c r="AC3" i="33"/>
  <c r="AM3" i="33"/>
  <c r="S2" i="85" l="1"/>
  <c r="AC51" i="7"/>
  <c r="AC52" i="7" s="1"/>
  <c r="A50" i="7"/>
  <c r="N3" i="108"/>
  <c r="M3" i="108"/>
  <c r="J3" i="108"/>
  <c r="H3" i="108"/>
  <c r="G3" i="108"/>
  <c r="P3" i="108"/>
  <c r="V2" i="108"/>
  <c r="U2" i="108"/>
  <c r="T2" i="108"/>
  <c r="L2" i="108"/>
  <c r="D2" i="108"/>
  <c r="C2" i="108"/>
  <c r="L4" i="107"/>
  <c r="L3" i="107"/>
  <c r="L2" i="107"/>
  <c r="K3" i="108" l="1"/>
  <c r="V4" i="107" l="1"/>
  <c r="U4" i="107"/>
  <c r="T4" i="107"/>
  <c r="D4" i="107"/>
  <c r="C4" i="107"/>
  <c r="V3" i="107"/>
  <c r="U3" i="107"/>
  <c r="T3" i="107"/>
  <c r="D3" i="107"/>
  <c r="C3" i="107"/>
  <c r="V2" i="107"/>
  <c r="U2" i="107"/>
  <c r="T2" i="107"/>
  <c r="D2" i="107"/>
  <c r="C2" i="107"/>
  <c r="A5" i="107" l="1"/>
  <c r="A8" i="107"/>
  <c r="A11" i="107"/>
  <c r="A6" i="107"/>
  <c r="A9" i="107"/>
  <c r="A7" i="107"/>
  <c r="A10" i="107"/>
  <c r="A4" i="107"/>
  <c r="A3" i="107"/>
  <c r="A2" i="107"/>
  <c r="T2" i="26"/>
  <c r="A8" i="7" l="1"/>
  <c r="A6" i="7"/>
  <c r="A49" i="7"/>
  <c r="A48" i="7"/>
  <c r="A35" i="7"/>
  <c r="A47" i="7"/>
  <c r="A46" i="7"/>
  <c r="A45" i="7"/>
  <c r="A44" i="7"/>
  <c r="A43" i="7"/>
  <c r="A42" i="7"/>
  <c r="A3" i="7"/>
  <c r="A41" i="7"/>
  <c r="A40" i="7"/>
  <c r="A38" i="7"/>
  <c r="A39" i="7"/>
  <c r="A34" i="7"/>
  <c r="A37" i="7"/>
  <c r="A7" i="7"/>
  <c r="A33" i="7"/>
  <c r="A30" i="7"/>
  <c r="A32" i="7"/>
  <c r="A31" i="7"/>
  <c r="A29" i="7"/>
  <c r="A28" i="7"/>
  <c r="A27" i="7"/>
  <c r="A24" i="7"/>
  <c r="A36" i="7"/>
  <c r="A26" i="7"/>
  <c r="A25" i="7"/>
  <c r="A23" i="7"/>
  <c r="A22" i="7"/>
  <c r="A21" i="7"/>
  <c r="A18" i="7"/>
  <c r="A20" i="7"/>
  <c r="A19" i="7"/>
  <c r="A17" i="7"/>
  <c r="A15" i="7"/>
  <c r="A16" i="7"/>
  <c r="A14" i="7"/>
  <c r="A13" i="7"/>
  <c r="A12" i="7"/>
  <c r="A5" i="7"/>
  <c r="A4" i="7"/>
  <c r="A9" i="7"/>
  <c r="A11" i="7"/>
  <c r="T47" i="26"/>
  <c r="U47" i="26" s="1"/>
  <c r="S47" i="26"/>
  <c r="BC13" i="111" s="1"/>
  <c r="R47" i="26"/>
  <c r="AZ13" i="111" s="1"/>
  <c r="P47" i="26"/>
  <c r="L47" i="26"/>
  <c r="BM50" i="7"/>
  <c r="BG50" i="7"/>
  <c r="BF50" i="7"/>
  <c r="BH50" i="7" s="1"/>
  <c r="BI50" i="7" s="1"/>
  <c r="AH3" i="33" s="1"/>
  <c r="AQ50" i="7"/>
  <c r="AG50" i="7"/>
  <c r="AF50" i="7"/>
  <c r="W50" i="7"/>
  <c r="BD13" i="111" l="1"/>
  <c r="AY13" i="111"/>
  <c r="BE13" i="111" s="1"/>
  <c r="AR13" i="111" s="1"/>
  <c r="AU50" i="7"/>
  <c r="AO3" i="33" s="1"/>
  <c r="AW50" i="7"/>
  <c r="AQ3" i="33" s="1"/>
  <c r="AH50" i="7"/>
  <c r="AF3" i="33"/>
  <c r="S3" i="33" s="1"/>
  <c r="BJ50" i="7"/>
  <c r="AE3" i="33"/>
  <c r="T3" i="33" s="1"/>
  <c r="BC50" i="7"/>
  <c r="AZ50" i="7"/>
  <c r="AI50" i="7"/>
  <c r="AJ50" i="7"/>
  <c r="AX50" i="7"/>
  <c r="BL50" i="7" s="1"/>
  <c r="BN50" i="7" s="1"/>
  <c r="BK50" i="7"/>
  <c r="AG3" i="33" l="1"/>
  <c r="AY50" i="7"/>
  <c r="BE50" i="7" s="1"/>
  <c r="AR50" i="7" s="1"/>
  <c r="AR3" i="33"/>
  <c r="AS3" i="33" s="1"/>
  <c r="BD50" i="7"/>
  <c r="S3" i="91" l="1"/>
  <c r="S4" i="91"/>
  <c r="S6" i="91"/>
  <c r="X2" i="90"/>
  <c r="X3" i="90"/>
  <c r="X4" i="90"/>
  <c r="V2" i="90"/>
  <c r="V3" i="90"/>
  <c r="V4" i="90"/>
  <c r="U2" i="90"/>
  <c r="U3" i="90"/>
  <c r="U4" i="90"/>
  <c r="T2" i="90"/>
  <c r="T3" i="90"/>
  <c r="T4" i="90"/>
  <c r="Y10" i="98"/>
  <c r="I12" i="98" l="1"/>
  <c r="I8" i="98"/>
  <c r="I7" i="98"/>
  <c r="I17" i="98"/>
  <c r="I9" i="98"/>
  <c r="I13" i="98"/>
  <c r="I10" i="98"/>
  <c r="I11" i="98"/>
  <c r="I4" i="98"/>
  <c r="I15" i="98"/>
  <c r="I16" i="98"/>
  <c r="I5" i="98"/>
  <c r="H12" i="98"/>
  <c r="H8" i="98"/>
  <c r="H7" i="98"/>
  <c r="H17" i="98"/>
  <c r="H9" i="98"/>
  <c r="H13" i="98"/>
  <c r="H10" i="98"/>
  <c r="H11" i="98"/>
  <c r="H4" i="98"/>
  <c r="H15" i="98"/>
  <c r="H16" i="98"/>
  <c r="H5" i="98"/>
  <c r="W3" i="91" l="1"/>
  <c r="W4" i="91"/>
  <c r="W6" i="91"/>
  <c r="P3" i="90"/>
  <c r="O3" i="90"/>
  <c r="N3" i="90"/>
  <c r="M3" i="90"/>
  <c r="L3" i="90"/>
  <c r="J3" i="90"/>
  <c r="I3" i="90"/>
  <c r="H3" i="90"/>
  <c r="G3" i="90"/>
  <c r="F3" i="90"/>
  <c r="E3" i="90"/>
  <c r="V4" i="87"/>
  <c r="S4" i="87"/>
  <c r="R4" i="87"/>
  <c r="D4" i="87"/>
  <c r="C4" i="87"/>
  <c r="AC4" i="33" l="1"/>
  <c r="AC5" i="33"/>
  <c r="AC6" i="33"/>
  <c r="AC7" i="33"/>
  <c r="AC8" i="33"/>
  <c r="AC9" i="33"/>
  <c r="AC10" i="33"/>
  <c r="AC11" i="33"/>
  <c r="AC12" i="33"/>
  <c r="AC13" i="33"/>
  <c r="AC14" i="33"/>
  <c r="AC15" i="33"/>
  <c r="AC16" i="33"/>
  <c r="AC17" i="33"/>
  <c r="AC18" i="33"/>
  <c r="AC19" i="33"/>
  <c r="AC20" i="33"/>
  <c r="AC21" i="33"/>
  <c r="AC22" i="33"/>
  <c r="AC23" i="33"/>
  <c r="AC24" i="33"/>
  <c r="AC25" i="33"/>
  <c r="H5" i="107" s="1"/>
  <c r="AC26" i="33"/>
  <c r="H11" i="107" s="1"/>
  <c r="AC27" i="33"/>
  <c r="AC28" i="33"/>
  <c r="H9" i="107" s="1"/>
  <c r="AC29" i="33"/>
  <c r="H2" i="87" s="1"/>
  <c r="AC30" i="33"/>
  <c r="H7" i="107" s="1"/>
  <c r="AC31" i="33"/>
  <c r="AC32" i="33"/>
  <c r="H10" i="107" s="1"/>
  <c r="AC33" i="33"/>
  <c r="AC34" i="33"/>
  <c r="H4" i="87" s="1"/>
  <c r="AC35" i="33"/>
  <c r="H8" i="107" s="1"/>
  <c r="AC36" i="33"/>
  <c r="H7" i="87" s="1"/>
  <c r="AC37" i="33"/>
  <c r="AC38" i="33"/>
  <c r="H6" i="107" s="1"/>
  <c r="AC39" i="33"/>
  <c r="AC40" i="33"/>
  <c r="AC41" i="33"/>
  <c r="AC42" i="33"/>
  <c r="AC43" i="33"/>
  <c r="AC44" i="33"/>
  <c r="AC45" i="33"/>
  <c r="AC46" i="33"/>
  <c r="AC47" i="33"/>
  <c r="AC48" i="33"/>
  <c r="H5" i="87" s="1"/>
  <c r="AC49" i="33"/>
  <c r="AC50" i="33"/>
  <c r="H3" i="91" l="1"/>
  <c r="H4" i="85"/>
  <c r="H2" i="91"/>
  <c r="H6" i="87"/>
  <c r="H6" i="85"/>
  <c r="H2" i="107"/>
  <c r="H5" i="85"/>
  <c r="H6" i="91"/>
  <c r="H3" i="87"/>
  <c r="H4" i="91"/>
  <c r="H2" i="108"/>
  <c r="H3" i="85"/>
  <c r="H4" i="107"/>
  <c r="H2" i="85"/>
  <c r="H3" i="107"/>
  <c r="H2" i="90"/>
  <c r="H4" i="90"/>
  <c r="AB4" i="33"/>
  <c r="AB5" i="33"/>
  <c r="AB6" i="33"/>
  <c r="AB7" i="33"/>
  <c r="AB8" i="33"/>
  <c r="AB9" i="33"/>
  <c r="AB10" i="33"/>
  <c r="AB11" i="33"/>
  <c r="AB12" i="33"/>
  <c r="AB13" i="33"/>
  <c r="AB14" i="33"/>
  <c r="AB15" i="33"/>
  <c r="AB16" i="33"/>
  <c r="AB17" i="33"/>
  <c r="AB18" i="33"/>
  <c r="AB19" i="33"/>
  <c r="AB20" i="33"/>
  <c r="AB21" i="33"/>
  <c r="AB22" i="33"/>
  <c r="AB23" i="33"/>
  <c r="AB24" i="33"/>
  <c r="AB25" i="33"/>
  <c r="G5" i="107" s="1"/>
  <c r="AB26" i="33"/>
  <c r="G11" i="107" s="1"/>
  <c r="AB27" i="33"/>
  <c r="AB28" i="33"/>
  <c r="G9" i="107" s="1"/>
  <c r="AB29" i="33"/>
  <c r="G2" i="87" s="1"/>
  <c r="AB30" i="33"/>
  <c r="G7" i="107" s="1"/>
  <c r="AB31" i="33"/>
  <c r="AB32" i="33"/>
  <c r="G10" i="107" s="1"/>
  <c r="AB33" i="33"/>
  <c r="AB34" i="33"/>
  <c r="G4" i="87" s="1"/>
  <c r="AB35" i="33"/>
  <c r="G8" i="107" s="1"/>
  <c r="AB36" i="33"/>
  <c r="G7" i="87" s="1"/>
  <c r="AB37" i="33"/>
  <c r="AB38" i="33"/>
  <c r="G6" i="107" s="1"/>
  <c r="AB39" i="33"/>
  <c r="AB40" i="33"/>
  <c r="AB41" i="33"/>
  <c r="AB42" i="33"/>
  <c r="AB43" i="33"/>
  <c r="AB44" i="33"/>
  <c r="AB45" i="33"/>
  <c r="AB46" i="33"/>
  <c r="AB47" i="33"/>
  <c r="AB48" i="33"/>
  <c r="G5" i="87" s="1"/>
  <c r="AB49" i="33"/>
  <c r="AB50" i="33"/>
  <c r="T4" i="85"/>
  <c r="S4" i="85"/>
  <c r="D4" i="85"/>
  <c r="C4" i="85"/>
  <c r="G3" i="91" l="1"/>
  <c r="G4" i="85"/>
  <c r="G2" i="91"/>
  <c r="G6" i="87"/>
  <c r="G6" i="91"/>
  <c r="G3" i="87"/>
  <c r="G6" i="85"/>
  <c r="G2" i="107"/>
  <c r="G5" i="85"/>
  <c r="G4" i="91"/>
  <c r="G2" i="108"/>
  <c r="G2" i="85"/>
  <c r="G3" i="107"/>
  <c r="G3" i="85"/>
  <c r="G4" i="107"/>
  <c r="G2" i="90"/>
  <c r="G4" i="90"/>
  <c r="L53" i="26" l="1"/>
  <c r="L52" i="26"/>
  <c r="L51" i="26"/>
  <c r="L50" i="26"/>
  <c r="L49" i="26"/>
  <c r="L48"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 r="L3" i="26"/>
  <c r="L2" i="26"/>
  <c r="K8" i="98" l="1"/>
  <c r="M8" i="98"/>
  <c r="J8" i="98"/>
  <c r="E8" i="98"/>
  <c r="D14" i="98"/>
  <c r="D12" i="98"/>
  <c r="D8" i="98"/>
  <c r="D7" i="98"/>
  <c r="D17" i="98"/>
  <c r="D9" i="98"/>
  <c r="D13" i="98"/>
  <c r="D10" i="98"/>
  <c r="D11" i="98"/>
  <c r="D4" i="98"/>
  <c r="D15" i="98"/>
  <c r="D16" i="98"/>
  <c r="D5" i="98"/>
  <c r="D6" i="98"/>
  <c r="D18" i="98"/>
  <c r="C14" i="98"/>
  <c r="C12" i="98"/>
  <c r="C8" i="98"/>
  <c r="C7" i="98"/>
  <c r="C17" i="98"/>
  <c r="C9" i="98"/>
  <c r="C13" i="98"/>
  <c r="C10" i="98"/>
  <c r="C11" i="98"/>
  <c r="C4" i="98"/>
  <c r="C15" i="98"/>
  <c r="C16" i="98"/>
  <c r="C5" i="98"/>
  <c r="C6" i="98"/>
  <c r="C18" i="98"/>
  <c r="D2" i="87"/>
  <c r="A7" i="87" s="1"/>
  <c r="C2" i="87"/>
  <c r="A3" i="87" l="1"/>
  <c r="A2" i="87"/>
  <c r="A6" i="87"/>
  <c r="A5" i="87"/>
  <c r="A4" i="87"/>
  <c r="A8" i="98"/>
  <c r="A21" i="98"/>
  <c r="A7" i="98"/>
  <c r="A20" i="98"/>
  <c r="A6" i="98"/>
  <c r="A19" i="98"/>
  <c r="A5" i="98"/>
  <c r="A18" i="98"/>
  <c r="A4" i="98"/>
  <c r="A17" i="98"/>
  <c r="A3" i="98"/>
  <c r="A16" i="98"/>
  <c r="A2" i="98"/>
  <c r="A15" i="98"/>
  <c r="A14" i="98"/>
  <c r="A13" i="98"/>
  <c r="A11" i="98"/>
  <c r="A10" i="98"/>
  <c r="A9" i="98"/>
  <c r="A12" i="98"/>
  <c r="L8" i="98"/>
  <c r="R4" i="33"/>
  <c r="R5" i="33"/>
  <c r="R6" i="33"/>
  <c r="R7" i="33"/>
  <c r="R8" i="33"/>
  <c r="R9" i="33"/>
  <c r="R10" i="33"/>
  <c r="R11" i="33"/>
  <c r="R12" i="33"/>
  <c r="R13" i="33"/>
  <c r="R14" i="33"/>
  <c r="R15" i="33"/>
  <c r="R16" i="33"/>
  <c r="R17" i="33"/>
  <c r="R18" i="33"/>
  <c r="R19" i="33"/>
  <c r="R20" i="33"/>
  <c r="R21" i="33"/>
  <c r="R22" i="33"/>
  <c r="R23" i="33"/>
  <c r="R24" i="33"/>
  <c r="R25" i="33"/>
  <c r="O5" i="107" s="1"/>
  <c r="R26" i="33"/>
  <c r="O11" i="107" s="1"/>
  <c r="R27" i="33"/>
  <c r="R28" i="33"/>
  <c r="O9" i="107" s="1"/>
  <c r="R29" i="33"/>
  <c r="R30" i="33"/>
  <c r="O7" i="107" s="1"/>
  <c r="R31" i="33"/>
  <c r="R32" i="33"/>
  <c r="O10" i="107" s="1"/>
  <c r="R33" i="33"/>
  <c r="R34" i="33"/>
  <c r="R35" i="33"/>
  <c r="O8" i="107" s="1"/>
  <c r="R36" i="33"/>
  <c r="N7" i="87" s="1"/>
  <c r="R37" i="33"/>
  <c r="R38" i="33"/>
  <c r="O6" i="107" s="1"/>
  <c r="R39" i="33"/>
  <c r="R40" i="33"/>
  <c r="R41" i="33"/>
  <c r="R42" i="33"/>
  <c r="R43" i="33"/>
  <c r="R44" i="33"/>
  <c r="R45" i="33"/>
  <c r="R46" i="33"/>
  <c r="R47" i="33"/>
  <c r="R48" i="33"/>
  <c r="R49" i="33"/>
  <c r="R50" i="33"/>
  <c r="C3" i="85"/>
  <c r="C2" i="85"/>
  <c r="D3" i="85"/>
  <c r="D2" i="85"/>
  <c r="Q36" i="33"/>
  <c r="AS51" i="33"/>
  <c r="AS52" i="33"/>
  <c r="AS53" i="33"/>
  <c r="AS54" i="33"/>
  <c r="AS55" i="33"/>
  <c r="AS56" i="33"/>
  <c r="AS57" i="33"/>
  <c r="AS58" i="33"/>
  <c r="AS59" i="33"/>
  <c r="AS60" i="33"/>
  <c r="AS61" i="33"/>
  <c r="AS62" i="33"/>
  <c r="AS63" i="33"/>
  <c r="AS64" i="33"/>
  <c r="AS65" i="33"/>
  <c r="AS66" i="33"/>
  <c r="AS67" i="33"/>
  <c r="Y4" i="98"/>
  <c r="U4" i="91"/>
  <c r="D3" i="91"/>
  <c r="D4" i="91"/>
  <c r="D6" i="91"/>
  <c r="D2" i="91"/>
  <c r="C3" i="91"/>
  <c r="C4" i="91"/>
  <c r="C6" i="91"/>
  <c r="C2" i="91"/>
  <c r="D2" i="90"/>
  <c r="C2" i="90"/>
  <c r="D3" i="90"/>
  <c r="D4" i="90"/>
  <c r="C3" i="90"/>
  <c r="C4" i="90"/>
  <c r="W18" i="98"/>
  <c r="W15" i="98"/>
  <c r="W16" i="98"/>
  <c r="W11" i="98"/>
  <c r="W13" i="98"/>
  <c r="W12" i="98"/>
  <c r="W14" i="98"/>
  <c r="U14" i="98"/>
  <c r="F7" i="87" l="1"/>
  <c r="A4" i="90"/>
  <c r="A3" i="90"/>
  <c r="A2" i="90"/>
  <c r="A3" i="91"/>
  <c r="A4" i="91"/>
  <c r="A6" i="91"/>
  <c r="A2" i="91"/>
  <c r="A5" i="91"/>
  <c r="E21" i="98"/>
  <c r="E12" i="98"/>
  <c r="E20" i="98"/>
  <c r="N5" i="87"/>
  <c r="A4" i="85"/>
  <c r="A6" i="85"/>
  <c r="A3" i="85"/>
  <c r="A2" i="85"/>
  <c r="A5" i="85"/>
  <c r="E19" i="98"/>
  <c r="N6" i="87"/>
  <c r="R79" i="33"/>
  <c r="N5" i="85"/>
  <c r="E15" i="98"/>
  <c r="E9" i="98"/>
  <c r="N6" i="85"/>
  <c r="E18" i="98"/>
  <c r="O4" i="90"/>
  <c r="O2" i="108"/>
  <c r="O4" i="108" s="1"/>
  <c r="O3" i="107"/>
  <c r="N2" i="87"/>
  <c r="E17" i="98"/>
  <c r="E14" i="98"/>
  <c r="N6" i="91"/>
  <c r="N3" i="87"/>
  <c r="E11" i="98"/>
  <c r="N4" i="85"/>
  <c r="E3" i="98"/>
  <c r="O4" i="107"/>
  <c r="E2" i="98"/>
  <c r="N4" i="91"/>
  <c r="E16" i="98"/>
  <c r="O2" i="90"/>
  <c r="O2" i="107"/>
  <c r="E13" i="98"/>
  <c r="N2" i="91"/>
  <c r="E7" i="98"/>
  <c r="N3" i="91"/>
  <c r="N4" i="87"/>
  <c r="E5" i="98"/>
  <c r="E10" i="98"/>
  <c r="E6" i="98"/>
  <c r="N3" i="85"/>
  <c r="N2" i="85"/>
  <c r="E4" i="98"/>
  <c r="U3" i="85"/>
  <c r="T3" i="85"/>
  <c r="S3" i="85"/>
  <c r="N8" i="87" l="1"/>
  <c r="E22" i="98"/>
  <c r="O12" i="107"/>
  <c r="N7" i="85"/>
  <c r="Y14" i="98" l="1"/>
  <c r="V14" i="98" l="1"/>
  <c r="V12" i="98" l="1"/>
  <c r="W8" i="98"/>
  <c r="V8" i="98"/>
  <c r="Y12" i="98" l="1"/>
  <c r="Q8" i="98"/>
  <c r="N8" i="98"/>
  <c r="G8" i="98"/>
  <c r="P8" i="98" s="1"/>
  <c r="F8" i="98"/>
  <c r="Y5" i="98"/>
  <c r="Y6" i="98"/>
  <c r="Y7" i="98"/>
  <c r="Y17" i="98"/>
  <c r="Y13" i="98"/>
  <c r="Y11" i="98"/>
  <c r="Y15" i="98"/>
  <c r="Y16" i="98"/>
  <c r="Y18" i="98"/>
  <c r="W7" i="98"/>
  <c r="W17" i="98"/>
  <c r="W9" i="98"/>
  <c r="W10" i="98"/>
  <c r="W4" i="98"/>
  <c r="W5" i="98"/>
  <c r="W6" i="98"/>
  <c r="V7" i="98"/>
  <c r="V17" i="98"/>
  <c r="V9" i="98"/>
  <c r="V13" i="98"/>
  <c r="V10" i="98"/>
  <c r="V11" i="98"/>
  <c r="V4" i="98"/>
  <c r="V5" i="98"/>
  <c r="V6" i="98"/>
  <c r="U7" i="98"/>
  <c r="U17" i="98"/>
  <c r="U9" i="98"/>
  <c r="U13" i="98"/>
  <c r="U10" i="98"/>
  <c r="U11" i="98"/>
  <c r="U4" i="98"/>
  <c r="U15" i="98"/>
  <c r="U16" i="98"/>
  <c r="U5" i="98"/>
  <c r="U6" i="98"/>
  <c r="U18" i="98"/>
  <c r="I6" i="98"/>
  <c r="I18" i="98"/>
  <c r="H6" i="98"/>
  <c r="H18" i="98"/>
  <c r="U6" i="91" l="1"/>
  <c r="D3" i="95"/>
  <c r="D2" i="95"/>
  <c r="C3" i="95"/>
  <c r="C2" i="95"/>
  <c r="S3" i="95" l="1"/>
  <c r="R3" i="95"/>
  <c r="Q3" i="95"/>
  <c r="N3" i="95"/>
  <c r="L3" i="95"/>
  <c r="H3" i="95"/>
  <c r="G3" i="95"/>
  <c r="F3" i="95"/>
  <c r="E3" i="95"/>
  <c r="S2" i="95"/>
  <c r="R2" i="95"/>
  <c r="Q2" i="95"/>
  <c r="N2" i="95"/>
  <c r="L2" i="95"/>
  <c r="H2" i="95"/>
  <c r="G2" i="95"/>
  <c r="F2" i="95"/>
  <c r="E2" i="95"/>
  <c r="O8" i="98" l="1"/>
  <c r="N4" i="95"/>
  <c r="P53" i="26"/>
  <c r="P52" i="26"/>
  <c r="P51" i="26"/>
  <c r="P50" i="26"/>
  <c r="P49" i="26"/>
  <c r="P48" i="26"/>
  <c r="AM38" i="33" l="1"/>
  <c r="M6" i="107" s="1"/>
  <c r="P2" i="26"/>
  <c r="P3" i="26"/>
  <c r="P4" i="26"/>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AF39" i="7"/>
  <c r="AG39" i="7"/>
  <c r="AF36" i="7"/>
  <c r="AG36" i="7"/>
  <c r="AF7" i="7"/>
  <c r="AG7" i="7"/>
  <c r="AF49" i="7"/>
  <c r="AG49" i="7"/>
  <c r="AL49" i="7" s="1"/>
  <c r="AF6" i="7"/>
  <c r="AG6" i="7"/>
  <c r="AL6" i="7" s="1"/>
  <c r="AF28" i="7"/>
  <c r="AG28" i="7"/>
  <c r="AF14" i="7"/>
  <c r="AG14" i="7"/>
  <c r="AF32" i="7"/>
  <c r="AG32" i="7"/>
  <c r="AF46" i="7"/>
  <c r="AG46" i="7"/>
  <c r="AF44" i="7"/>
  <c r="AG44" i="7"/>
  <c r="AF22" i="7"/>
  <c r="AG22" i="7"/>
  <c r="AF33" i="7"/>
  <c r="AG33" i="7"/>
  <c r="AF10" i="7"/>
  <c r="AG10" i="7"/>
  <c r="AF9" i="7"/>
  <c r="AG9" i="7"/>
  <c r="AL9" i="7" s="1"/>
  <c r="AF45" i="7"/>
  <c r="AG45" i="7"/>
  <c r="AF4" i="7"/>
  <c r="AG4" i="7"/>
  <c r="AF12" i="7"/>
  <c r="AG12" i="7"/>
  <c r="AF47" i="7"/>
  <c r="AG47" i="7"/>
  <c r="AF29" i="7"/>
  <c r="AG29" i="7"/>
  <c r="AF5" i="7"/>
  <c r="AG5" i="7"/>
  <c r="AU5" i="7" s="1"/>
  <c r="AF43" i="7"/>
  <c r="AG43" i="7"/>
  <c r="AF34" i="7"/>
  <c r="AG34" i="7"/>
  <c r="AF40" i="7"/>
  <c r="AG40" i="7"/>
  <c r="AF16" i="7"/>
  <c r="AG16" i="7"/>
  <c r="AF35" i="7"/>
  <c r="AG35" i="7"/>
  <c r="AF21" i="7"/>
  <c r="AG21" i="7"/>
  <c r="AF13" i="7"/>
  <c r="AG13" i="7"/>
  <c r="AF26" i="7"/>
  <c r="AG26" i="7"/>
  <c r="AF19" i="7"/>
  <c r="AG19" i="7"/>
  <c r="AF31" i="7"/>
  <c r="AG31" i="7"/>
  <c r="AF37" i="7"/>
  <c r="AG37" i="7"/>
  <c r="AF17" i="7"/>
  <c r="AG17" i="7"/>
  <c r="AF23" i="7"/>
  <c r="AG23" i="7"/>
  <c r="AF41" i="7"/>
  <c r="AG41" i="7"/>
  <c r="AF11" i="7"/>
  <c r="AG11" i="7"/>
  <c r="AF25" i="7"/>
  <c r="AG25" i="7"/>
  <c r="AF27" i="7"/>
  <c r="AG27" i="7"/>
  <c r="AF20" i="7"/>
  <c r="AG20" i="7"/>
  <c r="AF3" i="7"/>
  <c r="AG3" i="7"/>
  <c r="AF42" i="7"/>
  <c r="AG42" i="7"/>
  <c r="AF8" i="7"/>
  <c r="AG8" i="7"/>
  <c r="AL8" i="7" s="1"/>
  <c r="AO15" i="33" l="1"/>
  <c r="AQ15" i="33"/>
  <c r="AO22" i="33"/>
  <c r="AQ22" i="33"/>
  <c r="AO39" i="33"/>
  <c r="AQ39" i="33"/>
  <c r="AU6" i="7"/>
  <c r="AW6" i="7"/>
  <c r="AQ46" i="33" s="1"/>
  <c r="AO16" i="33"/>
  <c r="AQ16" i="33"/>
  <c r="AO23" i="33"/>
  <c r="AQ23" i="33"/>
  <c r="AO7" i="33"/>
  <c r="AQ7" i="33"/>
  <c r="AO24" i="33"/>
  <c r="AQ24" i="33"/>
  <c r="AW12" i="7"/>
  <c r="AQ32" i="33" s="1"/>
  <c r="N10" i="107" s="1"/>
  <c r="AU12" i="7"/>
  <c r="AU7" i="7"/>
  <c r="AO48" i="33" s="1"/>
  <c r="M5" i="87" s="1"/>
  <c r="AQ48" i="33"/>
  <c r="AQ9" i="33"/>
  <c r="AO9" i="33"/>
  <c r="AQ18" i="33"/>
  <c r="AQ10" i="33"/>
  <c r="AO10" i="33"/>
  <c r="AO19" i="33"/>
  <c r="AQ19" i="33"/>
  <c r="AO27" i="33"/>
  <c r="AQ27" i="33"/>
  <c r="AO43" i="33"/>
  <c r="AQ43" i="33"/>
  <c r="AQ50" i="33"/>
  <c r="AO50" i="33"/>
  <c r="AW11" i="7"/>
  <c r="AU11" i="7"/>
  <c r="N9" i="107"/>
  <c r="AQ28" i="33"/>
  <c r="AU9" i="7"/>
  <c r="AO36" i="33" s="1"/>
  <c r="AQ36" i="33"/>
  <c r="AU14" i="7"/>
  <c r="AO44" i="33" s="1"/>
  <c r="AW14" i="7"/>
  <c r="N7" i="107"/>
  <c r="AQ30" i="33"/>
  <c r="AU3" i="7"/>
  <c r="AO6" i="33" s="1"/>
  <c r="O12" i="98" s="1"/>
  <c r="AW3" i="7"/>
  <c r="AQ6" i="33" s="1"/>
  <c r="AO40" i="33"/>
  <c r="AQ40" i="33"/>
  <c r="AQ41" i="33"/>
  <c r="AQ25" i="33"/>
  <c r="N5" i="107"/>
  <c r="AO42" i="33"/>
  <c r="AQ42" i="33"/>
  <c r="N8" i="107"/>
  <c r="AQ35" i="33"/>
  <c r="AQ20" i="33"/>
  <c r="AO20" i="33"/>
  <c r="AU8" i="7"/>
  <c r="AO4" i="33" s="1"/>
  <c r="AW8" i="7"/>
  <c r="AQ4" i="33" s="1"/>
  <c r="AO12" i="33"/>
  <c r="AW13" i="7"/>
  <c r="AU13" i="7"/>
  <c r="AW10" i="7"/>
  <c r="AU10" i="7"/>
  <c r="AO45" i="33"/>
  <c r="AQ45" i="33"/>
  <c r="AO30" i="33"/>
  <c r="AQ17" i="33"/>
  <c r="AO18" i="33"/>
  <c r="AO41" i="33"/>
  <c r="AO11" i="33"/>
  <c r="AO31" i="33"/>
  <c r="AQ34" i="33"/>
  <c r="AU4" i="7"/>
  <c r="AO34" i="33" s="1"/>
  <c r="AO47" i="33"/>
  <c r="AQ47" i="33"/>
  <c r="AQ49" i="33"/>
  <c r="AO49" i="33"/>
  <c r="AQ12" i="33"/>
  <c r="AO5" i="33"/>
  <c r="AQ5" i="33"/>
  <c r="AO29" i="33"/>
  <c r="AW5" i="7"/>
  <c r="AQ29" i="33" s="1"/>
  <c r="I2" i="95"/>
  <c r="I3" i="95"/>
  <c r="AO17" i="33"/>
  <c r="AQ31" i="33"/>
  <c r="AL7" i="7"/>
  <c r="L6" i="85"/>
  <c r="AL11" i="7"/>
  <c r="AL14" i="7"/>
  <c r="AL12" i="7"/>
  <c r="N5" i="98"/>
  <c r="J3" i="95"/>
  <c r="J2" i="95"/>
  <c r="U2" i="85"/>
  <c r="M7" i="87" l="1"/>
  <c r="AO28" i="33"/>
  <c r="O21" i="98" s="1"/>
  <c r="AO35" i="33"/>
  <c r="O20" i="98" s="1"/>
  <c r="AO25" i="33"/>
  <c r="K2" i="95"/>
  <c r="K3" i="95"/>
  <c r="O19" i="98"/>
  <c r="M6" i="87"/>
  <c r="AO46" i="33"/>
  <c r="M3" i="87" s="1"/>
  <c r="AQ44" i="33"/>
  <c r="N3" i="107" s="1"/>
  <c r="AQ11" i="33"/>
  <c r="AO32" i="33"/>
  <c r="O3" i="98" s="1"/>
  <c r="AO21" i="33"/>
  <c r="O2" i="98" s="1"/>
  <c r="AQ21" i="33"/>
  <c r="N4" i="107" s="1"/>
  <c r="N2" i="108"/>
  <c r="M5" i="85" l="1"/>
  <c r="N2" i="107"/>
  <c r="Q3" i="90"/>
  <c r="U3" i="91" l="1"/>
  <c r="U2" i="91"/>
  <c r="V2" i="87"/>
  <c r="T2" i="87" l="1"/>
  <c r="S2" i="87"/>
  <c r="T2" i="85"/>
  <c r="W2" i="91" l="1"/>
  <c r="S2" i="91"/>
  <c r="R2" i="87"/>
  <c r="R53" i="26" l="1"/>
  <c r="AZ22" i="111" s="1"/>
  <c r="R52" i="26"/>
  <c r="AZ19" i="111" s="1"/>
  <c r="R51" i="26"/>
  <c r="AZ28" i="111" s="1"/>
  <c r="R49" i="26"/>
  <c r="AZ42" i="111" s="1"/>
  <c r="R48" i="26"/>
  <c r="AZ34" i="111" s="1"/>
  <c r="R50" i="26"/>
  <c r="AZ11" i="111" s="1"/>
  <c r="R45" i="26"/>
  <c r="R27" i="26"/>
  <c r="AZ23" i="111" s="1"/>
  <c r="R40" i="26"/>
  <c r="AZ40" i="111" s="1"/>
  <c r="R39" i="26"/>
  <c r="AZ30" i="111" s="1"/>
  <c r="R35" i="26"/>
  <c r="AZ31" i="111" s="1"/>
  <c r="R41" i="26"/>
  <c r="AZ41" i="111" s="1"/>
  <c r="R32" i="26"/>
  <c r="AZ7" i="111" s="1"/>
  <c r="R29" i="26"/>
  <c r="AZ12" i="111" s="1"/>
  <c r="R13" i="26"/>
  <c r="AZ20" i="111" s="1"/>
  <c r="R23" i="26"/>
  <c r="AZ24" i="111" s="1"/>
  <c r="R15" i="26"/>
  <c r="AZ44" i="111" s="1"/>
  <c r="R17" i="26"/>
  <c r="AZ25" i="111" s="1"/>
  <c r="R18" i="26"/>
  <c r="AZ17" i="111" s="1"/>
  <c r="R21" i="26"/>
  <c r="AZ35" i="111" s="1"/>
  <c r="R4" i="26"/>
  <c r="AZ14" i="111" s="1"/>
  <c r="R7" i="26"/>
  <c r="AZ36" i="111" s="1"/>
  <c r="R5" i="26"/>
  <c r="AZ18" i="111" s="1"/>
  <c r="R3" i="26"/>
  <c r="AZ49" i="111" s="1"/>
  <c r="R6" i="26"/>
  <c r="AZ43" i="111" s="1"/>
  <c r="R33" i="26"/>
  <c r="AZ39" i="111" s="1"/>
  <c r="R46" i="26"/>
  <c r="AZ8" i="111" s="1"/>
  <c r="R44" i="26"/>
  <c r="AZ15" i="111" s="1"/>
  <c r="R43" i="26"/>
  <c r="AZ29" i="111" s="1"/>
  <c r="R42" i="26"/>
  <c r="AZ4" i="111" s="1"/>
  <c r="R38" i="26"/>
  <c r="AZ37" i="111" s="1"/>
  <c r="R34" i="26"/>
  <c r="AZ16" i="111" s="1"/>
  <c r="R22" i="26"/>
  <c r="AZ45" i="111" s="1"/>
  <c r="R36" i="26"/>
  <c r="AZ9" i="111" s="1"/>
  <c r="R31" i="26"/>
  <c r="AZ32" i="111" s="1"/>
  <c r="R30" i="26"/>
  <c r="AZ5" i="111" s="1"/>
  <c r="R37" i="26"/>
  <c r="R25" i="26"/>
  <c r="AZ46" i="111" s="1"/>
  <c r="R28" i="26"/>
  <c r="AZ6" i="111" s="1"/>
  <c r="R26" i="26"/>
  <c r="R24" i="26"/>
  <c r="AZ3" i="111" s="1"/>
  <c r="R19" i="26"/>
  <c r="AZ21" i="111" s="1"/>
  <c r="R20" i="26"/>
  <c r="AZ47" i="111" s="1"/>
  <c r="R16" i="26"/>
  <c r="AZ27" i="111" s="1"/>
  <c r="R12" i="26"/>
  <c r="AZ38" i="111" s="1"/>
  <c r="R9" i="26"/>
  <c r="AZ10" i="111" s="1"/>
  <c r="R2" i="26"/>
  <c r="AZ48" i="111" s="1"/>
  <c r="R8" i="26"/>
  <c r="AZ26" i="111" s="1"/>
  <c r="R14" i="26"/>
  <c r="R10" i="26"/>
  <c r="AZ33" i="111" s="1"/>
  <c r="J69" i="26"/>
  <c r="AP38" i="33"/>
  <c r="AN38" i="33"/>
  <c r="AY41" i="111" l="1"/>
  <c r="BE41" i="111" s="1"/>
  <c r="AR41" i="111" s="1"/>
  <c r="BD41" i="111"/>
  <c r="AY31" i="111"/>
  <c r="BE31" i="111" s="1"/>
  <c r="AR31" i="111" s="1"/>
  <c r="BD31" i="111"/>
  <c r="AY12" i="111"/>
  <c r="BE12" i="111" s="1"/>
  <c r="AR12" i="111" s="1"/>
  <c r="BD12" i="111"/>
  <c r="AY46" i="111"/>
  <c r="BE46" i="111" s="1"/>
  <c r="AR46" i="111" s="1"/>
  <c r="BD46" i="111"/>
  <c r="AY30" i="111"/>
  <c r="BE30" i="111" s="1"/>
  <c r="AR30" i="111" s="1"/>
  <c r="BD30" i="111"/>
  <c r="AY18" i="111"/>
  <c r="BE18" i="111" s="1"/>
  <c r="AR18" i="111" s="1"/>
  <c r="BD18" i="111"/>
  <c r="AY40" i="111"/>
  <c r="BE40" i="111" s="1"/>
  <c r="AR40" i="111" s="1"/>
  <c r="BD40" i="111"/>
  <c r="AY15" i="111"/>
  <c r="BE15" i="111" s="1"/>
  <c r="AR15" i="111" s="1"/>
  <c r="BD15" i="111"/>
  <c r="AY8" i="111"/>
  <c r="BE8" i="111" s="1"/>
  <c r="AR8" i="111" s="1"/>
  <c r="BD8" i="111"/>
  <c r="AY43" i="111"/>
  <c r="BE43" i="111" s="1"/>
  <c r="AR43" i="111" s="1"/>
  <c r="BD43" i="111"/>
  <c r="AY32" i="111"/>
  <c r="BE32" i="111" s="1"/>
  <c r="AR32" i="111" s="1"/>
  <c r="BD32" i="111"/>
  <c r="AY9" i="111"/>
  <c r="BE9" i="111" s="1"/>
  <c r="AR9" i="111" s="1"/>
  <c r="BD9" i="111"/>
  <c r="AY34" i="111"/>
  <c r="BE34" i="111" s="1"/>
  <c r="AR34" i="111" s="1"/>
  <c r="BD34" i="111"/>
  <c r="AY21" i="111"/>
  <c r="BE21" i="111" s="1"/>
  <c r="AR21" i="111" s="1"/>
  <c r="BD21" i="111"/>
  <c r="AY5" i="111"/>
  <c r="BE5" i="111" s="1"/>
  <c r="AR5" i="111" s="1"/>
  <c r="BD5" i="111"/>
  <c r="AY35" i="111"/>
  <c r="BE35" i="111" s="1"/>
  <c r="AR35" i="111" s="1"/>
  <c r="BD35" i="111"/>
  <c r="BD42" i="111"/>
  <c r="AY42" i="111"/>
  <c r="BE42" i="111" s="1"/>
  <c r="AR42" i="111" s="1"/>
  <c r="AY7" i="111"/>
  <c r="BE7" i="111" s="1"/>
  <c r="AR7" i="111" s="1"/>
  <c r="BD7" i="111"/>
  <c r="BD33" i="111"/>
  <c r="AY33" i="111"/>
  <c r="BE33" i="111" s="1"/>
  <c r="AR33" i="111" s="1"/>
  <c r="AY14" i="111"/>
  <c r="BE14" i="111" s="1"/>
  <c r="AR14" i="111" s="1"/>
  <c r="BD14" i="111"/>
  <c r="AY48" i="111"/>
  <c r="BE48" i="111" s="1"/>
  <c r="AR48" i="111" s="1"/>
  <c r="BD48" i="111"/>
  <c r="AY10" i="111"/>
  <c r="BE10" i="111" s="1"/>
  <c r="AR10" i="111" s="1"/>
  <c r="BD10" i="111"/>
  <c r="AY28" i="111"/>
  <c r="BE28" i="111" s="1"/>
  <c r="AR28" i="111" s="1"/>
  <c r="BD28" i="111"/>
  <c r="AY39" i="111"/>
  <c r="BE39" i="111" s="1"/>
  <c r="AR39" i="111" s="1"/>
  <c r="BD39" i="111"/>
  <c r="AY23" i="111"/>
  <c r="BE23" i="111" s="1"/>
  <c r="AR23" i="111" s="1"/>
  <c r="BD23" i="111"/>
  <c r="AY11" i="111"/>
  <c r="BE11" i="111" s="1"/>
  <c r="AR11" i="111" s="1"/>
  <c r="BD11" i="111"/>
  <c r="AY16" i="111"/>
  <c r="BE16" i="111" s="1"/>
  <c r="AR16" i="111" s="1"/>
  <c r="BD16" i="111"/>
  <c r="AY19" i="111"/>
  <c r="BE19" i="111" s="1"/>
  <c r="AR19" i="111" s="1"/>
  <c r="BD19" i="111"/>
  <c r="AY3" i="111"/>
  <c r="BE3" i="111" s="1"/>
  <c r="AR3" i="111" s="1"/>
  <c r="BD3" i="111"/>
  <c r="AY6" i="111"/>
  <c r="BE6" i="111" s="1"/>
  <c r="AR6" i="111" s="1"/>
  <c r="BD6" i="111"/>
  <c r="AY49" i="111"/>
  <c r="BE49" i="111" s="1"/>
  <c r="AR49" i="111" s="1"/>
  <c r="BD49" i="111"/>
  <c r="AY36" i="111"/>
  <c r="BE36" i="111" s="1"/>
  <c r="AR36" i="111" s="1"/>
  <c r="BD36" i="111"/>
  <c r="AY26" i="111"/>
  <c r="BE26" i="111" s="1"/>
  <c r="AR26" i="111" s="1"/>
  <c r="BD26" i="111"/>
  <c r="BD45" i="111"/>
  <c r="AY45" i="111"/>
  <c r="BE45" i="111" s="1"/>
  <c r="AR45" i="111" s="1"/>
  <c r="AY17" i="111"/>
  <c r="BE17" i="111" s="1"/>
  <c r="AR17" i="111" s="1"/>
  <c r="BD17" i="111"/>
  <c r="AY25" i="111"/>
  <c r="BE25" i="111" s="1"/>
  <c r="AR25" i="111" s="1"/>
  <c r="BD25" i="111"/>
  <c r="AY38" i="111"/>
  <c r="BE38" i="111" s="1"/>
  <c r="AR38" i="111" s="1"/>
  <c r="BD38" i="111"/>
  <c r="AY37" i="111"/>
  <c r="BE37" i="111" s="1"/>
  <c r="AR37" i="111" s="1"/>
  <c r="BD37" i="111"/>
  <c r="AY44" i="111"/>
  <c r="BE44" i="111" s="1"/>
  <c r="AR44" i="111" s="1"/>
  <c r="BD44" i="111"/>
  <c r="AY27" i="111"/>
  <c r="BE27" i="111" s="1"/>
  <c r="AR27" i="111" s="1"/>
  <c r="BD27" i="111"/>
  <c r="AY4" i="111"/>
  <c r="BE4" i="111" s="1"/>
  <c r="AR4" i="111" s="1"/>
  <c r="BD4" i="111"/>
  <c r="AY24" i="111"/>
  <c r="BE24" i="111" s="1"/>
  <c r="AR24" i="111" s="1"/>
  <c r="BD24" i="111"/>
  <c r="AY47" i="111"/>
  <c r="BE47" i="111" s="1"/>
  <c r="AR47" i="111" s="1"/>
  <c r="BD47" i="111"/>
  <c r="AY29" i="111"/>
  <c r="BE29" i="111" s="1"/>
  <c r="AR29" i="111" s="1"/>
  <c r="BD29" i="111"/>
  <c r="BD20" i="111"/>
  <c r="AY20" i="111"/>
  <c r="BE20" i="111" s="1"/>
  <c r="AR20" i="111" s="1"/>
  <c r="AY22" i="111"/>
  <c r="BE22" i="111" s="1"/>
  <c r="AR22" i="111" s="1"/>
  <c r="BD22" i="111"/>
  <c r="AQ38" i="33"/>
  <c r="N6" i="107" s="1"/>
  <c r="M6" i="85" l="1"/>
  <c r="W8" i="82"/>
  <c r="W7" i="82"/>
  <c r="W6" i="82"/>
  <c r="W5" i="82"/>
  <c r="W4" i="82"/>
  <c r="N7" i="91" l="1"/>
  <c r="O5" i="90"/>
  <c r="X8" i="82"/>
  <c r="AM29" i="33" l="1"/>
  <c r="AM34" i="33"/>
  <c r="AM11" i="33"/>
  <c r="AM32" i="33"/>
  <c r="M10" i="107" s="1"/>
  <c r="AM44" i="33"/>
  <c r="AM21" i="33"/>
  <c r="AM48" i="33"/>
  <c r="AM36" i="33"/>
  <c r="AM4" i="33"/>
  <c r="AM46" i="33"/>
  <c r="L3" i="87" s="1"/>
  <c r="AM35" i="33"/>
  <c r="AM13" i="33"/>
  <c r="AM26" i="33"/>
  <c r="M11" i="107" s="1"/>
  <c r="AM25" i="33"/>
  <c r="M5" i="107" s="1"/>
  <c r="AM23" i="33"/>
  <c r="AM27" i="33"/>
  <c r="AM47" i="33"/>
  <c r="AM6" i="33"/>
  <c r="N12" i="98" s="1"/>
  <c r="AM28" i="33"/>
  <c r="AM39" i="33"/>
  <c r="AM33" i="33"/>
  <c r="AM31" i="33"/>
  <c r="AM43" i="33"/>
  <c r="AM22" i="33"/>
  <c r="AM50" i="33"/>
  <c r="AM9" i="33"/>
  <c r="AM45" i="33"/>
  <c r="AM41" i="33"/>
  <c r="AM37" i="33"/>
  <c r="AM5" i="33"/>
  <c r="AM14" i="33"/>
  <c r="AM42" i="33"/>
  <c r="AM17" i="33"/>
  <c r="AM10" i="33"/>
  <c r="AM8" i="33"/>
  <c r="AM18" i="33"/>
  <c r="AM19" i="33"/>
  <c r="AM40" i="33"/>
  <c r="AM30" i="33"/>
  <c r="M7" i="107" s="1"/>
  <c r="AM20" i="33"/>
  <c r="AM7" i="33"/>
  <c r="AM15" i="33"/>
  <c r="AM16" i="33"/>
  <c r="AM24" i="33"/>
  <c r="AM12" i="33"/>
  <c r="AM49" i="33"/>
  <c r="L7" i="87" l="1"/>
  <c r="L5" i="87"/>
  <c r="L2" i="90"/>
  <c r="N20" i="98"/>
  <c r="M8" i="107"/>
  <c r="N21" i="98"/>
  <c r="M9" i="107"/>
  <c r="N19" i="98"/>
  <c r="L6" i="87"/>
  <c r="L5" i="85"/>
  <c r="L6" i="91"/>
  <c r="N9" i="98"/>
  <c r="N15" i="98"/>
  <c r="N17" i="98"/>
  <c r="N3" i="98"/>
  <c r="M2" i="108"/>
  <c r="N2" i="98"/>
  <c r="M3" i="107"/>
  <c r="N14" i="98"/>
  <c r="N18" i="98"/>
  <c r="L2" i="87"/>
  <c r="N11" i="98"/>
  <c r="L4" i="91"/>
  <c r="N16" i="98"/>
  <c r="L3" i="85"/>
  <c r="M4" i="107"/>
  <c r="M2" i="107"/>
  <c r="L4" i="90"/>
  <c r="L2" i="91"/>
  <c r="N7" i="98"/>
  <c r="L3" i="91"/>
  <c r="N13" i="98"/>
  <c r="L4" i="87"/>
  <c r="N6" i="98"/>
  <c r="L4" i="85"/>
  <c r="N4" i="98"/>
  <c r="L2" i="85"/>
  <c r="N10" i="98"/>
  <c r="X7" i="82"/>
  <c r="P46" i="26"/>
  <c r="AQ42" i="7"/>
  <c r="T53" i="26"/>
  <c r="U53" i="26" s="1"/>
  <c r="T52" i="26"/>
  <c r="U52" i="26" s="1"/>
  <c r="T51" i="26"/>
  <c r="U51" i="26" s="1"/>
  <c r="T50" i="26"/>
  <c r="U50" i="26" s="1"/>
  <c r="T49" i="26"/>
  <c r="U49" i="26" s="1"/>
  <c r="T48" i="26"/>
  <c r="U48" i="26" s="1"/>
  <c r="T46" i="26"/>
  <c r="U46" i="26" s="1"/>
  <c r="T45" i="26"/>
  <c r="U45" i="26" s="1"/>
  <c r="T44" i="26"/>
  <c r="U44" i="26" s="1"/>
  <c r="T43" i="26"/>
  <c r="U43" i="26" s="1"/>
  <c r="T42" i="26"/>
  <c r="U42" i="26" s="1"/>
  <c r="T41" i="26"/>
  <c r="U41" i="26" s="1"/>
  <c r="T40" i="26"/>
  <c r="U40" i="26" s="1"/>
  <c r="T39" i="26"/>
  <c r="U39" i="26" s="1"/>
  <c r="T38" i="26"/>
  <c r="U38" i="26" s="1"/>
  <c r="T37" i="26"/>
  <c r="U37" i="26" s="1"/>
  <c r="T36" i="26"/>
  <c r="U36" i="26" s="1"/>
  <c r="T35" i="26"/>
  <c r="U35" i="26" s="1"/>
  <c r="T34" i="26"/>
  <c r="U34" i="26" s="1"/>
  <c r="T33" i="26"/>
  <c r="U33" i="26" s="1"/>
  <c r="T32" i="26"/>
  <c r="U32" i="26" s="1"/>
  <c r="T31" i="26"/>
  <c r="U31" i="26" s="1"/>
  <c r="T30" i="26"/>
  <c r="U30" i="26" s="1"/>
  <c r="T29" i="26"/>
  <c r="U29" i="26" s="1"/>
  <c r="T28" i="26"/>
  <c r="U28" i="26" s="1"/>
  <c r="T27" i="26"/>
  <c r="U27" i="26" s="1"/>
  <c r="U26" i="26"/>
  <c r="T25" i="26"/>
  <c r="U25" i="26" s="1"/>
  <c r="T24" i="26"/>
  <c r="U24" i="26" s="1"/>
  <c r="T23" i="26"/>
  <c r="U23" i="26" s="1"/>
  <c r="T22" i="26"/>
  <c r="U22" i="26" s="1"/>
  <c r="T21" i="26"/>
  <c r="U21" i="26" s="1"/>
  <c r="T20" i="26"/>
  <c r="U20" i="26" s="1"/>
  <c r="T19" i="26"/>
  <c r="U19" i="26" s="1"/>
  <c r="T18" i="26"/>
  <c r="U18" i="26" s="1"/>
  <c r="T17" i="26"/>
  <c r="U17" i="26" s="1"/>
  <c r="T16" i="26"/>
  <c r="U16" i="26" s="1"/>
  <c r="T15" i="26"/>
  <c r="U15" i="26" s="1"/>
  <c r="T14" i="26"/>
  <c r="U14" i="26" s="1"/>
  <c r="T13" i="26"/>
  <c r="U13" i="26" s="1"/>
  <c r="T12" i="26"/>
  <c r="U12" i="26" s="1"/>
  <c r="T11" i="26"/>
  <c r="U11" i="26" s="1"/>
  <c r="T10" i="26"/>
  <c r="U10" i="26" s="1"/>
  <c r="T9" i="26"/>
  <c r="U9" i="26" s="1"/>
  <c r="T8" i="26"/>
  <c r="U8" i="26" s="1"/>
  <c r="T7" i="26"/>
  <c r="U7" i="26" s="1"/>
  <c r="T6" i="26"/>
  <c r="U6" i="26" s="1"/>
  <c r="T5" i="26"/>
  <c r="U5" i="26" s="1"/>
  <c r="T4" i="26"/>
  <c r="U4" i="26" s="1"/>
  <c r="T3" i="26"/>
  <c r="U3" i="26" s="1"/>
  <c r="AF38" i="7"/>
  <c r="S45" i="26"/>
  <c r="BM42" i="7"/>
  <c r="A10" i="7"/>
  <c r="X6" i="82"/>
  <c r="X5" i="82"/>
  <c r="X4" i="82"/>
  <c r="O6" i="33"/>
  <c r="M12" i="98" s="1"/>
  <c r="O4" i="33"/>
  <c r="M19" i="98" s="1"/>
  <c r="O5" i="33"/>
  <c r="P6" i="33"/>
  <c r="F12" i="98" s="1"/>
  <c r="P4" i="33"/>
  <c r="P5" i="33"/>
  <c r="Q6" i="33"/>
  <c r="G12" i="98" s="1"/>
  <c r="P12" i="98" s="1"/>
  <c r="Q4" i="33"/>
  <c r="F4" i="90" s="1"/>
  <c r="Q4" i="90" s="1"/>
  <c r="Q5" i="33"/>
  <c r="G10" i="98" s="1"/>
  <c r="P10" i="98" s="1"/>
  <c r="BG42" i="7"/>
  <c r="BF42" i="7"/>
  <c r="BH42" i="7" s="1"/>
  <c r="BI42" i="7" s="1"/>
  <c r="AH5" i="33" s="1"/>
  <c r="AF5" i="33"/>
  <c r="S5" i="33" s="1"/>
  <c r="AE5" i="33"/>
  <c r="T5" i="33" s="1"/>
  <c r="W42" i="7"/>
  <c r="S27" i="26"/>
  <c r="BC23" i="111" s="1"/>
  <c r="AB69" i="75"/>
  <c r="AA69" i="75"/>
  <c r="Z69" i="75"/>
  <c r="Y69" i="75"/>
  <c r="X69" i="75"/>
  <c r="W69" i="75"/>
  <c r="V69" i="75"/>
  <c r="U69" i="75"/>
  <c r="T69" i="75"/>
  <c r="S69" i="75"/>
  <c r="R69" i="75"/>
  <c r="Q69"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A5" i="75"/>
  <c r="A4" i="75"/>
  <c r="A3" i="75"/>
  <c r="BM8" i="7"/>
  <c r="BM3" i="7"/>
  <c r="BM41" i="7"/>
  <c r="BM25" i="7"/>
  <c r="BM38" i="7"/>
  <c r="BM39" i="7"/>
  <c r="BM35" i="7"/>
  <c r="BM29" i="7"/>
  <c r="BM46" i="7"/>
  <c r="BM11" i="7"/>
  <c r="BM6" i="7"/>
  <c r="BM43" i="7"/>
  <c r="BM47" i="7"/>
  <c r="BM28" i="7"/>
  <c r="BM32" i="7"/>
  <c r="BM48" i="7"/>
  <c r="BM34" i="7"/>
  <c r="BM37" i="7"/>
  <c r="BM45" i="7"/>
  <c r="BM44" i="7"/>
  <c r="BM22" i="7"/>
  <c r="BM17" i="7"/>
  <c r="BM20" i="7"/>
  <c r="BM31" i="7"/>
  <c r="BM23" i="7"/>
  <c r="BM18" i="7"/>
  <c r="BM15" i="7"/>
  <c r="BM27" i="7"/>
  <c r="BM16" i="7"/>
  <c r="BM21" i="7"/>
  <c r="BM24" i="7"/>
  <c r="BM19" i="7"/>
  <c r="BM26" i="7"/>
  <c r="BM36" i="7"/>
  <c r="BM30" i="7"/>
  <c r="BM4" i="7"/>
  <c r="BM10" i="7"/>
  <c r="BM14" i="7"/>
  <c r="BM7" i="7"/>
  <c r="BM5" i="7"/>
  <c r="BM13" i="7"/>
  <c r="BM40" i="7"/>
  <c r="BM33" i="7"/>
  <c r="BM12" i="7"/>
  <c r="BM49" i="7"/>
  <c r="BM9" i="7"/>
  <c r="K4" i="62"/>
  <c r="AF30" i="7"/>
  <c r="AG30" i="7"/>
  <c r="S37" i="26"/>
  <c r="S40" i="26"/>
  <c r="BC40" i="111" s="1"/>
  <c r="BG8" i="7"/>
  <c r="BG3" i="7"/>
  <c r="BF8" i="7"/>
  <c r="BH8" i="7" s="1"/>
  <c r="BI8" i="7" s="1"/>
  <c r="AH4" i="33" s="1"/>
  <c r="BF3" i="7"/>
  <c r="BH3" i="7" s="1"/>
  <c r="BI3" i="7" s="1"/>
  <c r="AH6" i="33" s="1"/>
  <c r="W8" i="7"/>
  <c r="W3" i="7"/>
  <c r="AQ8" i="7"/>
  <c r="AQ3" i="7"/>
  <c r="AF4" i="33"/>
  <c r="J6" i="87" s="1"/>
  <c r="AF6" i="33"/>
  <c r="AE4" i="33"/>
  <c r="I6" i="87" s="1"/>
  <c r="R11" i="26"/>
  <c r="AZ50" i="111" s="1"/>
  <c r="U2" i="26"/>
  <c r="S32" i="26"/>
  <c r="BC7" i="111" s="1"/>
  <c r="W41" i="7"/>
  <c r="BG41" i="7"/>
  <c r="BF41" i="7"/>
  <c r="BH41" i="7" s="1"/>
  <c r="BI41" i="7" s="1"/>
  <c r="AH12" i="33" s="1"/>
  <c r="AQ41" i="7"/>
  <c r="AF12" i="33"/>
  <c r="S12" i="33" s="1"/>
  <c r="AE12" i="33"/>
  <c r="S35" i="26"/>
  <c r="BC31" i="111" s="1"/>
  <c r="Q11" i="33"/>
  <c r="F5" i="85" s="1"/>
  <c r="O5" i="85" s="1"/>
  <c r="P11" i="33"/>
  <c r="E5" i="85" s="1"/>
  <c r="O11" i="33"/>
  <c r="Q7" i="33"/>
  <c r="P7" i="33"/>
  <c r="O7" i="33"/>
  <c r="AF7" i="33"/>
  <c r="S7" i="33" s="1"/>
  <c r="AE11" i="33"/>
  <c r="BG11" i="7"/>
  <c r="BF11" i="7"/>
  <c r="BH11" i="7" s="1"/>
  <c r="BI11" i="7" s="1"/>
  <c r="AH11" i="33" s="1"/>
  <c r="Z6" i="82" s="1"/>
  <c r="AQ11" i="7"/>
  <c r="W11" i="7"/>
  <c r="BG20" i="7"/>
  <c r="BF20" i="7"/>
  <c r="BH20" i="7" s="1"/>
  <c r="BI20" i="7" s="1"/>
  <c r="AH7" i="33" s="1"/>
  <c r="AQ20" i="7"/>
  <c r="W20" i="7"/>
  <c r="S39" i="26"/>
  <c r="BC30" i="111" s="1"/>
  <c r="Q13" i="33"/>
  <c r="Q18" i="33"/>
  <c r="Q15" i="33"/>
  <c r="Q8" i="33"/>
  <c r="Q12" i="33"/>
  <c r="G14" i="98" s="1"/>
  <c r="P14" i="98" s="1"/>
  <c r="Q49" i="33"/>
  <c r="F2" i="108"/>
  <c r="P2" i="108" s="1"/>
  <c r="Q20" i="33"/>
  <c r="Q19" i="33"/>
  <c r="Q9" i="33"/>
  <c r="Q10" i="33"/>
  <c r="Q17" i="33"/>
  <c r="Q14" i="33"/>
  <c r="Q24" i="33"/>
  <c r="Q45" i="33"/>
  <c r="Q42" i="33"/>
  <c r="Q16" i="33"/>
  <c r="Q46" i="33"/>
  <c r="Q40" i="33"/>
  <c r="Q50" i="33"/>
  <c r="Q22" i="33"/>
  <c r="Q41" i="33"/>
  <c r="Q47" i="33"/>
  <c r="Q26" i="33"/>
  <c r="F11" i="107" s="1"/>
  <c r="P11" i="107" s="1"/>
  <c r="Q33" i="33"/>
  <c r="G15" i="98" s="1"/>
  <c r="P15" i="98" s="1"/>
  <c r="Q39" i="33"/>
  <c r="G17" i="98" s="1"/>
  <c r="P17" i="98" s="1"/>
  <c r="Q25" i="33"/>
  <c r="F5" i="107" s="1"/>
  <c r="P5" i="107" s="1"/>
  <c r="Q31" i="33"/>
  <c r="G9" i="98" s="1"/>
  <c r="P9" i="98" s="1"/>
  <c r="Q23" i="33"/>
  <c r="Q37" i="33"/>
  <c r="G18" i="98" s="1"/>
  <c r="P18" i="98" s="1"/>
  <c r="Q32" i="33"/>
  <c r="F10" i="107" s="1"/>
  <c r="P10" i="107" s="1"/>
  <c r="Q30" i="33"/>
  <c r="F7" i="107" s="1"/>
  <c r="P7" i="107" s="1"/>
  <c r="Q44" i="33"/>
  <c r="F3" i="107" s="1"/>
  <c r="P3" i="107" s="1"/>
  <c r="Q43" i="33"/>
  <c r="Q29" i="33"/>
  <c r="F2" i="87" s="1"/>
  <c r="Q34" i="33"/>
  <c r="Q27" i="33"/>
  <c r="Q38" i="33"/>
  <c r="Q48" i="33"/>
  <c r="F5" i="87" s="1"/>
  <c r="Q28" i="33"/>
  <c r="F9" i="107" s="1"/>
  <c r="P9" i="107" s="1"/>
  <c r="Q35" i="33"/>
  <c r="Q21" i="33"/>
  <c r="BG15" i="7"/>
  <c r="BG31" i="7"/>
  <c r="BG23" i="7"/>
  <c r="BG25" i="7"/>
  <c r="BG18" i="7"/>
  <c r="BG39" i="7"/>
  <c r="BG49" i="7"/>
  <c r="BG6" i="7"/>
  <c r="BG22" i="7"/>
  <c r="BG44" i="7"/>
  <c r="BG38" i="7"/>
  <c r="BG12" i="7"/>
  <c r="BG33" i="7"/>
  <c r="BG48" i="7"/>
  <c r="BG40" i="7"/>
  <c r="BG17" i="7"/>
  <c r="BG27" i="7"/>
  <c r="BG19" i="7"/>
  <c r="BG37" i="7"/>
  <c r="BG4" i="7"/>
  <c r="BG5" i="7"/>
  <c r="BG13" i="7"/>
  <c r="BG46" i="7"/>
  <c r="BG26" i="7"/>
  <c r="BG36" i="7"/>
  <c r="BG28" i="7"/>
  <c r="BG16" i="7"/>
  <c r="BG21" i="7"/>
  <c r="BG24" i="7"/>
  <c r="BG32" i="7"/>
  <c r="BG35" i="7"/>
  <c r="BG14" i="7"/>
  <c r="BG9" i="7"/>
  <c r="BG7" i="7"/>
  <c r="BG30" i="7"/>
  <c r="BG45" i="7"/>
  <c r="BG47" i="7"/>
  <c r="BG34" i="7"/>
  <c r="BG10" i="7"/>
  <c r="BG43" i="7"/>
  <c r="BG29" i="7"/>
  <c r="BF15" i="7"/>
  <c r="BH15" i="7" s="1"/>
  <c r="BI15" i="7" s="1"/>
  <c r="AH13" i="33" s="1"/>
  <c r="BF31" i="7"/>
  <c r="BH31" i="7" s="1"/>
  <c r="BI31" i="7" s="1"/>
  <c r="AH18" i="33" s="1"/>
  <c r="BF23" i="7"/>
  <c r="BH23" i="7" s="1"/>
  <c r="BI23" i="7" s="1"/>
  <c r="AH15" i="33" s="1"/>
  <c r="BF25" i="7"/>
  <c r="BH25" i="7" s="1"/>
  <c r="BI25" i="7" s="1"/>
  <c r="AH10" i="33" s="1"/>
  <c r="BF18" i="7"/>
  <c r="BH18" i="7" s="1"/>
  <c r="BI18" i="7" s="1"/>
  <c r="AH8" i="33" s="1"/>
  <c r="BF39" i="7"/>
  <c r="BH39" i="7" s="1"/>
  <c r="BI39" i="7" s="1"/>
  <c r="AH50" i="33" s="1"/>
  <c r="BF49" i="7"/>
  <c r="BH49" i="7" s="1"/>
  <c r="BI49" i="7" s="1"/>
  <c r="AH47" i="33" s="1"/>
  <c r="BF6" i="7"/>
  <c r="BH6" i="7" s="1"/>
  <c r="BI6" i="7" s="1"/>
  <c r="AH46" i="33" s="1"/>
  <c r="BF22" i="7"/>
  <c r="BH22" i="7" s="1"/>
  <c r="BI22" i="7" s="1"/>
  <c r="AH40" i="33" s="1"/>
  <c r="BF44" i="7"/>
  <c r="BH44" i="7" s="1"/>
  <c r="BI44" i="7" s="1"/>
  <c r="AH41" i="33" s="1"/>
  <c r="BF38" i="7"/>
  <c r="BH38" i="7" s="1"/>
  <c r="BI38" i="7" s="1"/>
  <c r="AH33" i="33" s="1"/>
  <c r="BF12" i="7"/>
  <c r="BH12" i="7" s="1"/>
  <c r="BI12" i="7" s="1"/>
  <c r="AH32" i="33" s="1"/>
  <c r="BF33" i="7"/>
  <c r="BH33" i="7" s="1"/>
  <c r="BI33" i="7" s="1"/>
  <c r="AH39" i="33" s="1"/>
  <c r="BF48" i="7"/>
  <c r="BH48" i="7" s="1"/>
  <c r="BI48" i="7" s="1"/>
  <c r="AH26" i="33" s="1"/>
  <c r="BF40" i="7"/>
  <c r="BH40" i="7" s="1"/>
  <c r="BI40" i="7" s="1"/>
  <c r="AH25" i="33" s="1"/>
  <c r="BF17" i="7"/>
  <c r="BH17" i="7" s="1"/>
  <c r="BI17" i="7" s="1"/>
  <c r="AH16" i="33" s="1"/>
  <c r="BF27" i="7"/>
  <c r="BH27" i="7" s="1"/>
  <c r="BI27" i="7" s="1"/>
  <c r="AH9" i="33" s="1"/>
  <c r="BF19" i="7"/>
  <c r="BH19" i="7" s="1"/>
  <c r="BI19" i="7" s="1"/>
  <c r="AH19" i="33" s="1"/>
  <c r="BF37" i="7"/>
  <c r="BH37" i="7" s="1"/>
  <c r="BI37" i="7" s="1"/>
  <c r="AH17" i="33" s="1"/>
  <c r="BF4" i="7"/>
  <c r="BH4" i="7" s="1"/>
  <c r="BI4" i="7" s="1"/>
  <c r="AH34" i="33" s="1"/>
  <c r="Z8" i="82" s="1"/>
  <c r="BF5" i="7"/>
  <c r="BH5" i="7" s="1"/>
  <c r="BI5" i="7" s="1"/>
  <c r="AH29" i="33" s="1"/>
  <c r="BF13" i="7"/>
  <c r="BH13" i="7" s="1"/>
  <c r="BI13" i="7" s="1"/>
  <c r="AH21" i="33" s="1"/>
  <c r="BF46" i="7"/>
  <c r="BH46" i="7" s="1"/>
  <c r="BI46" i="7" s="1"/>
  <c r="AH42" i="33" s="1"/>
  <c r="BF26" i="7"/>
  <c r="BH26" i="7" s="1"/>
  <c r="BI26" i="7" s="1"/>
  <c r="AH20" i="33" s="1"/>
  <c r="BF36" i="7"/>
  <c r="BH36" i="7" s="1"/>
  <c r="BI36" i="7" s="1"/>
  <c r="AH49" i="33" s="1"/>
  <c r="BF28" i="7"/>
  <c r="BH28" i="7" s="1"/>
  <c r="BI28" i="7" s="1"/>
  <c r="AH45" i="33" s="1"/>
  <c r="BF16" i="7"/>
  <c r="BH16" i="7" s="1"/>
  <c r="BI16" i="7" s="1"/>
  <c r="AH24" i="33" s="1"/>
  <c r="BF21" i="7"/>
  <c r="BH21" i="7" s="1"/>
  <c r="BI21" i="7" s="1"/>
  <c r="AH22" i="33" s="1"/>
  <c r="BF24" i="7"/>
  <c r="BH24" i="7" s="1"/>
  <c r="BI24" i="7" s="1"/>
  <c r="AH14" i="33" s="1"/>
  <c r="BF32" i="7"/>
  <c r="BH32" i="7" s="1"/>
  <c r="BI32" i="7" s="1"/>
  <c r="AH43" i="33" s="1"/>
  <c r="BF35" i="7"/>
  <c r="BH35" i="7" s="1"/>
  <c r="BI35" i="7" s="1"/>
  <c r="AH23" i="33" s="1"/>
  <c r="BF14" i="7"/>
  <c r="BH14" i="7" s="1"/>
  <c r="BI14" i="7" s="1"/>
  <c r="AH44" i="33" s="1"/>
  <c r="Z5" i="82" s="1"/>
  <c r="BF9" i="7"/>
  <c r="BH9" i="7" s="1"/>
  <c r="BI9" i="7" s="1"/>
  <c r="AH36" i="33" s="1"/>
  <c r="BF7" i="7"/>
  <c r="BH7" i="7" s="1"/>
  <c r="BI7" i="7" s="1"/>
  <c r="AH48" i="33" s="1"/>
  <c r="Z7" i="82" s="1"/>
  <c r="BF30" i="7"/>
  <c r="BH30" i="7" s="1"/>
  <c r="BI30" i="7" s="1"/>
  <c r="AH37" i="33" s="1"/>
  <c r="BF45" i="7"/>
  <c r="BH45" i="7" s="1"/>
  <c r="BI45" i="7" s="1"/>
  <c r="AH35" i="33" s="1"/>
  <c r="BF47" i="7"/>
  <c r="BH47" i="7" s="1"/>
  <c r="BI47" i="7" s="1"/>
  <c r="AH31" i="33" s="1"/>
  <c r="BF34" i="7"/>
  <c r="BH34" i="7" s="1"/>
  <c r="BI34" i="7" s="1"/>
  <c r="AH27" i="33" s="1"/>
  <c r="BF10" i="7"/>
  <c r="BH10" i="7" s="1"/>
  <c r="BF43" i="7"/>
  <c r="BH43" i="7" s="1"/>
  <c r="BI43" i="7" s="1"/>
  <c r="AH28" i="33" s="1"/>
  <c r="BF29" i="7"/>
  <c r="BH29" i="7" s="1"/>
  <c r="BI29" i="7" s="1"/>
  <c r="AH30" i="33" s="1"/>
  <c r="W15" i="7"/>
  <c r="W31" i="7"/>
  <c r="W23" i="7"/>
  <c r="W25" i="7"/>
  <c r="W18" i="7"/>
  <c r="W39" i="7"/>
  <c r="W49" i="7"/>
  <c r="W6" i="7"/>
  <c r="W22" i="7"/>
  <c r="W44" i="7"/>
  <c r="W38" i="7"/>
  <c r="W12" i="7"/>
  <c r="W33" i="7"/>
  <c r="W48" i="7"/>
  <c r="W40" i="7"/>
  <c r="W17" i="7"/>
  <c r="W27" i="7"/>
  <c r="W19" i="7"/>
  <c r="W37" i="7"/>
  <c r="W4" i="7"/>
  <c r="W5" i="7"/>
  <c r="W13" i="7"/>
  <c r="W46" i="7"/>
  <c r="W26" i="7"/>
  <c r="W36" i="7"/>
  <c r="W28" i="7"/>
  <c r="W16" i="7"/>
  <c r="W21" i="7"/>
  <c r="W24" i="7"/>
  <c r="W32" i="7"/>
  <c r="W35" i="7"/>
  <c r="W14" i="7"/>
  <c r="W9" i="7"/>
  <c r="W7" i="7"/>
  <c r="W30" i="7"/>
  <c r="W45" i="7"/>
  <c r="W47" i="7"/>
  <c r="W34" i="7"/>
  <c r="W10" i="7"/>
  <c r="W43" i="7"/>
  <c r="W29" i="7"/>
  <c r="Z4" i="82"/>
  <c r="P13" i="33"/>
  <c r="O13" i="33"/>
  <c r="AQ15" i="7"/>
  <c r="AG15" i="7"/>
  <c r="AF15" i="7"/>
  <c r="S51" i="26"/>
  <c r="BC28" i="111" s="1"/>
  <c r="S52" i="26"/>
  <c r="BC19" i="111" s="1"/>
  <c r="O21" i="33"/>
  <c r="M2" i="98" s="1"/>
  <c r="O18" i="33"/>
  <c r="O15" i="33"/>
  <c r="O10" i="33"/>
  <c r="O8" i="33"/>
  <c r="O12" i="33"/>
  <c r="M14" i="98" s="1"/>
  <c r="O9" i="33"/>
  <c r="O19" i="33"/>
  <c r="O17" i="33"/>
  <c r="O49" i="33"/>
  <c r="O14" i="33"/>
  <c r="O20" i="33"/>
  <c r="O24" i="33"/>
  <c r="O45" i="33"/>
  <c r="O42" i="33"/>
  <c r="O16" i="33"/>
  <c r="O46" i="33"/>
  <c r="O40" i="33"/>
  <c r="O50" i="33"/>
  <c r="O41" i="33"/>
  <c r="O22" i="33"/>
  <c r="O47" i="33"/>
  <c r="O26" i="33"/>
  <c r="O33" i="33"/>
  <c r="M15" i="98" s="1"/>
  <c r="O39" i="33"/>
  <c r="M17" i="98" s="1"/>
  <c r="O25" i="33"/>
  <c r="O31" i="33"/>
  <c r="M9" i="98" s="1"/>
  <c r="O23" i="33"/>
  <c r="O44" i="33"/>
  <c r="M4" i="98" s="1"/>
  <c r="O37" i="33"/>
  <c r="M18" i="98" s="1"/>
  <c r="O36" i="33"/>
  <c r="O43" i="33"/>
  <c r="O32" i="33"/>
  <c r="M3" i="98" s="1"/>
  <c r="O29" i="33"/>
  <c r="O34" i="33"/>
  <c r="O30" i="33"/>
  <c r="M16" i="98" s="1"/>
  <c r="O27" i="33"/>
  <c r="O38" i="33"/>
  <c r="O35" i="33"/>
  <c r="O48" i="33"/>
  <c r="O28" i="33"/>
  <c r="M21" i="98" s="1"/>
  <c r="AQ31" i="7"/>
  <c r="AF18" i="33"/>
  <c r="S18" i="33" s="1"/>
  <c r="P18" i="33"/>
  <c r="S41" i="26"/>
  <c r="BC41" i="111" s="1"/>
  <c r="AQ23" i="7"/>
  <c r="AQ25" i="7"/>
  <c r="AQ18" i="7"/>
  <c r="AF15" i="33"/>
  <c r="S15" i="33" s="1"/>
  <c r="P15" i="33"/>
  <c r="S29" i="26"/>
  <c r="BC12" i="111" s="1"/>
  <c r="AF10" i="33"/>
  <c r="S10" i="33" s="1"/>
  <c r="AE10" i="33"/>
  <c r="T10" i="33" s="1"/>
  <c r="P10" i="33"/>
  <c r="P8" i="33"/>
  <c r="S25" i="26"/>
  <c r="BC46" i="111" s="1"/>
  <c r="AG18" i="7"/>
  <c r="AF18" i="7"/>
  <c r="S53" i="26"/>
  <c r="BC22" i="111" s="1"/>
  <c r="S28" i="26"/>
  <c r="BC6" i="111" s="1"/>
  <c r="S13" i="26"/>
  <c r="BC20" i="111" s="1"/>
  <c r="S26" i="26"/>
  <c r="S23" i="26"/>
  <c r="BC24" i="111" s="1"/>
  <c r="S49" i="26"/>
  <c r="BC42" i="111" s="1"/>
  <c r="S48" i="26"/>
  <c r="BC34" i="111" s="1"/>
  <c r="S50" i="26"/>
  <c r="BC11" i="111" s="1"/>
  <c r="S24" i="26"/>
  <c r="BC3" i="111" s="1"/>
  <c r="S19" i="26"/>
  <c r="BC21" i="111" s="1"/>
  <c r="S15" i="26"/>
  <c r="BC44" i="111" s="1"/>
  <c r="S20" i="26"/>
  <c r="BC47" i="111" s="1"/>
  <c r="S16" i="26"/>
  <c r="BC27" i="111" s="1"/>
  <c r="S17" i="26"/>
  <c r="BC25" i="111" s="1"/>
  <c r="S18" i="26"/>
  <c r="BC17" i="111" s="1"/>
  <c r="S21" i="26"/>
  <c r="BC35" i="111" s="1"/>
  <c r="S4" i="26"/>
  <c r="BC14" i="111" s="1"/>
  <c r="S7" i="26"/>
  <c r="BC36" i="111" s="1"/>
  <c r="S5" i="26"/>
  <c r="BC18" i="111" s="1"/>
  <c r="S3" i="26"/>
  <c r="BC49" i="111" s="1"/>
  <c r="S12" i="26"/>
  <c r="BC38" i="111" s="1"/>
  <c r="S6" i="26"/>
  <c r="BC43" i="111" s="1"/>
  <c r="S33" i="26"/>
  <c r="BC39" i="111" s="1"/>
  <c r="S46" i="26"/>
  <c r="BC8" i="111" s="1"/>
  <c r="S44" i="26"/>
  <c r="BC15" i="111" s="1"/>
  <c r="S9" i="26"/>
  <c r="BC10" i="111" s="1"/>
  <c r="S2" i="26"/>
  <c r="BC48" i="111" s="1"/>
  <c r="S8" i="26"/>
  <c r="BC26" i="111" s="1"/>
  <c r="S43" i="26"/>
  <c r="BC29" i="111" s="1"/>
  <c r="S42" i="26"/>
  <c r="BC4" i="111" s="1"/>
  <c r="S38" i="26"/>
  <c r="BC37" i="111" s="1"/>
  <c r="S34" i="26"/>
  <c r="BC16" i="111" s="1"/>
  <c r="S22" i="26"/>
  <c r="BC45" i="111" s="1"/>
  <c r="S36" i="26"/>
  <c r="BC9" i="111" s="1"/>
  <c r="S14" i="26"/>
  <c r="S31" i="26"/>
  <c r="BC32" i="111" s="1"/>
  <c r="S30" i="26"/>
  <c r="BC5" i="111" s="1"/>
  <c r="S10" i="26"/>
  <c r="BC33" i="111" s="1"/>
  <c r="AQ17" i="7"/>
  <c r="AQ27" i="7"/>
  <c r="AQ19" i="7"/>
  <c r="AQ37" i="7"/>
  <c r="AQ26" i="7"/>
  <c r="AQ49" i="7"/>
  <c r="AQ48" i="7"/>
  <c r="AQ13" i="7"/>
  <c r="AQ40" i="7"/>
  <c r="AQ35" i="7"/>
  <c r="AQ29" i="7"/>
  <c r="AQ47" i="7"/>
  <c r="AQ34" i="7"/>
  <c r="AQ30" i="7"/>
  <c r="AQ39" i="7"/>
  <c r="AQ22" i="7"/>
  <c r="AQ6" i="7"/>
  <c r="AQ9" i="7"/>
  <c r="AQ46" i="7"/>
  <c r="AQ38" i="7"/>
  <c r="AQ12" i="7"/>
  <c r="AQ33" i="7"/>
  <c r="AQ45" i="7"/>
  <c r="AQ44" i="7"/>
  <c r="AQ32" i="7"/>
  <c r="AQ24" i="7"/>
  <c r="AQ28" i="7"/>
  <c r="AQ14" i="7"/>
  <c r="AQ21" i="7"/>
  <c r="AQ16" i="7"/>
  <c r="AQ36" i="7"/>
  <c r="AQ4" i="7"/>
  <c r="AQ43" i="7"/>
  <c r="AQ10" i="7"/>
  <c r="AQ5" i="7"/>
  <c r="AQ7" i="7"/>
  <c r="AF16" i="33"/>
  <c r="S16" i="33" s="1"/>
  <c r="AF9" i="33"/>
  <c r="S9" i="33" s="1"/>
  <c r="AF19" i="33"/>
  <c r="S19" i="33" s="1"/>
  <c r="AF17" i="33"/>
  <c r="S17" i="33" s="1"/>
  <c r="AF20" i="33"/>
  <c r="S20" i="33" s="1"/>
  <c r="AF47" i="33"/>
  <c r="S47" i="33" s="1"/>
  <c r="AG48" i="7"/>
  <c r="AF23" i="33"/>
  <c r="S23" i="33" s="1"/>
  <c r="AF27" i="33"/>
  <c r="S27" i="33" s="1"/>
  <c r="AF40" i="33"/>
  <c r="S40" i="33" s="1"/>
  <c r="AF46" i="33"/>
  <c r="AF36" i="33"/>
  <c r="J7" i="87" s="1"/>
  <c r="AF42" i="33"/>
  <c r="S42" i="33" s="1"/>
  <c r="AG38" i="7"/>
  <c r="AF32" i="33"/>
  <c r="J10" i="107" s="1"/>
  <c r="AF39" i="33"/>
  <c r="S39" i="33" s="1"/>
  <c r="AF35" i="33"/>
  <c r="AF41" i="33"/>
  <c r="S41" i="33" s="1"/>
  <c r="AF43" i="33"/>
  <c r="S43" i="33" s="1"/>
  <c r="AG24" i="7"/>
  <c r="AF45" i="33"/>
  <c r="S45" i="33" s="1"/>
  <c r="AF44" i="33"/>
  <c r="AF22" i="33"/>
  <c r="S22" i="33" s="1"/>
  <c r="AF24" i="33"/>
  <c r="S24" i="33" s="1"/>
  <c r="AF49" i="33"/>
  <c r="S49" i="33" s="1"/>
  <c r="AF34" i="33"/>
  <c r="S34" i="33" s="1"/>
  <c r="AF28" i="33"/>
  <c r="AF38" i="33"/>
  <c r="AF29" i="33"/>
  <c r="AF48" i="33"/>
  <c r="AE16" i="33"/>
  <c r="T16" i="33" s="1"/>
  <c r="AE9" i="33"/>
  <c r="T9" i="33" s="1"/>
  <c r="AE47" i="33"/>
  <c r="T47" i="33" s="1"/>
  <c r="AF48" i="7"/>
  <c r="AE21" i="33"/>
  <c r="T21" i="33" s="1"/>
  <c r="AE30" i="33"/>
  <c r="I7" i="107" s="1"/>
  <c r="AE31" i="33"/>
  <c r="BJ39" i="7"/>
  <c r="AE46" i="33"/>
  <c r="T46" i="33" s="1"/>
  <c r="AE42" i="33"/>
  <c r="T42" i="33" s="1"/>
  <c r="AE32" i="33"/>
  <c r="I10" i="107" s="1"/>
  <c r="AE35" i="33"/>
  <c r="I8" i="107" s="1"/>
  <c r="AE43" i="33"/>
  <c r="T43" i="33" s="1"/>
  <c r="AF24" i="7"/>
  <c r="AE44" i="33"/>
  <c r="AE22" i="33"/>
  <c r="T22" i="33" s="1"/>
  <c r="AE24" i="33"/>
  <c r="T24" i="33" s="1"/>
  <c r="AE28" i="33"/>
  <c r="AE29" i="33"/>
  <c r="AE48" i="33"/>
  <c r="P16" i="33"/>
  <c r="P9" i="33"/>
  <c r="P19" i="33"/>
  <c r="P17" i="33"/>
  <c r="P20" i="33"/>
  <c r="P47" i="33"/>
  <c r="P26" i="33"/>
  <c r="E11" i="107" s="1"/>
  <c r="P21" i="33"/>
  <c r="P25" i="33"/>
  <c r="E5" i="107" s="1"/>
  <c r="P23" i="33"/>
  <c r="P30" i="33"/>
  <c r="E7" i="107" s="1"/>
  <c r="P31" i="33"/>
  <c r="F9" i="98" s="1"/>
  <c r="P27" i="33"/>
  <c r="P37" i="33"/>
  <c r="F18" i="98" s="1"/>
  <c r="P50" i="33"/>
  <c r="P40" i="33"/>
  <c r="P46" i="33"/>
  <c r="P36" i="33"/>
  <c r="E7" i="87" s="1"/>
  <c r="P42" i="33"/>
  <c r="P33" i="33"/>
  <c r="F15" i="98" s="1"/>
  <c r="P32" i="33"/>
  <c r="E10" i="107" s="1"/>
  <c r="P39" i="33"/>
  <c r="F17" i="98" s="1"/>
  <c r="P35" i="33"/>
  <c r="P41" i="33"/>
  <c r="P43" i="33"/>
  <c r="P14" i="33"/>
  <c r="P45" i="33"/>
  <c r="P44" i="33"/>
  <c r="E3" i="107" s="1"/>
  <c r="P22" i="33"/>
  <c r="P24" i="33"/>
  <c r="P49" i="33"/>
  <c r="P34" i="33"/>
  <c r="E2" i="108"/>
  <c r="P12" i="33"/>
  <c r="F14" i="98" s="1"/>
  <c r="P28" i="33"/>
  <c r="E9" i="107" s="1"/>
  <c r="P38" i="33"/>
  <c r="P48" i="33"/>
  <c r="E5" i="87" s="1"/>
  <c r="P29" i="33"/>
  <c r="E2" i="87" s="1"/>
  <c r="S11" i="26"/>
  <c r="BC50" i="111" s="1"/>
  <c r="AY50" i="111" l="1"/>
  <c r="BE50" i="111" s="1"/>
  <c r="AR50" i="111" s="1"/>
  <c r="BD50" i="111"/>
  <c r="O6" i="91"/>
  <c r="AQ14" i="33"/>
  <c r="AO13" i="33"/>
  <c r="AQ13" i="33"/>
  <c r="N11" i="107"/>
  <c r="AQ26" i="33"/>
  <c r="AO37" i="33"/>
  <c r="AQ37" i="33"/>
  <c r="AQ33" i="33"/>
  <c r="AO33" i="33"/>
  <c r="AO8" i="33"/>
  <c r="AQ8" i="33"/>
  <c r="J21" i="98"/>
  <c r="I9" i="107"/>
  <c r="G20" i="98"/>
  <c r="P20" i="98" s="1"/>
  <c r="F8" i="107"/>
  <c r="P8" i="107" s="1"/>
  <c r="K10" i="107"/>
  <c r="F20" i="98"/>
  <c r="E8" i="107"/>
  <c r="K20" i="98"/>
  <c r="J8" i="107"/>
  <c r="K8" i="107" s="1"/>
  <c r="E6" i="85"/>
  <c r="E6" i="107"/>
  <c r="S38" i="33"/>
  <c r="J6" i="107"/>
  <c r="K21" i="98"/>
  <c r="J9" i="107"/>
  <c r="F6" i="85"/>
  <c r="O6" i="85" s="1"/>
  <c r="F6" i="107"/>
  <c r="P6" i="107" s="1"/>
  <c r="AO14" i="33"/>
  <c r="S6" i="33"/>
  <c r="K12" i="98"/>
  <c r="E4" i="90"/>
  <c r="S36" i="33"/>
  <c r="P4" i="90"/>
  <c r="G21" i="98"/>
  <c r="P21" i="98" s="1"/>
  <c r="F21" i="98"/>
  <c r="T32" i="33"/>
  <c r="AE13" i="33"/>
  <c r="T13" i="33" s="1"/>
  <c r="F19" i="98"/>
  <c r="E6" i="87"/>
  <c r="S48" i="33"/>
  <c r="J5" i="87"/>
  <c r="T48" i="33"/>
  <c r="I5" i="87"/>
  <c r="G19" i="98"/>
  <c r="P19" i="98" s="1"/>
  <c r="F6" i="87"/>
  <c r="O6" i="87" s="1"/>
  <c r="K6" i="87"/>
  <c r="O4" i="91"/>
  <c r="M20" i="98"/>
  <c r="T35" i="33"/>
  <c r="J20" i="98"/>
  <c r="S4" i="33"/>
  <c r="K19" i="98"/>
  <c r="T4" i="33"/>
  <c r="J19" i="98"/>
  <c r="I2" i="108"/>
  <c r="J3" i="107"/>
  <c r="S44" i="33"/>
  <c r="S28" i="33"/>
  <c r="I3" i="107"/>
  <c r="T44" i="33"/>
  <c r="J2" i="108"/>
  <c r="I2" i="87"/>
  <c r="T29" i="33"/>
  <c r="T28" i="33"/>
  <c r="I5" i="85"/>
  <c r="T11" i="33"/>
  <c r="J2" i="87"/>
  <c r="S29" i="33"/>
  <c r="S35" i="33"/>
  <c r="J3" i="87"/>
  <c r="S46" i="33"/>
  <c r="J14" i="98"/>
  <c r="T12" i="33"/>
  <c r="J9" i="98"/>
  <c r="T31" i="33"/>
  <c r="T30" i="33"/>
  <c r="K3" i="98"/>
  <c r="S32" i="33"/>
  <c r="I3" i="87"/>
  <c r="J6" i="85"/>
  <c r="F6" i="91"/>
  <c r="P6" i="91" s="1"/>
  <c r="F3" i="87"/>
  <c r="E6" i="91"/>
  <c r="E3" i="87"/>
  <c r="G11" i="98"/>
  <c r="P11" i="98" s="1"/>
  <c r="F11" i="98"/>
  <c r="M11" i="98"/>
  <c r="E4" i="85"/>
  <c r="F3" i="98"/>
  <c r="I4" i="85"/>
  <c r="J3" i="98"/>
  <c r="F4" i="85"/>
  <c r="O4" i="85" s="1"/>
  <c r="G3" i="98"/>
  <c r="P3" i="98" s="1"/>
  <c r="E4" i="107"/>
  <c r="F2" i="98"/>
  <c r="I4" i="107"/>
  <c r="J2" i="98"/>
  <c r="F4" i="107"/>
  <c r="P4" i="107" s="1"/>
  <c r="G2" i="98"/>
  <c r="P2" i="98" s="1"/>
  <c r="E4" i="91"/>
  <c r="F4" i="91"/>
  <c r="P4" i="91" s="1"/>
  <c r="G16" i="98"/>
  <c r="P16" i="98" s="1"/>
  <c r="F16" i="98"/>
  <c r="J16" i="98"/>
  <c r="F2" i="107"/>
  <c r="P2" i="107" s="1"/>
  <c r="E2" i="107"/>
  <c r="F2" i="90"/>
  <c r="Q2" i="90" s="1"/>
  <c r="E2" i="90"/>
  <c r="I2" i="107"/>
  <c r="M2" i="95"/>
  <c r="M2" i="87"/>
  <c r="K17" i="98"/>
  <c r="O17" i="98"/>
  <c r="K4" i="98"/>
  <c r="N2" i="90"/>
  <c r="J4" i="90"/>
  <c r="K14" i="98"/>
  <c r="O14" i="98"/>
  <c r="M3" i="95"/>
  <c r="K11" i="98"/>
  <c r="O11" i="98"/>
  <c r="BC30" i="7"/>
  <c r="K5" i="98"/>
  <c r="J2" i="90"/>
  <c r="E2" i="91"/>
  <c r="F2" i="91"/>
  <c r="P2" i="91" s="1"/>
  <c r="M13" i="98"/>
  <c r="M5" i="98"/>
  <c r="P2" i="90"/>
  <c r="G13" i="98"/>
  <c r="P13" i="98" s="1"/>
  <c r="M6" i="98"/>
  <c r="I2" i="91"/>
  <c r="F7" i="98"/>
  <c r="E3" i="91"/>
  <c r="J2" i="91"/>
  <c r="M7" i="98"/>
  <c r="O3" i="91"/>
  <c r="G7" i="98"/>
  <c r="P7" i="98" s="1"/>
  <c r="F3" i="91"/>
  <c r="P3" i="91" s="1"/>
  <c r="F13" i="98"/>
  <c r="E4" i="87"/>
  <c r="J4" i="87"/>
  <c r="F4" i="87"/>
  <c r="O4" i="87" s="1"/>
  <c r="J4" i="85"/>
  <c r="K10" i="98"/>
  <c r="M10" i="98"/>
  <c r="I3" i="85"/>
  <c r="I2" i="85"/>
  <c r="J4" i="98"/>
  <c r="J6" i="98"/>
  <c r="F6" i="98"/>
  <c r="G5" i="98"/>
  <c r="P5" i="98" s="1"/>
  <c r="G6" i="98"/>
  <c r="P6" i="98" s="1"/>
  <c r="F10" i="98"/>
  <c r="F5" i="98"/>
  <c r="F4" i="98"/>
  <c r="E2" i="85"/>
  <c r="E3" i="85"/>
  <c r="J2" i="85"/>
  <c r="G4" i="98"/>
  <c r="P4" i="98" s="1"/>
  <c r="F2" i="85"/>
  <c r="O2" i="85" s="1"/>
  <c r="F3" i="85"/>
  <c r="O3" i="85" s="1"/>
  <c r="AF13" i="33"/>
  <c r="S13" i="33" s="1"/>
  <c r="AF26" i="33"/>
  <c r="J11" i="107" s="1"/>
  <c r="AF14" i="33"/>
  <c r="S14" i="33" s="1"/>
  <c r="AF8" i="33"/>
  <c r="S8" i="33" s="1"/>
  <c r="BI10" i="7"/>
  <c r="AH38" i="33" s="1"/>
  <c r="O2" i="91"/>
  <c r="AE33" i="33"/>
  <c r="AF37" i="33"/>
  <c r="S37" i="33" s="1"/>
  <c r="AG29" i="33"/>
  <c r="AG35" i="33"/>
  <c r="AG43" i="33"/>
  <c r="AG48" i="33"/>
  <c r="AG5" i="33"/>
  <c r="AG4" i="33"/>
  <c r="AG12" i="33"/>
  <c r="AG28" i="33"/>
  <c r="AG32" i="33"/>
  <c r="AG47" i="33"/>
  <c r="AG42" i="33"/>
  <c r="AH4" i="7"/>
  <c r="AE34" i="33"/>
  <c r="T34" i="33" s="1"/>
  <c r="AH19" i="7"/>
  <c r="AE19" i="33"/>
  <c r="T19" i="33" s="1"/>
  <c r="AF31" i="33"/>
  <c r="S31" i="33" s="1"/>
  <c r="BJ36" i="7"/>
  <c r="AE49" i="33"/>
  <c r="T49" i="33" s="1"/>
  <c r="BJ22" i="7"/>
  <c r="AE40" i="33"/>
  <c r="T40" i="33" s="1"/>
  <c r="AF30" i="33"/>
  <c r="AF11" i="33"/>
  <c r="S11" i="33" s="1"/>
  <c r="BJ34" i="7"/>
  <c r="AE27" i="33"/>
  <c r="T27" i="33" s="1"/>
  <c r="AF25" i="33"/>
  <c r="J5" i="107" s="1"/>
  <c r="BJ28" i="7"/>
  <c r="AE45" i="33"/>
  <c r="T45" i="33" s="1"/>
  <c r="BJ24" i="7"/>
  <c r="AE14" i="33"/>
  <c r="T14" i="33" s="1"/>
  <c r="AH35" i="7"/>
  <c r="AE23" i="33"/>
  <c r="T23" i="33" s="1"/>
  <c r="AG10" i="33"/>
  <c r="AE26" i="33"/>
  <c r="I11" i="107" s="1"/>
  <c r="AE25" i="33"/>
  <c r="I5" i="107" s="1"/>
  <c r="AF33" i="33"/>
  <c r="S33" i="33" s="1"/>
  <c r="AE39" i="33"/>
  <c r="AE38" i="33"/>
  <c r="I6" i="107" s="1"/>
  <c r="AG24" i="33"/>
  <c r="AG9" i="33"/>
  <c r="AH3" i="7"/>
  <c r="AE6" i="33"/>
  <c r="J12" i="98" s="1"/>
  <c r="BJ31" i="7"/>
  <c r="AE18" i="33"/>
  <c r="T18" i="33" s="1"/>
  <c r="AG46" i="33"/>
  <c r="BJ26" i="7"/>
  <c r="AE20" i="33"/>
  <c r="T20" i="33" s="1"/>
  <c r="AG22" i="33"/>
  <c r="AG16" i="33"/>
  <c r="AE37" i="33"/>
  <c r="AF21" i="33"/>
  <c r="S21" i="33" s="1"/>
  <c r="AH44" i="7"/>
  <c r="AE41" i="33"/>
  <c r="T41" i="33" s="1"/>
  <c r="AE36" i="33"/>
  <c r="AH37" i="7"/>
  <c r="AE17" i="33"/>
  <c r="T17" i="33" s="1"/>
  <c r="AG44" i="33"/>
  <c r="AH18" i="7"/>
  <c r="AE8" i="33"/>
  <c r="T8" i="33" s="1"/>
  <c r="BJ23" i="7"/>
  <c r="AE15" i="33"/>
  <c r="T15" i="33" s="1"/>
  <c r="BJ20" i="7"/>
  <c r="AE7" i="33"/>
  <c r="T7" i="33" s="1"/>
  <c r="AH29" i="7"/>
  <c r="AH38" i="7"/>
  <c r="BJ47" i="7"/>
  <c r="AO38" i="33"/>
  <c r="P8" i="82"/>
  <c r="V8" i="82" s="1"/>
  <c r="BJ9" i="7"/>
  <c r="P4" i="81"/>
  <c r="S4" i="81" s="1"/>
  <c r="AH45" i="7"/>
  <c r="BJ48" i="7"/>
  <c r="P6" i="82"/>
  <c r="V6" i="82" s="1"/>
  <c r="AH8" i="7"/>
  <c r="P5" i="81"/>
  <c r="S5" i="81" s="1"/>
  <c r="AH30" i="7"/>
  <c r="P3" i="81"/>
  <c r="S3" i="81" s="1"/>
  <c r="P5" i="82"/>
  <c r="V5" i="82" s="1"/>
  <c r="BJ40" i="7"/>
  <c r="BJ6" i="7"/>
  <c r="P7" i="82"/>
  <c r="V7" i="82" s="1"/>
  <c r="P4" i="82"/>
  <c r="V4" i="82" s="1"/>
  <c r="BJ14" i="7"/>
  <c r="BJ11" i="7"/>
  <c r="BJ7" i="7"/>
  <c r="AH13" i="7"/>
  <c r="BJ12" i="7"/>
  <c r="AH5" i="7"/>
  <c r="BJ10" i="7"/>
  <c r="AX42" i="7"/>
  <c r="BL42" i="7" s="1"/>
  <c r="BN42" i="7" s="1"/>
  <c r="AX43" i="7"/>
  <c r="BL43" i="7" s="1"/>
  <c r="BN43" i="7" s="1"/>
  <c r="AX38" i="7"/>
  <c r="BL38" i="7" s="1"/>
  <c r="BN38" i="7" s="1"/>
  <c r="AX49" i="7"/>
  <c r="BL49" i="7" s="1"/>
  <c r="BN49" i="7" s="1"/>
  <c r="BK20" i="7"/>
  <c r="BK8" i="7"/>
  <c r="AX6" i="7"/>
  <c r="BL6" i="7" s="1"/>
  <c r="BN6" i="7" s="1"/>
  <c r="BK15" i="7"/>
  <c r="AI16" i="7"/>
  <c r="AF50" i="33"/>
  <c r="S50" i="33" s="1"/>
  <c r="AI9" i="7"/>
  <c r="AI27" i="7"/>
  <c r="AI41" i="7"/>
  <c r="AX34" i="7"/>
  <c r="BL34" i="7" s="1"/>
  <c r="BN34" i="7" s="1"/>
  <c r="AI28" i="7"/>
  <c r="AI31" i="7"/>
  <c r="AI19" i="7"/>
  <c r="AI3" i="7"/>
  <c r="AI17" i="7"/>
  <c r="AX24" i="7"/>
  <c r="BL24" i="7" s="1"/>
  <c r="BN24" i="7" s="1"/>
  <c r="AI29" i="7"/>
  <c r="AI30" i="7"/>
  <c r="AX37" i="7"/>
  <c r="BL37" i="7" s="1"/>
  <c r="BN37" i="7" s="1"/>
  <c r="AX25" i="7"/>
  <c r="BL25" i="7" s="1"/>
  <c r="BN25" i="7" s="1"/>
  <c r="AI32" i="7"/>
  <c r="BK35" i="7"/>
  <c r="BK40" i="7"/>
  <c r="AX45" i="7"/>
  <c r="BL45" i="7" s="1"/>
  <c r="BN45" i="7" s="1"/>
  <c r="AI33" i="7"/>
  <c r="AI48" i="7"/>
  <c r="AI4" i="7"/>
  <c r="BC24" i="7"/>
  <c r="BK13" i="7"/>
  <c r="AX7" i="7"/>
  <c r="BL7" i="7" s="1"/>
  <c r="BN7" i="7" s="1"/>
  <c r="AZ38" i="7"/>
  <c r="BC21" i="7"/>
  <c r="BC11" i="7"/>
  <c r="BC19" i="7"/>
  <c r="BC13" i="7"/>
  <c r="BC6" i="7"/>
  <c r="BC22" i="7"/>
  <c r="BC33" i="7"/>
  <c r="BC36" i="7"/>
  <c r="BC10" i="7"/>
  <c r="BC17" i="7"/>
  <c r="BC5" i="7"/>
  <c r="BC3" i="7"/>
  <c r="BC4" i="7"/>
  <c r="BC40" i="7"/>
  <c r="BC39" i="7"/>
  <c r="BC37" i="7"/>
  <c r="BC29" i="7"/>
  <c r="BC25" i="7"/>
  <c r="BC42" i="7"/>
  <c r="AZ37" i="7"/>
  <c r="AY37" i="7" s="1"/>
  <c r="BE37" i="7" s="1"/>
  <c r="AZ45" i="7"/>
  <c r="AY45" i="7" s="1"/>
  <c r="BE45" i="7" s="1"/>
  <c r="AZ21" i="7"/>
  <c r="AY21" i="7" s="1"/>
  <c r="BE21" i="7" s="1"/>
  <c r="AZ19" i="7"/>
  <c r="AY19" i="7" s="1"/>
  <c r="BE19" i="7" s="1"/>
  <c r="AZ34" i="7"/>
  <c r="AY34" i="7" s="1"/>
  <c r="BE34" i="7" s="1"/>
  <c r="AZ32" i="7"/>
  <c r="AR43" i="33" s="1"/>
  <c r="AS43" i="33" s="1"/>
  <c r="AZ13" i="7"/>
  <c r="AZ44" i="7"/>
  <c r="AZ17" i="7"/>
  <c r="AY17" i="7" s="1"/>
  <c r="BE17" i="7" s="1"/>
  <c r="AZ33" i="7"/>
  <c r="AZ41" i="7"/>
  <c r="AY41" i="7" s="1"/>
  <c r="BE41" i="7" s="1"/>
  <c r="AZ35" i="7"/>
  <c r="AR23" i="33" s="1"/>
  <c r="AZ10" i="7"/>
  <c r="AZ16" i="7"/>
  <c r="AY16" i="7" s="1"/>
  <c r="BE16" i="7" s="1"/>
  <c r="AZ20" i="7"/>
  <c r="AY20" i="7" s="1"/>
  <c r="BE20" i="7" s="1"/>
  <c r="AZ3" i="7"/>
  <c r="BC15" i="7"/>
  <c r="BC48" i="7"/>
  <c r="BC38" i="7"/>
  <c r="BC32" i="7"/>
  <c r="BC41" i="7"/>
  <c r="AZ47" i="7"/>
  <c r="BC45" i="7"/>
  <c r="BC43" i="7"/>
  <c r="BC16" i="7"/>
  <c r="AZ5" i="7"/>
  <c r="AY5" i="7" s="1"/>
  <c r="BE5" i="7" s="1"/>
  <c r="BC14" i="7"/>
  <c r="BC44" i="7"/>
  <c r="BC7" i="7"/>
  <c r="BC12" i="7"/>
  <c r="BC46" i="7"/>
  <c r="BC31" i="7"/>
  <c r="BC34" i="7"/>
  <c r="AZ36" i="7"/>
  <c r="AY36" i="7" s="1"/>
  <c r="BE36" i="7" s="1"/>
  <c r="AZ24" i="7"/>
  <c r="AR14" i="33" s="1"/>
  <c r="AZ28" i="7"/>
  <c r="AY28" i="7" s="1"/>
  <c r="BE28" i="7" s="1"/>
  <c r="AZ31" i="7"/>
  <c r="AR18" i="33" s="1"/>
  <c r="AZ49" i="7"/>
  <c r="AR47" i="33" s="1"/>
  <c r="AS47" i="33" s="1"/>
  <c r="BC35" i="7"/>
  <c r="AZ18" i="7"/>
  <c r="BD18" i="7" s="1"/>
  <c r="BC23" i="7"/>
  <c r="AZ22" i="7"/>
  <c r="AR40" i="33" s="1"/>
  <c r="AZ48" i="7"/>
  <c r="AZ30" i="7"/>
  <c r="BC9" i="7"/>
  <c r="AZ42" i="7"/>
  <c r="AR5" i="33" s="1"/>
  <c r="AS5" i="33" s="1"/>
  <c r="AZ39" i="7"/>
  <c r="AY39" i="7" s="1"/>
  <c r="BE39" i="7" s="1"/>
  <c r="AZ14" i="7"/>
  <c r="AZ12" i="7"/>
  <c r="AY12" i="7" s="1"/>
  <c r="BE12" i="7" s="1"/>
  <c r="BC28" i="7"/>
  <c r="AZ8" i="7"/>
  <c r="BC49" i="7"/>
  <c r="AZ4" i="7"/>
  <c r="AR34" i="33" s="1"/>
  <c r="BC47" i="7"/>
  <c r="AZ7" i="7"/>
  <c r="AR48" i="33" s="1"/>
  <c r="Y7" i="82" s="1"/>
  <c r="BC26" i="7"/>
  <c r="AZ40" i="7"/>
  <c r="BC8" i="7"/>
  <c r="AZ26" i="7"/>
  <c r="AR20" i="33" s="1"/>
  <c r="AZ27" i="7"/>
  <c r="AR9" i="33" s="1"/>
  <c r="AS9" i="33" s="1"/>
  <c r="BC18" i="7"/>
  <c r="AZ9" i="7"/>
  <c r="AZ23" i="7"/>
  <c r="AR15" i="33" s="1"/>
  <c r="BC20" i="7"/>
  <c r="BC27" i="7"/>
  <c r="AZ46" i="7"/>
  <c r="AR42" i="33" s="1"/>
  <c r="AS42" i="33" s="1"/>
  <c r="AZ43" i="7"/>
  <c r="AR28" i="33" s="1"/>
  <c r="AZ25" i="7"/>
  <c r="BD25" i="7" s="1"/>
  <c r="AZ29" i="7"/>
  <c r="AZ6" i="7"/>
  <c r="AY6" i="7" s="1"/>
  <c r="BE6" i="7" s="1"/>
  <c r="AZ11" i="7"/>
  <c r="AZ15" i="7"/>
  <c r="AR13" i="33" s="1"/>
  <c r="BJ3" i="7"/>
  <c r="AJ21" i="7"/>
  <c r="BJ38" i="7"/>
  <c r="AJ8" i="7"/>
  <c r="BJ21" i="7"/>
  <c r="AH40" i="7"/>
  <c r="AI43" i="7"/>
  <c r="AJ40" i="7"/>
  <c r="AH9" i="7"/>
  <c r="AH27" i="7"/>
  <c r="BJ8" i="7"/>
  <c r="AJ34" i="7"/>
  <c r="AX5" i="7"/>
  <c r="BL5" i="7" s="1"/>
  <c r="BN5" i="7" s="1"/>
  <c r="BK5" i="7"/>
  <c r="AX20" i="7"/>
  <c r="BL20" i="7" s="1"/>
  <c r="BN20" i="7" s="1"/>
  <c r="BK19" i="7"/>
  <c r="BK49" i="7"/>
  <c r="AX3" i="7"/>
  <c r="BL3" i="7" s="1"/>
  <c r="BN3" i="7" s="1"/>
  <c r="AJ3" i="7"/>
  <c r="BJ27" i="7"/>
  <c r="AH26" i="7"/>
  <c r="AX48" i="7"/>
  <c r="BL48" i="7" s="1"/>
  <c r="BN48" i="7" s="1"/>
  <c r="AI10" i="7"/>
  <c r="BJ19" i="7"/>
  <c r="BK48" i="7"/>
  <c r="AX18" i="7"/>
  <c r="BL18" i="7" s="1"/>
  <c r="BN18" i="7" s="1"/>
  <c r="BK6" i="7"/>
  <c r="BK18" i="7"/>
  <c r="AI12" i="7"/>
  <c r="AX11" i="7"/>
  <c r="BL11" i="7" s="1"/>
  <c r="BN11" i="7" s="1"/>
  <c r="BK16" i="7"/>
  <c r="BK17" i="7"/>
  <c r="AH48" i="7"/>
  <c r="AX12" i="7"/>
  <c r="BL12" i="7" s="1"/>
  <c r="BN12" i="7" s="1"/>
  <c r="AH34" i="7"/>
  <c r="AH20" i="7"/>
  <c r="AI5" i="7"/>
  <c r="AJ18" i="7"/>
  <c r="AX16" i="7"/>
  <c r="BL16" i="7" s="1"/>
  <c r="BN16" i="7" s="1"/>
  <c r="AI18" i="7"/>
  <c r="AX39" i="7"/>
  <c r="BL39" i="7" s="1"/>
  <c r="BN39" i="7" s="1"/>
  <c r="AI11" i="7"/>
  <c r="BK11" i="7"/>
  <c r="BJ43" i="7"/>
  <c r="AI15" i="7"/>
  <c r="AJ15" i="7"/>
  <c r="AI8" i="7"/>
  <c r="BK42" i="7"/>
  <c r="BK12" i="7"/>
  <c r="AI42" i="7"/>
  <c r="AI39" i="7"/>
  <c r="AI6" i="7"/>
  <c r="AJ29" i="7"/>
  <c r="AI25" i="7"/>
  <c r="AJ11" i="7"/>
  <c r="AJ49" i="7"/>
  <c r="AI7" i="7"/>
  <c r="BK39" i="7"/>
  <c r="AH21" i="7"/>
  <c r="AJ13" i="7"/>
  <c r="AX9" i="7"/>
  <c r="BL9" i="7" s="1"/>
  <c r="BN9" i="7" s="1"/>
  <c r="AJ30" i="7"/>
  <c r="AX8" i="7"/>
  <c r="BL8" i="7" s="1"/>
  <c r="BN8" i="7" s="1"/>
  <c r="AX35" i="7"/>
  <c r="BL35" i="7" s="1"/>
  <c r="BN35" i="7" s="1"/>
  <c r="AH11" i="7"/>
  <c r="BK9" i="7"/>
  <c r="BK36" i="7"/>
  <c r="AX40" i="7"/>
  <c r="BL40" i="7" s="1"/>
  <c r="BN40" i="7" s="1"/>
  <c r="AJ9" i="7"/>
  <c r="BK34" i="7"/>
  <c r="AJ25" i="7"/>
  <c r="BK14" i="7"/>
  <c r="BJ13" i="7"/>
  <c r="BK30" i="7"/>
  <c r="AX30" i="7"/>
  <c r="BL30" i="7" s="1"/>
  <c r="BN30" i="7" s="1"/>
  <c r="AX13" i="7"/>
  <c r="BL13" i="7" s="1"/>
  <c r="BN13" i="7" s="1"/>
  <c r="BJ33" i="7"/>
  <c r="AX41" i="7"/>
  <c r="BL41" i="7" s="1"/>
  <c r="BN41" i="7" s="1"/>
  <c r="BK27" i="7"/>
  <c r="AH7" i="7"/>
  <c r="AH47" i="7"/>
  <c r="AX27" i="7"/>
  <c r="BL27" i="7" s="1"/>
  <c r="BN27" i="7" s="1"/>
  <c r="BK7" i="7"/>
  <c r="AJ27" i="7"/>
  <c r="AH23" i="7"/>
  <c r="AJ7" i="7"/>
  <c r="BK43" i="7"/>
  <c r="AJ32" i="7"/>
  <c r="BJ30" i="7"/>
  <c r="AI24" i="7"/>
  <c r="AH43" i="7"/>
  <c r="AJ10" i="7"/>
  <c r="AX14" i="7"/>
  <c r="BL14" i="7" s="1"/>
  <c r="BN14" i="7" s="1"/>
  <c r="BK38" i="7"/>
  <c r="AH15" i="7"/>
  <c r="AX10" i="7"/>
  <c r="BL10" i="7" s="1"/>
  <c r="BN10" i="7" s="1"/>
  <c r="BK32" i="7"/>
  <c r="AH32" i="7"/>
  <c r="AJ35" i="7"/>
  <c r="BK25" i="7"/>
  <c r="AH12" i="7"/>
  <c r="BK3" i="7"/>
  <c r="BK28" i="7"/>
  <c r="AX36" i="7"/>
  <c r="BL36" i="7" s="1"/>
  <c r="BN36" i="7" s="1"/>
  <c r="AI14" i="7"/>
  <c r="AX32" i="7"/>
  <c r="BL32" i="7" s="1"/>
  <c r="BN32" i="7" s="1"/>
  <c r="BJ35" i="7"/>
  <c r="BJ5" i="7"/>
  <c r="AI13" i="7"/>
  <c r="AH24" i="7"/>
  <c r="AH33" i="7"/>
  <c r="AH10" i="7"/>
  <c r="AJ38" i="7"/>
  <c r="AJ46" i="7"/>
  <c r="BK37" i="7"/>
  <c r="AI45" i="7"/>
  <c r="AI37" i="7"/>
  <c r="BK33" i="7"/>
  <c r="AJ19" i="7"/>
  <c r="AJ31" i="7"/>
  <c r="AJ36" i="7"/>
  <c r="AJ26" i="7"/>
  <c r="BK47" i="7"/>
  <c r="AI36" i="7"/>
  <c r="AJ45" i="7"/>
  <c r="BJ32" i="7"/>
  <c r="AJ6" i="7"/>
  <c r="AJ16" i="7"/>
  <c r="AH6" i="7"/>
  <c r="BK26" i="7"/>
  <c r="AI47" i="7"/>
  <c r="BK45" i="7"/>
  <c r="BJ29" i="7"/>
  <c r="AH28" i="7"/>
  <c r="AI35" i="7"/>
  <c r="AJ43" i="7"/>
  <c r="AI40" i="7"/>
  <c r="AJ14" i="7"/>
  <c r="AH36" i="7"/>
  <c r="AX17" i="7"/>
  <c r="BL17" i="7" s="1"/>
  <c r="BN17" i="7" s="1"/>
  <c r="AH31" i="7"/>
  <c r="AX19" i="7"/>
  <c r="AX47" i="7"/>
  <c r="AH22" i="7"/>
  <c r="BK44" i="7"/>
  <c r="BK10" i="7"/>
  <c r="AI26" i="7"/>
  <c r="BJ18" i="7"/>
  <c r="BJ4" i="7"/>
  <c r="AX23" i="7"/>
  <c r="BL23" i="7" s="1"/>
  <c r="BN23" i="7" s="1"/>
  <c r="AX33" i="7"/>
  <c r="BL33" i="7" s="1"/>
  <c r="BN33" i="7" s="1"/>
  <c r="AJ23" i="7"/>
  <c r="AH42" i="7"/>
  <c r="AI34" i="7"/>
  <c r="BK41" i="7"/>
  <c r="BJ46" i="7"/>
  <c r="AX15" i="7"/>
  <c r="BL15" i="7" s="1"/>
  <c r="BN15" i="7" s="1"/>
  <c r="BJ25" i="7"/>
  <c r="BJ15" i="7"/>
  <c r="AX44" i="7"/>
  <c r="BL44" i="7" s="1"/>
  <c r="BN44" i="7" s="1"/>
  <c r="AH46" i="7"/>
  <c r="AJ12" i="7"/>
  <c r="BK23" i="7"/>
  <c r="AJ33" i="7"/>
  <c r="AJ42" i="7"/>
  <c r="AJ20" i="7"/>
  <c r="AH39" i="7"/>
  <c r="AI46" i="7"/>
  <c r="AX46" i="7"/>
  <c r="AI20" i="7"/>
  <c r="AJ28" i="7"/>
  <c r="BK4" i="7"/>
  <c r="AJ22" i="7"/>
  <c r="AJ47" i="7"/>
  <c r="AJ5" i="7"/>
  <c r="AH16" i="7"/>
  <c r="BK24" i="7"/>
  <c r="AE50" i="33"/>
  <c r="T50" i="33" s="1"/>
  <c r="BK31" i="7"/>
  <c r="AX31" i="7"/>
  <c r="AH25" i="7"/>
  <c r="BJ41" i="7"/>
  <c r="AH41" i="7"/>
  <c r="AJ41" i="7"/>
  <c r="BJ37" i="7"/>
  <c r="AJ44" i="7"/>
  <c r="AI44" i="7"/>
  <c r="AX4" i="7"/>
  <c r="BJ16" i="7"/>
  <c r="AI22" i="7"/>
  <c r="AX28" i="7"/>
  <c r="AJ24" i="7"/>
  <c r="BK29" i="7"/>
  <c r="AX29" i="7"/>
  <c r="BJ49" i="7"/>
  <c r="BJ44" i="7"/>
  <c r="AJ48" i="7"/>
  <c r="BK46" i="7"/>
  <c r="BJ45" i="7"/>
  <c r="AH14" i="7"/>
  <c r="BK22" i="7"/>
  <c r="AX22" i="7"/>
  <c r="AJ37" i="7"/>
  <c r="AJ17" i="7"/>
  <c r="BJ17" i="7"/>
  <c r="AH17" i="7"/>
  <c r="AJ4" i="7"/>
  <c r="AH49" i="7"/>
  <c r="AJ39" i="7"/>
  <c r="BK21" i="7"/>
  <c r="AX21" i="7"/>
  <c r="AI21" i="7"/>
  <c r="AI49" i="7"/>
  <c r="BJ42" i="7"/>
  <c r="AX26" i="7"/>
  <c r="AI23" i="7"/>
  <c r="AI38" i="7"/>
  <c r="I7" i="87" l="1"/>
  <c r="K7" i="87" s="1"/>
  <c r="I4" i="91"/>
  <c r="I6" i="91"/>
  <c r="J6" i="91"/>
  <c r="J4" i="91"/>
  <c r="L21" i="98"/>
  <c r="K5" i="107"/>
  <c r="K9" i="107"/>
  <c r="K11" i="107"/>
  <c r="L20" i="98"/>
  <c r="K6" i="107"/>
  <c r="S30" i="33"/>
  <c r="J7" i="107"/>
  <c r="K7" i="107" s="1"/>
  <c r="AO26" i="33"/>
  <c r="M4" i="91" s="1"/>
  <c r="T26" i="33"/>
  <c r="S26" i="33"/>
  <c r="L12" i="98"/>
  <c r="AS28" i="33"/>
  <c r="Q21" i="98"/>
  <c r="AS13" i="33"/>
  <c r="K5" i="87"/>
  <c r="L19" i="98"/>
  <c r="K2" i="108"/>
  <c r="L3" i="98"/>
  <c r="K3" i="107"/>
  <c r="L14" i="98"/>
  <c r="K2" i="87"/>
  <c r="I4" i="90"/>
  <c r="K4" i="90" s="1"/>
  <c r="T36" i="33"/>
  <c r="S25" i="33"/>
  <c r="J15" i="98"/>
  <c r="T33" i="33"/>
  <c r="I6" i="85"/>
  <c r="K6" i="85" s="1"/>
  <c r="T38" i="33"/>
  <c r="T25" i="33"/>
  <c r="K3" i="87"/>
  <c r="J18" i="98"/>
  <c r="T37" i="33"/>
  <c r="J11" i="98"/>
  <c r="L11" i="98" s="1"/>
  <c r="T6" i="33"/>
  <c r="J17" i="98"/>
  <c r="L17" i="98" s="1"/>
  <c r="T39" i="33"/>
  <c r="J2" i="107"/>
  <c r="K2" i="107" s="1"/>
  <c r="J5" i="85"/>
  <c r="K5" i="85" s="1"/>
  <c r="K4" i="85"/>
  <c r="J4" i="107"/>
  <c r="K4" i="107" s="1"/>
  <c r="K2" i="98"/>
  <c r="L2" i="98" s="1"/>
  <c r="BJ51" i="7"/>
  <c r="BJ52" i="7" s="1"/>
  <c r="BK51" i="7"/>
  <c r="I2" i="90"/>
  <c r="K18" i="98"/>
  <c r="O18" i="98"/>
  <c r="L4" i="98"/>
  <c r="M3" i="85"/>
  <c r="K15" i="98"/>
  <c r="O15" i="98"/>
  <c r="K16" i="98"/>
  <c r="L16" i="98" s="1"/>
  <c r="O16" i="98"/>
  <c r="K9" i="98"/>
  <c r="L9" i="98" s="1"/>
  <c r="O9" i="98"/>
  <c r="AG13" i="33"/>
  <c r="K13" i="98"/>
  <c r="K7" i="98"/>
  <c r="J3" i="91"/>
  <c r="J13" i="98"/>
  <c r="J7" i="98"/>
  <c r="I3" i="91"/>
  <c r="M4" i="87"/>
  <c r="I4" i="87"/>
  <c r="K4" i="87" s="1"/>
  <c r="J3" i="85"/>
  <c r="K3" i="85" s="1"/>
  <c r="J10" i="98"/>
  <c r="L10" i="98" s="1"/>
  <c r="J5" i="98"/>
  <c r="L5" i="98" s="1"/>
  <c r="K6" i="98"/>
  <c r="L6" i="98" s="1"/>
  <c r="AG15" i="33"/>
  <c r="AS15" i="33"/>
  <c r="AG20" i="33"/>
  <c r="AS20" i="33"/>
  <c r="AG40" i="33"/>
  <c r="AS40" i="33"/>
  <c r="AS48" i="33"/>
  <c r="AG7" i="33"/>
  <c r="AG8" i="33"/>
  <c r="AG49" i="33"/>
  <c r="AG18" i="33"/>
  <c r="AS18" i="33"/>
  <c r="AG23" i="33"/>
  <c r="AS23" i="33"/>
  <c r="AG17" i="33"/>
  <c r="AG14" i="33"/>
  <c r="AS14" i="33"/>
  <c r="AG19" i="33"/>
  <c r="AG27" i="33"/>
  <c r="AG45" i="33"/>
  <c r="AS34" i="33"/>
  <c r="Y8" i="82"/>
  <c r="AG34" i="33"/>
  <c r="AY29" i="7"/>
  <c r="BE29" i="7" s="1"/>
  <c r="AR29" i="7" s="1"/>
  <c r="BD33" i="7"/>
  <c r="AY47" i="7"/>
  <c r="BE47" i="7" s="1"/>
  <c r="AR47" i="7" s="1"/>
  <c r="AR41" i="33"/>
  <c r="AY38" i="7"/>
  <c r="BE38" i="7" s="1"/>
  <c r="AR38" i="7" s="1"/>
  <c r="AR38" i="33"/>
  <c r="Q5" i="98" s="1"/>
  <c r="AR4" i="33"/>
  <c r="Q19" i="98" s="1"/>
  <c r="O4" i="98"/>
  <c r="BD9" i="7"/>
  <c r="AR44" i="33"/>
  <c r="AS44" i="33" s="1"/>
  <c r="AR21" i="33"/>
  <c r="Q2" i="98" s="1"/>
  <c r="AY11" i="7"/>
  <c r="BE11" i="7" s="1"/>
  <c r="AR11" i="7" s="1"/>
  <c r="AR37" i="33"/>
  <c r="Q18" i="98" s="1"/>
  <c r="AR6" i="33"/>
  <c r="BD40" i="7"/>
  <c r="AY48" i="7"/>
  <c r="BE48" i="7" s="1"/>
  <c r="AR48" i="7" s="1"/>
  <c r="AG30" i="33"/>
  <c r="AG31" i="33"/>
  <c r="AG21" i="33"/>
  <c r="AG26" i="33"/>
  <c r="AG36" i="33"/>
  <c r="AG6" i="33"/>
  <c r="AG41" i="33"/>
  <c r="AG38" i="33"/>
  <c r="AG39" i="33"/>
  <c r="AG11" i="33"/>
  <c r="AG37" i="33"/>
  <c r="AG33" i="33"/>
  <c r="AG25" i="33"/>
  <c r="M4" i="85"/>
  <c r="M6" i="91"/>
  <c r="N4" i="90"/>
  <c r="K2" i="91"/>
  <c r="Q4" i="81"/>
  <c r="R8" i="82"/>
  <c r="Q8" i="82"/>
  <c r="R4" i="81"/>
  <c r="R5" i="82"/>
  <c r="Q5" i="82"/>
  <c r="Q6" i="82"/>
  <c r="K2" i="85"/>
  <c r="R5" i="81"/>
  <c r="Q3" i="81"/>
  <c r="R3" i="81"/>
  <c r="R7" i="82"/>
  <c r="Q7" i="82"/>
  <c r="Q5" i="81"/>
  <c r="R6" i="82"/>
  <c r="M2" i="85"/>
  <c r="Q4" i="82"/>
  <c r="R4" i="82"/>
  <c r="AR45" i="7"/>
  <c r="AR6" i="7"/>
  <c r="AR34" i="7"/>
  <c r="AG50" i="33"/>
  <c r="AR37" i="7"/>
  <c r="BD34" i="7"/>
  <c r="AR39" i="33"/>
  <c r="Q17" i="98" s="1"/>
  <c r="AY13" i="7"/>
  <c r="BE13" i="7" s="1"/>
  <c r="AR13" i="7" s="1"/>
  <c r="BD16" i="7"/>
  <c r="BD20" i="7"/>
  <c r="BD37" i="7"/>
  <c r="BD38" i="7"/>
  <c r="AR17" i="33"/>
  <c r="AS17" i="33" s="1"/>
  <c r="AY33" i="7"/>
  <c r="BE33" i="7" s="1"/>
  <c r="AR33" i="7" s="1"/>
  <c r="AY44" i="7"/>
  <c r="BE44" i="7" s="1"/>
  <c r="AR44" i="7" s="1"/>
  <c r="BD17" i="7"/>
  <c r="BD19" i="7"/>
  <c r="AR12" i="33"/>
  <c r="AR33" i="33"/>
  <c r="Q15" i="98" s="1"/>
  <c r="BD13" i="7"/>
  <c r="AR24" i="33"/>
  <c r="AS24" i="33" s="1"/>
  <c r="BD44" i="7"/>
  <c r="AR22" i="33"/>
  <c r="AS22" i="33" s="1"/>
  <c r="BD41" i="7"/>
  <c r="BD21" i="7"/>
  <c r="BD32" i="7"/>
  <c r="AY32" i="7"/>
  <c r="BE32" i="7" s="1"/>
  <c r="AR32" i="7" s="1"/>
  <c r="BD35" i="7"/>
  <c r="AR16" i="33"/>
  <c r="AS16" i="33" s="1"/>
  <c r="AY10" i="7"/>
  <c r="BE10" i="7" s="1"/>
  <c r="AR10" i="7" s="1"/>
  <c r="AR27" i="33"/>
  <c r="AS27" i="33" s="1"/>
  <c r="AR7" i="33"/>
  <c r="AS7" i="33" s="1"/>
  <c r="BD3" i="7"/>
  <c r="AR19" i="33"/>
  <c r="AS19" i="33" s="1"/>
  <c r="AY35" i="7"/>
  <c r="BE35" i="7" s="1"/>
  <c r="AR35" i="7" s="1"/>
  <c r="AY3" i="7"/>
  <c r="BE3" i="7" s="1"/>
  <c r="AR3" i="7" s="1"/>
  <c r="BD45" i="7"/>
  <c r="AR35" i="33"/>
  <c r="BD10" i="7"/>
  <c r="AR8" i="33"/>
  <c r="AS8" i="33" s="1"/>
  <c r="AR31" i="33"/>
  <c r="BD47" i="7"/>
  <c r="AR49" i="33"/>
  <c r="AS49" i="33" s="1"/>
  <c r="AR29" i="33"/>
  <c r="AS29" i="33" s="1"/>
  <c r="BD36" i="7"/>
  <c r="AY18" i="7"/>
  <c r="BE18" i="7" s="1"/>
  <c r="AR18" i="7" s="1"/>
  <c r="BD42" i="7"/>
  <c r="BD5" i="7"/>
  <c r="AY22" i="7"/>
  <c r="BE22" i="7" s="1"/>
  <c r="AR22" i="7" s="1"/>
  <c r="BD28" i="7"/>
  <c r="BD22" i="7"/>
  <c r="AY42" i="7"/>
  <c r="BE42" i="7" s="1"/>
  <c r="AR42" i="7" s="1"/>
  <c r="AR26" i="33"/>
  <c r="Q7" i="98" s="1"/>
  <c r="AR45" i="33"/>
  <c r="AS45" i="33" s="1"/>
  <c r="AY31" i="7"/>
  <c r="BE31" i="7" s="1"/>
  <c r="AR31" i="7" s="1"/>
  <c r="BD31" i="7"/>
  <c r="AY49" i="7"/>
  <c r="BE49" i="7" s="1"/>
  <c r="AR49" i="7" s="1"/>
  <c r="AY24" i="7"/>
  <c r="BE24" i="7" s="1"/>
  <c r="AR24" i="7" s="1"/>
  <c r="BD14" i="7"/>
  <c r="BD24" i="7"/>
  <c r="BD49" i="7"/>
  <c r="BD48" i="7"/>
  <c r="BD30" i="7"/>
  <c r="AY30" i="7"/>
  <c r="BE30" i="7" s="1"/>
  <c r="AR30" i="7" s="1"/>
  <c r="AR32" i="33"/>
  <c r="Q3" i="98" s="1"/>
  <c r="AY4" i="7"/>
  <c r="BE4" i="7" s="1"/>
  <c r="AR4" i="7" s="1"/>
  <c r="AR50" i="33"/>
  <c r="AS50" i="33" s="1"/>
  <c r="BD26" i="7"/>
  <c r="AY27" i="7"/>
  <c r="BE27" i="7" s="1"/>
  <c r="AR27" i="7" s="1"/>
  <c r="BD39" i="7"/>
  <c r="BD4" i="7"/>
  <c r="BD12" i="7"/>
  <c r="AY9" i="7"/>
  <c r="BE9" i="7" s="1"/>
  <c r="AR9" i="7" s="1"/>
  <c r="AY26" i="7"/>
  <c r="BE26" i="7" s="1"/>
  <c r="AR26" i="7" s="1"/>
  <c r="BD8" i="7"/>
  <c r="AY14" i="7"/>
  <c r="BE14" i="7" s="1"/>
  <c r="AR14" i="7" s="1"/>
  <c r="AY8" i="7"/>
  <c r="BE8" i="7" s="1"/>
  <c r="AR8" i="7" s="1"/>
  <c r="BD27" i="7"/>
  <c r="AY7" i="7"/>
  <c r="BE7" i="7" s="1"/>
  <c r="AR7" i="7" s="1"/>
  <c r="AY40" i="7"/>
  <c r="BE40" i="7" s="1"/>
  <c r="AR40" i="7" s="1"/>
  <c r="AR25" i="33"/>
  <c r="Q13" i="98" s="1"/>
  <c r="BD7" i="7"/>
  <c r="AR36" i="33"/>
  <c r="AR30" i="33"/>
  <c r="BD29" i="7"/>
  <c r="AY25" i="7"/>
  <c r="BE25" i="7" s="1"/>
  <c r="AR25" i="7" s="1"/>
  <c r="AR10" i="33"/>
  <c r="AS10" i="33" s="1"/>
  <c r="BD23" i="7"/>
  <c r="AY43" i="7"/>
  <c r="BE43" i="7" s="1"/>
  <c r="AR43" i="7" s="1"/>
  <c r="BD43" i="7"/>
  <c r="AY15" i="7"/>
  <c r="BE15" i="7" s="1"/>
  <c r="AR15" i="7" s="1"/>
  <c r="BD11" i="7"/>
  <c r="BD6" i="7"/>
  <c r="AR11" i="33"/>
  <c r="AS11" i="33" s="1"/>
  <c r="BD46" i="7"/>
  <c r="BD15" i="7"/>
  <c r="AY46" i="7"/>
  <c r="BE46" i="7" s="1"/>
  <c r="AR46" i="7" s="1"/>
  <c r="AR46" i="33"/>
  <c r="AS46" i="33" s="1"/>
  <c r="AY23" i="7"/>
  <c r="BE23" i="7" s="1"/>
  <c r="AR23" i="7" s="1"/>
  <c r="AR20" i="7"/>
  <c r="AR5" i="7"/>
  <c r="AR16" i="7"/>
  <c r="AR39" i="7"/>
  <c r="AR12" i="7"/>
  <c r="AR36" i="7"/>
  <c r="AR41" i="7"/>
  <c r="AR17" i="7"/>
  <c r="BL47" i="7"/>
  <c r="BN47" i="7" s="1"/>
  <c r="BL19" i="7"/>
  <c r="BN19" i="7" s="1"/>
  <c r="AR19" i="7"/>
  <c r="BL31" i="7"/>
  <c r="BN31" i="7" s="1"/>
  <c r="BL29" i="7"/>
  <c r="BN29" i="7" s="1"/>
  <c r="BL21" i="7"/>
  <c r="BN21" i="7" s="1"/>
  <c r="AR21" i="7"/>
  <c r="BL22" i="7"/>
  <c r="BN22" i="7" s="1"/>
  <c r="BL26" i="7"/>
  <c r="BN26" i="7" s="1"/>
  <c r="AR28" i="7"/>
  <c r="BL28" i="7"/>
  <c r="BN28" i="7" s="1"/>
  <c r="BL4" i="7"/>
  <c r="BN4" i="7" s="1"/>
  <c r="BL46" i="7"/>
  <c r="BN46" i="7" s="1"/>
  <c r="K4" i="91" l="1"/>
  <c r="K6" i="91"/>
  <c r="Q11" i="98"/>
  <c r="Q12" i="98"/>
  <c r="Q10" i="98"/>
  <c r="AS35" i="33"/>
  <c r="Q20" i="98"/>
  <c r="L18" i="98"/>
  <c r="L15" i="98"/>
  <c r="BK52" i="7"/>
  <c r="BJ53" i="7"/>
  <c r="K3" i="91"/>
  <c r="L13" i="98"/>
  <c r="L7" i="98"/>
  <c r="M4" i="90"/>
  <c r="M2" i="91"/>
  <c r="M2" i="90"/>
  <c r="O13" i="98"/>
  <c r="O7" i="98"/>
  <c r="M3" i="91"/>
  <c r="AS41" i="33"/>
  <c r="AS38" i="33"/>
  <c r="AS36" i="33"/>
  <c r="AS37" i="33"/>
  <c r="AS33" i="33"/>
  <c r="Q9" i="98"/>
  <c r="AS31" i="33"/>
  <c r="AS4" i="33"/>
  <c r="AS6" i="33"/>
  <c r="Y4" i="82"/>
  <c r="AS39" i="33"/>
  <c r="Q14" i="98"/>
  <c r="AS12" i="33"/>
  <c r="AS32" i="33"/>
  <c r="AS26" i="33"/>
  <c r="AS21" i="33"/>
  <c r="AS25" i="33"/>
  <c r="Q16" i="98"/>
  <c r="AS30" i="33"/>
  <c r="O5" i="98"/>
  <c r="Y5" i="82"/>
  <c r="Q4" i="98"/>
  <c r="O6" i="98"/>
  <c r="O10" i="98"/>
  <c r="Y6" i="82"/>
  <c r="Q6" i="98"/>
  <c r="S79" i="33"/>
  <c r="T79"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tc={69E38E44-1180-46B4-96E3-30E0FC97314A}</author>
  </authors>
  <commentList>
    <comment ref="BH50" authorId="0" shapeId="0" xr:uid="{69E38E44-1180-46B4-96E3-30E0FC97314A}">
      <text>
        <t>[Threaded comment]
Your version of Excel allows you to read this threaded comment; however, any edits to it will get removed if the file is opened in a newer version of Excel. Learn more: https://go.microsoft.com/fwlink/?linkid=870924
Comment:
    يرجي ذكر التحديث حتي الإسبوع الحالي</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tc={EF10ADC4-9A1D-45AE-967B-8C3E21C88D5C}</author>
    <author>tc={76449620-2838-410F-AC23-3A7743A0DC4C}</author>
    <author>tc={F84D3EFB-913C-4CC7-ACF0-DA3BAFC41503}</author>
    <author>tc={D76EC5D8-090B-44D2-95DA-25EB9EF970BC}</author>
    <author>tc={D3812410-4DA4-47EA-B377-3442D54B8BC4}</author>
    <author>tc={3E2C540C-42D2-4F06-A910-4BE3398EE587}</author>
    <author>tc={31FE65A2-47FA-4D3F-AB25-466BE6FB9788}</author>
    <author>tc={46387EF8-1627-4930-A0FA-828485004BCE}</author>
    <author>tc={0EF14BA5-9FD3-402E-9D06-5C7E7DDCE558}</author>
    <author>tc={A153DBC0-0FBF-4893-A64A-196E6A70E8DE}</author>
    <author>tc={FC1C8E19-ABFF-45F7-9C6B-4BB7A1F80B0D}</author>
    <author>tc={CD4D4931-760B-4314-8053-4374F353AD40}</author>
    <author>tc={E811512E-F888-43A5-A394-2F010326313D}</author>
    <author>tc={FF72585E-EB51-4618-8670-7267942FA9F4}</author>
    <author>tc={B3E880D5-0CE3-410C-8A51-E4026A42B3A8}</author>
    <author>tc={5B5C074C-943C-4AAB-83A0-4A4061962D4A}</author>
    <author>tc={F6885072-60A3-434D-AEB6-C110E5236153}</author>
  </authors>
  <commentList>
    <comment ref="I27" authorId="0" shapeId="0" xr:uid="{EF10ADC4-9A1D-45AE-967B-8C3E21C88D5C}">
      <text>
        <t>[Threaded comment]
Your version of Excel allows you to read this threaded comment; however, any edits to it will get removed if the file is opened in a newer version of Excel. Learn more: https://go.microsoft.com/fwlink/?linkid=870924
Comment:
    9 ابريل</t>
      </text>
    </comment>
    <comment ref="J27" authorId="1" shapeId="0" xr:uid="{76449620-2838-410F-AC23-3A7743A0DC4C}">
      <text>
        <t>[Threaded comment]
Your version of Excel allows you to read this threaded comment; however, any edits to it will get removed if the file is opened in a newer version of Excel. Learn more: https://go.microsoft.com/fwlink/?linkid=870924
Comment:
    Feb 26</t>
      </text>
    </comment>
    <comment ref="K27" authorId="2" shapeId="0" xr:uid="{F84D3EFB-913C-4CC7-ACF0-DA3BAFC41503}">
      <text>
        <t>[Threaded comment]
Your version of Excel allows you to read this threaded comment; however, any edits to it will get removed if the file is opened in a newer version of Excel. Learn more: https://go.microsoft.com/fwlink/?linkid=870924
Comment:
    Jan26</t>
      </text>
    </comment>
    <comment ref="L27" authorId="3" shapeId="0" xr:uid="{D76EC5D8-090B-44D2-95DA-25EB9EF970BC}">
      <text>
        <t>[Threaded comment]
Your version of Excel allows you to read this threaded comment; however, any edits to it will get removed if the file is opened in a newer version of Excel. Learn more: https://go.microsoft.com/fwlink/?linkid=870924
Comment:
    Jan26</t>
      </text>
    </comment>
    <comment ref="K28" authorId="4" shapeId="0" xr:uid="{D3812410-4DA4-47EA-B377-3442D54B8BC4}">
      <text>
        <t>[Threaded comment]
Your version of Excel allows you to read this threaded comment; however, any edits to it will get removed if the file is opened in a newer version of Excel. Learn more: https://go.microsoft.com/fwlink/?linkid=870924
Comment:
    Jan26</t>
      </text>
    </comment>
    <comment ref="L28" authorId="5" shapeId="0" xr:uid="{3E2C540C-42D2-4F06-A910-4BE3398EE587}">
      <text>
        <t>[Threaded comment]
Your version of Excel allows you to read this threaded comment; however, any edits to it will get removed if the file is opened in a newer version of Excel. Learn more: https://go.microsoft.com/fwlink/?linkid=870924
Comment:
    Jan26</t>
      </text>
    </comment>
    <comment ref="J29" authorId="6" shapeId="0" xr:uid="{31FE65A2-47FA-4D3F-AB25-466BE6FB9788}">
      <text>
        <t>[Threaded comment]
Your version of Excel allows you to read this threaded comment; however, any edits to it will get removed if the file is opened in a newer version of Excel. Learn more: https://go.microsoft.com/fwlink/?linkid=870924
Comment:
    Mar 26</t>
      </text>
    </comment>
    <comment ref="K29" authorId="7" shapeId="0" xr:uid="{46387EF8-1627-4930-A0FA-828485004BCE}">
      <text>
        <t>[Threaded comment]
Your version of Excel allows you to read this threaded comment; however, any edits to it will get removed if the file is opened in a newer version of Excel. Learn more: https://go.microsoft.com/fwlink/?linkid=870924
Comment:
    Jan26</t>
      </text>
    </comment>
    <comment ref="L29" authorId="8" shapeId="0" xr:uid="{0EF14BA5-9FD3-402E-9D06-5C7E7DDCE558}">
      <text>
        <t>[Threaded comment]
Your version of Excel allows you to read this threaded comment; however, any edits to it will get removed if the file is opened in a newer version of Excel. Learn more: https://go.microsoft.com/fwlink/?linkid=870924
Comment:
    Jan26</t>
      </text>
    </comment>
    <comment ref="K30" authorId="9" shapeId="0" xr:uid="{A153DBC0-0FBF-4893-A64A-196E6A70E8DE}">
      <text>
        <t>[Threaded comment]
Your version of Excel allows you to read this threaded comment; however, any edits to it will get removed if the file is opened in a newer version of Excel. Learn more: https://go.microsoft.com/fwlink/?linkid=870924
Comment:
    Jan26</t>
      </text>
    </comment>
    <comment ref="L30" authorId="10" shapeId="0" xr:uid="{FC1C8E19-ABFF-45F7-9C6B-4BB7A1F80B0D}">
      <text>
        <t>[Threaded comment]
Your version of Excel allows you to read this threaded comment; however, any edits to it will get removed if the file is opened in a newer version of Excel. Learn more: https://go.microsoft.com/fwlink/?linkid=870924
Comment:
    Jan26</t>
      </text>
    </comment>
    <comment ref="J31" authorId="11" shapeId="0" xr:uid="{CD4D4931-760B-4314-8053-4374F353AD40}">
      <text>
        <t>[Threaded comment]
Your version of Excel allows you to read this threaded comment; however, any edits to it will get removed if the file is opened in a newer version of Excel. Learn more: https://go.microsoft.com/fwlink/?linkid=870924
Comment:
    12 March 2026</t>
      </text>
    </comment>
    <comment ref="K31" authorId="12" shapeId="0" xr:uid="{E811512E-F888-43A5-A394-2F010326313D}">
      <text>
        <t>[Threaded comment]
Your version of Excel allows you to read this threaded comment; however, any edits to it will get removed if the file is opened in a newer version of Excel. Learn more: https://go.microsoft.com/fwlink/?linkid=870924
Comment:
    Jan26</t>
      </text>
    </comment>
    <comment ref="L31" authorId="13" shapeId="0" xr:uid="{FF72585E-EB51-4618-8670-7267942FA9F4}">
      <text>
        <t>[Threaded comment]
Your version of Excel allows you to read this threaded comment; however, any edits to it will get removed if the file is opened in a newer version of Excel. Learn more: https://go.microsoft.com/fwlink/?linkid=870924
Comment:
    Jan26</t>
      </text>
    </comment>
    <comment ref="J32" authorId="14" shapeId="0" xr:uid="{B3E880D5-0CE3-410C-8A51-E4026A42B3A8}">
      <text>
        <t>[Threaded comment]
Your version of Excel allows you to read this threaded comment; however, any edits to it will get removed if the file is opened in a newer version of Excel. Learn more: https://go.microsoft.com/fwlink/?linkid=870924
Comment:
    Mar 26</t>
      </text>
    </comment>
    <comment ref="K32" authorId="15" shapeId="0" xr:uid="{5B5C074C-943C-4AAB-83A0-4A4061962D4A}">
      <text>
        <t>[Threaded comment]
Your version of Excel allows you to read this threaded comment; however, any edits to it will get removed if the file is opened in a newer version of Excel. Learn more: https://go.microsoft.com/fwlink/?linkid=870924
Comment:
    Feb 26</t>
      </text>
    </comment>
    <comment ref="J33" authorId="16" shapeId="0" xr:uid="{F6885072-60A3-434D-AEB6-C110E5236153}">
      <text>
        <t>[Threaded comment]
Your version of Excel allows you to read this threaded comment; however, any edits to it will get removed if the file is opened in a newer version of Excel. Learn more: https://go.microsoft.com/fwlink/?linkid=870924
Comment:
    12 March 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tc={0CFC3412-F4E9-4927-A59D-C06CB64EF9CD}</author>
    <author>tc={76407766-F07F-4E6D-92D5-02F2D9E58E04}</author>
    <author>tc={F22E87BF-DBF9-447F-B126-3D34BEAB2463}</author>
    <author>tc={EEAA637A-FA05-4D6F-8471-1961FCEA7E94}</author>
    <author>tc={7E26B13A-5035-45E8-948E-D05CA08218B0}</author>
    <author>tc={717BA3FC-7278-406C-8488-482ADB1C2C12}</author>
    <author>tc={DC8C2188-6F08-4D89-9BAF-AFB2567D2FCA}</author>
    <author>tc={15305292-5854-4CAB-BACB-4C139BB5A0CD}</author>
    <author>tc={60595F1D-EBCD-4E2E-A485-D246A0A3ABFF}</author>
    <author>tc={3B8B2A92-9DFE-45E4-AFD6-7488C74C01BB}</author>
    <author>tc={AC827395-6104-4521-91B7-21E3C93283D3}</author>
    <author>tc={3D3802B7-7685-4280-AC60-85AC4E118AB5}</author>
    <author>tc={85CD004E-551A-4D8F-92BB-B6E89E8B51DC}</author>
    <author>tc={F3F8EA21-DCBE-4973-B37A-4CF9237FCAA6}</author>
  </authors>
  <commentList>
    <comment ref="J26" authorId="0" shapeId="0" xr:uid="{0CFC3412-F4E9-4927-A59D-C06CB64EF9CD}">
      <text>
        <t>[Threaded comment]
Your version of Excel allows you to read this threaded comment; however, any edits to it will get removed if the file is opened in a newer version of Excel. Learn more: https://go.microsoft.com/fwlink/?linkid=870924
Comment:
    Feb 26</t>
      </text>
    </comment>
    <comment ref="K26" authorId="1" shapeId="0" xr:uid="{76407766-F07F-4E6D-92D5-02F2D9E58E04}">
      <text>
        <t>[Threaded comment]
Your version of Excel allows you to read this threaded comment; however, any edits to it will get removed if the file is opened in a newer version of Excel. Learn more: https://go.microsoft.com/fwlink/?linkid=870924
Comment:
    Jan26</t>
      </text>
    </comment>
    <comment ref="L26" authorId="2" shapeId="0" xr:uid="{F22E87BF-DBF9-447F-B126-3D34BEAB2463}">
      <text>
        <t>[Threaded comment]
Your version of Excel allows you to read this threaded comment; however, any edits to it will get removed if the file is opened in a newer version of Excel. Learn more: https://go.microsoft.com/fwlink/?linkid=870924
Comment:
    Jan26</t>
      </text>
    </comment>
    <comment ref="K27" authorId="3" shapeId="0" xr:uid="{EEAA637A-FA05-4D6F-8471-1961FCEA7E94}">
      <text>
        <t>[Threaded comment]
Your version of Excel allows you to read this threaded comment; however, any edits to it will get removed if the file is opened in a newer version of Excel. Learn more: https://go.microsoft.com/fwlink/?linkid=870924
Comment:
    Jan26</t>
      </text>
    </comment>
    <comment ref="L27" authorId="4" shapeId="0" xr:uid="{7E26B13A-5035-45E8-948E-D05CA08218B0}">
      <text>
        <t>[Threaded comment]
Your version of Excel allows you to read this threaded comment; however, any edits to it will get removed if the file is opened in a newer version of Excel. Learn more: https://go.microsoft.com/fwlink/?linkid=870924
Comment:
    Jan26</t>
      </text>
    </comment>
    <comment ref="J28" authorId="5" shapeId="0" xr:uid="{717BA3FC-7278-406C-8488-482ADB1C2C12}">
      <text>
        <t>[Threaded comment]
Your version of Excel allows you to read this threaded comment; however, any edits to it will get removed if the file is opened in a newer version of Excel. Learn more: https://go.microsoft.com/fwlink/?linkid=870924
Comment:
    Mar 26</t>
      </text>
    </comment>
    <comment ref="K28" authorId="6" shapeId="0" xr:uid="{DC8C2188-6F08-4D89-9BAF-AFB2567D2FCA}">
      <text>
        <t>[Threaded comment]
Your version of Excel allows you to read this threaded comment; however, any edits to it will get removed if the file is opened in a newer version of Excel. Learn more: https://go.microsoft.com/fwlink/?linkid=870924
Comment:
    Jan26</t>
      </text>
    </comment>
    <comment ref="L28" authorId="7" shapeId="0" xr:uid="{15305292-5854-4CAB-BACB-4C139BB5A0CD}">
      <text>
        <t>[Threaded comment]
Your version of Excel allows you to read this threaded comment; however, any edits to it will get removed if the file is opened in a newer version of Excel. Learn more: https://go.microsoft.com/fwlink/?linkid=870924
Comment:
    Jan26</t>
      </text>
    </comment>
    <comment ref="K29" authorId="8" shapeId="0" xr:uid="{60595F1D-EBCD-4E2E-A485-D246A0A3ABFF}">
      <text>
        <t>[Threaded comment]
Your version of Excel allows you to read this threaded comment; however, any edits to it will get removed if the file is opened in a newer version of Excel. Learn more: https://go.microsoft.com/fwlink/?linkid=870924
Comment:
    Jan26</t>
      </text>
    </comment>
    <comment ref="L29" authorId="9" shapeId="0" xr:uid="{3B8B2A92-9DFE-45E4-AFD6-7488C74C01BB}">
      <text>
        <t>[Threaded comment]
Your version of Excel allows you to read this threaded comment; however, any edits to it will get removed if the file is opened in a newer version of Excel. Learn more: https://go.microsoft.com/fwlink/?linkid=870924
Comment:
    Jan26</t>
      </text>
    </comment>
    <comment ref="K30" authorId="10" shapeId="0" xr:uid="{AC827395-6104-4521-91B7-21E3C93283D3}">
      <text>
        <t>[Threaded comment]
Your version of Excel allows you to read this threaded comment; however, any edits to it will get removed if the file is opened in a newer version of Excel. Learn more: https://go.microsoft.com/fwlink/?linkid=870924
Comment:
    Jan26</t>
      </text>
    </comment>
    <comment ref="L30" authorId="11" shapeId="0" xr:uid="{3D3802B7-7685-4280-AC60-85AC4E118AB5}">
      <text>
        <t>[Threaded comment]
Your version of Excel allows you to read this threaded comment; however, any edits to it will get removed if the file is opened in a newer version of Excel. Learn more: https://go.microsoft.com/fwlink/?linkid=870924
Comment:
    Jan26</t>
      </text>
    </comment>
    <comment ref="J31" authorId="12" shapeId="0" xr:uid="{85CD004E-551A-4D8F-92BB-B6E89E8B51DC}">
      <text>
        <t>[Threaded comment]
Your version of Excel allows you to read this threaded comment; however, any edits to it will get removed if the file is opened in a newer version of Excel. Learn more: https://go.microsoft.com/fwlink/?linkid=870924
Comment:
    Mar 26</t>
      </text>
    </comment>
    <comment ref="K31" authorId="13" shapeId="0" xr:uid="{F3F8EA21-DCBE-4973-B37A-4CF9237FCAA6}">
      <text>
        <t>[Threaded comment]
Your version of Excel allows you to read this threaded comment; however, any edits to it will get removed if the file is opened in a newer version of Excel. Learn more: https://go.microsoft.com/fwlink/?linkid=870924
Comment:
    Feb 26</t>
      </text>
    </comment>
  </commentList>
</comments>
</file>

<file path=xl/sharedStrings.xml><?xml version="1.0" encoding="utf-8"?>
<sst xmlns="http://schemas.openxmlformats.org/spreadsheetml/2006/main" count="5245" uniqueCount="1042">
  <si>
    <t>اسم المشروع</t>
  </si>
  <si>
    <t>المدة المنقضية</t>
  </si>
  <si>
    <t>قيمة المشروع</t>
  </si>
  <si>
    <t>خطوط مياه متفرقة بالمدينة المنورة ( الجزء الاول )</t>
  </si>
  <si>
    <t xml:space="preserve">مشروع خطوط وشبكات المياه بمنطقة شمال وشرق المدينة المنورة </t>
  </si>
  <si>
    <t xml:space="preserve">مشروع إحلال خط الاسبستوس ببدر </t>
  </si>
  <si>
    <t>فرق النسب</t>
  </si>
  <si>
    <t>موقف المشروع</t>
  </si>
  <si>
    <t>PO</t>
  </si>
  <si>
    <t>#</t>
  </si>
  <si>
    <t>شركة ابداع الحياة للاستثمار</t>
  </si>
  <si>
    <t>شركة العزم للإنشاء والتعمير</t>
  </si>
  <si>
    <t>مؤسسة عبدالله ناصر الموسى للمقاولات</t>
  </si>
  <si>
    <t>شركة روابط الحمرور المحدودة</t>
  </si>
  <si>
    <t>الشركة الوطنية لأعمال المياه</t>
  </si>
  <si>
    <t>شركة البنايات العربية</t>
  </si>
  <si>
    <t>مؤسسة إبراهيم عتيق الفزي للمقاولات</t>
  </si>
  <si>
    <t xml:space="preserve">شركة البنايات العربية للمقاولات العامة </t>
  </si>
  <si>
    <t>مجموعة سعد على العيسى للمقاولات شركة شخص واحد</t>
  </si>
  <si>
    <t>شركة ابداع الحياه للاستثمار</t>
  </si>
  <si>
    <t>شركة ركن المواثيق للمقاولات</t>
  </si>
  <si>
    <t xml:space="preserve">شركة افاق الدولية </t>
  </si>
  <si>
    <t xml:space="preserve">اسم المقاول </t>
  </si>
  <si>
    <t>نوعه</t>
  </si>
  <si>
    <t>شبكة الإنشاء للمقاولات</t>
  </si>
  <si>
    <t>موسسة اعمار الجنوب للمقاولات</t>
  </si>
  <si>
    <t xml:space="preserve">شركة الأولات للصناعة والإنشاء المحدودة </t>
  </si>
  <si>
    <t>شركة خالد سليم الأحمدي للمقاولات</t>
  </si>
  <si>
    <t>شركة عبدالمحسن شعبان القحطاني للمقاولات</t>
  </si>
  <si>
    <t>شركة دقة الابعاد للمقاولات</t>
  </si>
  <si>
    <t>شركة أضواء الخليل للمقاولات</t>
  </si>
  <si>
    <t>شركة خزام ناصر سعيد الشهراني للمقاولات</t>
  </si>
  <si>
    <t>شركة بيان الانشاء للمقاولات</t>
  </si>
  <si>
    <t xml:space="preserve">شركة كيان كاك المملكة </t>
  </si>
  <si>
    <t>شركة دقه الأبعاد للمقاولات</t>
  </si>
  <si>
    <t>شركه بيان الإنشاء للمقاولات</t>
  </si>
  <si>
    <t>عقد تنفيذ شبكات الصرف الصحي بمحافظات منطقة المدينة المنورة الخطوط الرئيسية 901230173</t>
  </si>
  <si>
    <t>تنفيذ خطوط الصرف الصحي الرئيسية بمخططات الرانوناء واحياء جنوب المدينة 901230202</t>
  </si>
  <si>
    <t>تنفيذ شبكات الصرف الصحي بمخططات الرانوناء واحياء جنوب المدينة (المرحلة الأولى)901230176</t>
  </si>
  <si>
    <t>استكمال مشروع شبكات الصرف الصحي والتوصيلات المنزلية بينبع ( الفزي) 901240123</t>
  </si>
  <si>
    <t>تنفيذ شبكات الصرف الصحي بمحافظة ينبع (الغامدي) 901240091</t>
  </si>
  <si>
    <t>استكمال الخطوط الرئيسية و شبكات الصرف الصحي بمدينة بدر901240189</t>
  </si>
  <si>
    <t>تنفيذ شبكات صرف صحي متفرقة بالمدينة المنورة ( الجزء الاول ) 901240072</t>
  </si>
  <si>
    <t>شبكات المياه لايصال الخدمة لمستشفى التخصصي بحمراء الأسد901240210</t>
  </si>
  <si>
    <t>مشروع خطوط وشبكات المياه بمنطقة شمال وشرق المدينة المنورة 901240036</t>
  </si>
  <si>
    <t>مشروع تنفيذ شبكة توزيع المياه في حي المحاميد بالمدينة المنورة 901240095</t>
  </si>
  <si>
    <t>مشروع تنفيذ خط المياه الرئيسي في الدائري الثالث شرق المدينة المنورة 901230273</t>
  </si>
  <si>
    <t>تنفيذ شبكات وخطوط مياه بالعوينة والعاقول بالمدينة المنورة 901230145</t>
  </si>
  <si>
    <t>إحلال شبكات وخطوط مياه بمدينة ينبع 901230253</t>
  </si>
  <si>
    <t>تنفيذ شبكات وخطوط المياه بمنطقة جنوب المدينة المنورة 901240018</t>
  </si>
  <si>
    <t>تنفيذ خطوط فرعية وتوصيلات منزلية للصرف الصحي مع اعادة تأهيل محطة الضخ بينبع901230191</t>
  </si>
  <si>
    <t xml:space="preserve">المقاول </t>
  </si>
  <si>
    <t xml:space="preserve">تنفيذ شبكات وخطوط المياه بمنطقة جنوب المدينة المنورة </t>
  </si>
  <si>
    <t xml:space="preserve">تنفيذ شبكات وخطوط المياه بالصويدرة بمنطقة المدينة المنورة </t>
  </si>
  <si>
    <t xml:space="preserve">استكمال تنفيذ خطوط وشبكات المياه بأحياء شرق المدينة المنورة والعاقول </t>
  </si>
  <si>
    <t xml:space="preserve">إحلال شبكات وخطوط مياه بمدينة ينبع </t>
  </si>
  <si>
    <t xml:space="preserve">تنفيذ شبكات وخطوط مياه بالعوينة والعاقول بالمدينة المنورة </t>
  </si>
  <si>
    <t xml:space="preserve">مشروع تنفيذ خط المياه الرئيسي في الدائري الثالث شرق المدينة المنورة </t>
  </si>
  <si>
    <t xml:space="preserve">مشروع تنفيذ شبكة توزيع المياه في حي المحاميد بالمدينة المنورة </t>
  </si>
  <si>
    <t xml:space="preserve">احلال شبكات وخطوط مياه بالمدينة المنورة </t>
  </si>
  <si>
    <t xml:space="preserve">شبكات المياه لايصال الخدمة لمستشفى التخصصي بحمراء الأسد </t>
  </si>
  <si>
    <t xml:space="preserve">تنفيذ خط الصرف الصحي بالدعيثة </t>
  </si>
  <si>
    <t xml:space="preserve">تنفيذ خطوط فرعية وتوصيلات منزلية للصرف الصحي مع اعادة تأهيل محطة الضخ بينبع </t>
  </si>
  <si>
    <t xml:space="preserve">عقد تنفيذ شبكات الصرف الصحي بمحافظات منطقة المدينة المنورة الخطوط الرئيسية </t>
  </si>
  <si>
    <t xml:space="preserve">تنفيذ خطوط الصرف الصحي الرئيسية بمخططات الرانوناء واحياء جنوب المدينة </t>
  </si>
  <si>
    <t xml:space="preserve">تنفيذ شبكات الصرف الصحي بمخططات الرانوناء واحياء جنوب المدينة (المرحلة الأولى) </t>
  </si>
  <si>
    <t xml:space="preserve">مشروع تنفيذ شبكات الصرف الصحي باحياء الجرف بالمدينة المنورة </t>
  </si>
  <si>
    <t xml:space="preserve">إستكمال تنفيذ شبكات الصرف الصحي بالأماكن المتضررة بالمدينة المنورة </t>
  </si>
  <si>
    <t xml:space="preserve">مشروع انشاء شبكات وخطوط الصرف الصحي بحي الأصيفرين بالمدينة المنورة </t>
  </si>
  <si>
    <t xml:space="preserve">توريد وتركيب وحدات معالجة الحمأة ميكانيكيا بالمدينة المنورة </t>
  </si>
  <si>
    <t xml:space="preserve">استكمال الخطوط الرئيسية و شبكات الصرف الصحي بمدينة بدر </t>
  </si>
  <si>
    <t xml:space="preserve">تنفيذ شبكات صرف صحي متفرقة بالمدينة المنورة ( الجزء الاول ) </t>
  </si>
  <si>
    <t>تحت التنفيذ</t>
  </si>
  <si>
    <t>صرف</t>
  </si>
  <si>
    <t>مؤسسة منصور  الغامدي للمقاولات العامة</t>
  </si>
  <si>
    <t>مجموعة سعد على العيسى للمقاولات</t>
  </si>
  <si>
    <t>حالة المشروع</t>
  </si>
  <si>
    <t>منتظم</t>
  </si>
  <si>
    <t>متقدم</t>
  </si>
  <si>
    <t>Grand Total</t>
  </si>
  <si>
    <t>Project Status</t>
  </si>
  <si>
    <t>Projects No.</t>
  </si>
  <si>
    <t>Projects Status</t>
  </si>
  <si>
    <t>Recovery Plan Status</t>
  </si>
  <si>
    <t>استكمال تنفيذ الخطوط الرئيسية والشبكات الفرعية لمخططات شوران (المرحلة الأولى)</t>
  </si>
  <si>
    <t>متعثر</t>
  </si>
  <si>
    <t>استكمال خطوط الصرف الصحي لمدينة العلا (خطوط رئيسية وشبكات)</t>
  </si>
  <si>
    <t>مشروع استبدال خطوط وشبكات المياه المتهالكة بالمدينة المنورة</t>
  </si>
  <si>
    <t>تنفيذ خط المياه الرئيسي لتغذية توسعة المطار</t>
  </si>
  <si>
    <t>تنفيذ خطوط وشبكات توزيع المياه بمحافظة بدر</t>
  </si>
  <si>
    <t>شركة تاج العزيزية</t>
  </si>
  <si>
    <t>مؤسسة سماء الرس للمقاولات</t>
  </si>
  <si>
    <t>مشروع استكمال شبكات الصرف الصحى لحى البرماوية</t>
  </si>
  <si>
    <t>شركة الرخيص للمقاولات</t>
  </si>
  <si>
    <t>شركة ثروات المجد للمقاولات العامة شركة شخص واحد</t>
  </si>
  <si>
    <t xml:space="preserve">التصنيف </t>
  </si>
  <si>
    <t>البرنامج</t>
  </si>
  <si>
    <t>Act %</t>
  </si>
  <si>
    <t>SPI</t>
  </si>
  <si>
    <t>On going</t>
  </si>
  <si>
    <t>متأخر</t>
  </si>
  <si>
    <t>-</t>
  </si>
  <si>
    <t xml:space="preserve">شركه أفاق الدولية </t>
  </si>
  <si>
    <t>شركة الركائز الثابتة المحدودة</t>
  </si>
  <si>
    <t>شركة بنون و فنون للمقاولات</t>
  </si>
  <si>
    <t xml:space="preserve">خدمات بيئية </t>
  </si>
  <si>
    <t>مشروع إستكمال تنفيذ الخطوط الرئيسية والشبكات الفرعية لمخططات شوران ( المرحلة الثانية )</t>
  </si>
  <si>
    <t>استكمال إنشاء أشياب مع ملحقاتها ومحطة تنقية للمياه في مناطق مختلفة بمحافظة الحناكية</t>
  </si>
  <si>
    <t>تنفيذ خطوط وشبكات توزيع المياه لمحافظة العيص ( المرحلة الأولى )</t>
  </si>
  <si>
    <t>شركة بيان الإنشاء للمقاولات</t>
  </si>
  <si>
    <t>الإستشاري</t>
  </si>
  <si>
    <t>دورش</t>
  </si>
  <si>
    <t>موقف تقديم الخطة التصحيحية</t>
  </si>
  <si>
    <t>فرق النسب بين المخطط و الفعلي</t>
  </si>
  <si>
    <t>المخطط % بالخطة التصحيحية  - الإسبوع الحالي</t>
  </si>
  <si>
    <t>المنفذ % الفعلي بالخطة - الإسبوع الحالي</t>
  </si>
  <si>
    <t>مياه</t>
  </si>
  <si>
    <t>استكمال مشروع شبكات الصرف الصحي والتوصيلات المنزلية بينبع</t>
  </si>
  <si>
    <t>شركة ثروات المجد للمقاولات العامة</t>
  </si>
  <si>
    <t>مدة المشروع بالايام</t>
  </si>
  <si>
    <t>❌</t>
  </si>
  <si>
    <t>✔️</t>
  </si>
  <si>
    <t>➖</t>
  </si>
  <si>
    <t>فيوتشر</t>
  </si>
  <si>
    <t xml:space="preserve">النهاية المتوقعة </t>
  </si>
  <si>
    <t>T.F</t>
  </si>
  <si>
    <t>النهاية طبقاً للتحديث الاسبوعي السابق</t>
  </si>
  <si>
    <t>النهاية طبقاً للتحديث الاسبوعي الحالي</t>
  </si>
  <si>
    <t>مشروع استبدال خطوط وشبكات المياه المتهالكة بالمدينة المنورة( مشروع استبدال شبكات)</t>
  </si>
  <si>
    <t>احلال شبكات و خطوط مياه - المدينة المنورة(مشروع اخلال بكات)</t>
  </si>
  <si>
    <t>مشروع انشاء شبكات وخطوط الصرف الصحي بحي الأصيفرين بالمدينة المنورة(مشروع الاصيفرين)</t>
  </si>
  <si>
    <t>تنفيذ خطوط وشبكات الصرف الصحي بمحافظة المهد ( الجزء الاول )</t>
  </si>
  <si>
    <t>شركة المشروعات المتقدمة المحدودة</t>
  </si>
  <si>
    <t>خط المياه الرئيسي بالدائري الأوسط بالمدينة المنورة</t>
  </si>
  <si>
    <t xml:space="preserve"> شركة شبه الجزيرة للمقاولات</t>
  </si>
  <si>
    <t>125%من مدة المشروع</t>
  </si>
  <si>
    <t>ساحلية</t>
  </si>
  <si>
    <t>TF</t>
  </si>
  <si>
    <t xml:space="preserve">تنفيذ شبكات الصرف الصحي بمحافظة ينبع </t>
  </si>
  <si>
    <t>تاريخ دخول المشروع التعثر بالمدة المنقضية</t>
  </si>
  <si>
    <t>التاريخ المتوقع لدخول المشروع التعثر بالمدة المنقضية</t>
  </si>
  <si>
    <t>تنفيذ خطوط وشبكات الصرف الصحي بمحافظة بدر ( الجزء الأول )</t>
  </si>
  <si>
    <t>مشروع إنشاء خط مياه رئيسي من المسيجيد الى هبت مع محطة ضخ في المسيجيد ومحطة أخرى في بئر الروحاء</t>
  </si>
  <si>
    <t>تنفيذ خطوط وشبكات الصرف الصحي مخطط جبل عير</t>
  </si>
  <si>
    <t>مشروع انشاء شبكات مياه بقريتي المعتدل وقاع الحاج</t>
  </si>
  <si>
    <t>شركة العاذرية المحدودة للتجارة</t>
  </si>
  <si>
    <t>شركة ميلاف السعودية</t>
  </si>
  <si>
    <t>شركة سماء التشييد والبناء للتجارة والمقاولات</t>
  </si>
  <si>
    <t>مؤسسه اشغال النهار للمقاولات</t>
  </si>
  <si>
    <t>مدير البرنامج</t>
  </si>
  <si>
    <t>مدير المشروع</t>
  </si>
  <si>
    <t>عادل الحيسوني</t>
  </si>
  <si>
    <t>أحمد عدني</t>
  </si>
  <si>
    <t>بدر المحمدي</t>
  </si>
  <si>
    <t xml:space="preserve">حسن عزي </t>
  </si>
  <si>
    <t>محمد قطيلان</t>
  </si>
  <si>
    <t>زيد المغذوي</t>
  </si>
  <si>
    <t>احمد عدني</t>
  </si>
  <si>
    <t>محمد القطيلان</t>
  </si>
  <si>
    <t>أحمد المطيري</t>
  </si>
  <si>
    <t>خالد صحاف</t>
  </si>
  <si>
    <t>خالد اللهيبي</t>
  </si>
  <si>
    <t>محمود المختار</t>
  </si>
  <si>
    <t>محمود المختار​</t>
  </si>
  <si>
    <t>عبدالله المغذوي</t>
  </si>
  <si>
    <t>أحمد السيد</t>
  </si>
  <si>
    <t>عبد العزيز فلاتة</t>
  </si>
  <si>
    <t>فارس الرويثي</t>
  </si>
  <si>
    <t xml:space="preserve"> معاملة جدول الكميات المعدل رقم (1)</t>
  </si>
  <si>
    <t>NA</t>
  </si>
  <si>
    <t>مشروع تنفيذ خط المياه الرئيسي من  الخزانات الاستراتيجية الي المسجد النبوي</t>
  </si>
  <si>
    <t>شركة مطلق القويرى للمقاولات</t>
  </si>
  <si>
    <t xml:space="preserve">ساحلية </t>
  </si>
  <si>
    <t>مؤسسة اعمار الجنوب للمقاولات</t>
  </si>
  <si>
    <t>خطوط مياه متفرقة بالمدينة المنورة ( الجزء الاول )901240137</t>
  </si>
  <si>
    <t xml:space="preserve">شركة سماء الرس للمقاولات </t>
  </si>
  <si>
    <t>توسعة تنفيذ خط المياه الرئيسي لتغذية توسعة المطار901240386</t>
  </si>
  <si>
    <t>شركه دقه الابعاد للمقاولات</t>
  </si>
  <si>
    <t>مشروع إستكمال تنفيذ الخطوط الرئيسية والشبكات الفرعية لمخططات شوران ( المرحلة الثانية )901240327</t>
  </si>
  <si>
    <t>تنفيذ خطوط وشبكات توزيع المياه لمحافظة العيص ( المرحلة الأولى ) 901250059</t>
  </si>
  <si>
    <t xml:space="preserve">استكمال إنشاء اشياب مع ملحقاتها ومحطة تنقية للمياه في مناطق محافظة الحناكية 901250110 
</t>
  </si>
  <si>
    <t>مشروع انشاء شبكات مياه بقريتي المعتدل وقاع الحاج901250201</t>
  </si>
  <si>
    <t>مؤسسة اشغال النهار للمقاولات</t>
  </si>
  <si>
    <t>شركة العاذرية المحدودة للتجارة شركة شخص واحد</t>
  </si>
  <si>
    <t>مشروع إنشاء خط مياه رئيسي من المسيجيد الى هبت مع محطة ضخ في المسيجيد ومحطة أخرى في بئر الروحاء901250191</t>
  </si>
  <si>
    <t>توريد وتركيب وحدات معالجة الحمأة ميكانيكيا بالمدينة المنورة 901240102</t>
  </si>
  <si>
    <t>مشروع استكمال شبكات الصرف الصحى لحى البرماوية 901240391</t>
  </si>
  <si>
    <t>شركة الرخيص</t>
  </si>
  <si>
    <t>شركة المشروعات المتقدمة</t>
  </si>
  <si>
    <t xml:space="preserve">شركة سماء التشيد </t>
  </si>
  <si>
    <t>تنفيذ مشاريع إيصال خدمات الصرف الصحي لمخططات الإسكان بالمدينة المنورة ( 4 مواقع )</t>
  </si>
  <si>
    <t>شركة آشي وبشناق للمقاولات المحدودة</t>
  </si>
  <si>
    <t>نسبة المدة المنقضية %</t>
  </si>
  <si>
    <t>Project Operational Number</t>
  </si>
  <si>
    <t>SN</t>
  </si>
  <si>
    <t>03/23/2/01/0037/1</t>
  </si>
  <si>
    <t>03/23/2/01/0041/1</t>
  </si>
  <si>
    <t>03/23/2/02/0032/1</t>
  </si>
  <si>
    <t>03/23/2/01/0030/1</t>
  </si>
  <si>
    <t>03/23/2/01/0042/1</t>
  </si>
  <si>
    <t>3/25/2/1/O138/1</t>
  </si>
  <si>
    <t>03/23/2/01/0038/1</t>
  </si>
  <si>
    <t>03/23/2/01/0036/1</t>
  </si>
  <si>
    <t>03/23/2/01/0028/1</t>
  </si>
  <si>
    <t>3/25/2/1/P825/1</t>
  </si>
  <si>
    <t>3/25/2/1/AP243/1</t>
  </si>
  <si>
    <t>03/23/2/01/0045/1</t>
  </si>
  <si>
    <t>03/23/2/02/0011/1</t>
  </si>
  <si>
    <t>03/23/2/02/0007/1</t>
  </si>
  <si>
    <t>3/25/2/2/P862/1</t>
  </si>
  <si>
    <t>03/23/2/01/0020/1</t>
  </si>
  <si>
    <t>03/23/2/13/0033/1</t>
  </si>
  <si>
    <t>03/23/2/02/0010/1</t>
  </si>
  <si>
    <t>3/25/2/2/P871/1</t>
  </si>
  <si>
    <t>3/25/2/1/P918/1</t>
  </si>
  <si>
    <t>3/25/2/2/P861/1</t>
  </si>
  <si>
    <t>3/25/2/1/AP264/1</t>
  </si>
  <si>
    <t>3/22/2/1/P898-2/1</t>
  </si>
  <si>
    <t>3/25/2/2/P852/1</t>
  </si>
  <si>
    <t>03/23/2/01/0044/1</t>
  </si>
  <si>
    <t>03/23/2/02/0040/1</t>
  </si>
  <si>
    <t>03/23/2/02/0034/1</t>
  </si>
  <si>
    <t>03/23/2/02/0031/1</t>
  </si>
  <si>
    <t>03/23/2/02/0035/1</t>
  </si>
  <si>
    <t>03/23/2/01/0026/1</t>
  </si>
  <si>
    <t>03/23/2/01/0023/1</t>
  </si>
  <si>
    <t>03/23/2/11/0019/1</t>
  </si>
  <si>
    <t>03/23/2/01/0016/1</t>
  </si>
  <si>
    <t>03/23/2/02/0005/1</t>
  </si>
  <si>
    <t>03/23/2/02/0004/1</t>
  </si>
  <si>
    <t>03/23/2/01/0003/2</t>
  </si>
  <si>
    <t>3/25/2/1/P824/1</t>
  </si>
  <si>
    <t>3/25/2/2/AP251/1</t>
  </si>
  <si>
    <t>البداية التعاقدية المشروع</t>
  </si>
  <si>
    <t xml:space="preserve">المخطط % - الإسبوع السابق </t>
  </si>
  <si>
    <t>المنفذ % - الإسبوع السابق</t>
  </si>
  <si>
    <t>الفرق بين المخطط و الفعلي</t>
  </si>
  <si>
    <t>محمد بداي</t>
  </si>
  <si>
    <t>النهاية المعدلة للمشروع</t>
  </si>
  <si>
    <t>تنفيذ خط المياه الرئيسي الخاص من موقع الخزانات الاستراتيجية الى المسجد النبوي ومنطقة التطوير</t>
  </si>
  <si>
    <t>شبكات مياه في الحناكية و الصميد</t>
  </si>
  <si>
    <t>شركة خالد سليم الأحمدي للمقاولات شركة شخص واحد</t>
  </si>
  <si>
    <t>الرقم</t>
  </si>
  <si>
    <t>3/25/2/1/AP269/1</t>
  </si>
  <si>
    <t>تنقيذ شبكات وخطوط مياه قرى المدينة المنورة ( الجزء الثالث )</t>
  </si>
  <si>
    <t>3/25/2/1/P917-3/1</t>
  </si>
  <si>
    <t>شركة آشـي وبشـناق للمقاولات المحدودة</t>
  </si>
  <si>
    <t>تنفيذ شبكات وخطوط المياه بالصويدرة بمنطقة المدينة المنورة 901230317</t>
  </si>
  <si>
    <t>مشروع إحلال خط الاسبستوس ببدر 901240144</t>
  </si>
  <si>
    <t>مشروع تنفيذ شبكات الصرف الصحي باحياء الجرف بالمدينة المنورة 901230177</t>
  </si>
  <si>
    <t>إستكمال تنفيذ شبكات الصرف الصحي بالأماكن المتضررة بالمدينة المنورة 901240141</t>
  </si>
  <si>
    <t>تنفيذ خطوط وشبكات الصرف الصحي بمحافظة المهد ( الجزء الاول )901250150</t>
  </si>
  <si>
    <t xml:space="preserve">تنفيذ خطوط وشبكات الصرف الصحي بمحافظة بدر ( الجزء الأول ) 901250200 </t>
  </si>
  <si>
    <t>تنفيذ مشاريع ايصال خدمات الصرف الصحي لمخططات الاسكان بالمدينة المنورة 4 مواقع</t>
  </si>
  <si>
    <t>نسبة الإنجاز المتبقية %</t>
  </si>
  <si>
    <t>نسبة المدة المتبقية %</t>
  </si>
  <si>
    <t>بداية المشروع التعاقدية</t>
  </si>
  <si>
    <t>نهاية المشروع التعاقدية</t>
  </si>
  <si>
    <t>موقف البرنامج الزمني</t>
  </si>
  <si>
    <t>معتمد</t>
  </si>
  <si>
    <t>شركة  اضواء الخليل  للمقاولات</t>
  </si>
  <si>
    <t>انشاء خزانين للمياه بجنوب المدينة المنورة و ملحقاتهما بسعة 250 الف م3 لكل خزان</t>
  </si>
  <si>
    <t>3/25/2/1/O1003/1</t>
  </si>
  <si>
    <t>التباين</t>
  </si>
  <si>
    <t xml:space="preserve">عبدالعزيز فلاته </t>
  </si>
  <si>
    <t>عبد الله أورقنجي</t>
  </si>
  <si>
    <t xml:space="preserve">عبدالله المغذوي </t>
  </si>
  <si>
    <t>ياسين عويضه</t>
  </si>
  <si>
    <t>عبدالعزيز الردادي</t>
  </si>
  <si>
    <t xml:space="preserve">فارس الرويثي </t>
  </si>
  <si>
    <t>الفرق بين النهايات المتوقعة خلال الإسبوع</t>
  </si>
  <si>
    <t>تنفيذ خطوط وشبكات توزيع المياه بمحافظة وادي الفرع</t>
  </si>
  <si>
    <t>استكمال تنفيذ الخطوط الرئيسية وشبكات الصرف الصحي بأحياء شوران</t>
  </si>
  <si>
    <t>شركة ركن المواثيق للمقاولات شركة شخص واحد</t>
  </si>
  <si>
    <t>شركة عوده مبارك البلادي و أبنائه للمقاولات المحدودة</t>
  </si>
  <si>
    <t>متوسط نسبة الإنجازالمطلوبة شهريا %</t>
  </si>
  <si>
    <t>ترحيل خطوط وتنفيذ شبكات بمناطق متفرقة (المرحلة الاولى)</t>
  </si>
  <si>
    <t>مياة</t>
  </si>
  <si>
    <t>EV</t>
  </si>
  <si>
    <t>PV</t>
  </si>
  <si>
    <t>3/25/2/1/P832/1</t>
  </si>
  <si>
    <t>Project no.</t>
  </si>
  <si>
    <t>NA-00033</t>
  </si>
  <si>
    <t>O192</t>
  </si>
  <si>
    <t>P878</t>
  </si>
  <si>
    <t>P852</t>
  </si>
  <si>
    <t>P894-1</t>
  </si>
  <si>
    <t>NA-00112</t>
  </si>
  <si>
    <t>O138</t>
  </si>
  <si>
    <t>P802</t>
  </si>
  <si>
    <t>P825</t>
  </si>
  <si>
    <t>AP243</t>
  </si>
  <si>
    <t>AP247</t>
  </si>
  <si>
    <t>P862</t>
  </si>
  <si>
    <t>P918</t>
  </si>
  <si>
    <t>NA-00023</t>
  </si>
  <si>
    <t>NA-00031</t>
  </si>
  <si>
    <t>O1006</t>
  </si>
  <si>
    <t>P871</t>
  </si>
  <si>
    <t>P861</t>
  </si>
  <si>
    <t>AP264</t>
  </si>
  <si>
    <t>P898-2</t>
  </si>
  <si>
    <t>NA-00034</t>
  </si>
  <si>
    <t>P908</t>
  </si>
  <si>
    <t>P898-1</t>
  </si>
  <si>
    <t>P824</t>
  </si>
  <si>
    <t>AP251</t>
  </si>
  <si>
    <t>AP269</t>
  </si>
  <si>
    <t>P917-3</t>
  </si>
  <si>
    <t>O1003</t>
  </si>
  <si>
    <t>P832</t>
  </si>
  <si>
    <t>مؤسسة عبدالله ناصر الموسي للمقاولات</t>
  </si>
  <si>
    <t>3/25/2/1/AP248/1</t>
  </si>
  <si>
    <t>AP248</t>
  </si>
  <si>
    <t>نهاية المشروع المعدلة EPPM</t>
  </si>
  <si>
    <t>3/25/2/2/O855/1</t>
  </si>
  <si>
    <t>O855</t>
  </si>
  <si>
    <t xml:space="preserve">تنفيذ خطوط وشبكات الصرف الصحي مخطط جبل عير901250291 </t>
  </si>
  <si>
    <t>Water 1</t>
  </si>
  <si>
    <t>Water 2</t>
  </si>
  <si>
    <t>Coastal</t>
  </si>
  <si>
    <t>WW</t>
  </si>
  <si>
    <t>المخطط % التراكمي</t>
  </si>
  <si>
    <t>المنفذ % التراكمي</t>
  </si>
  <si>
    <t>تصنيف المشروع</t>
  </si>
  <si>
    <t>شبكات مياه في الحناكية و الصميد 901250206</t>
  </si>
  <si>
    <t xml:space="preserve">اسم المشروع </t>
  </si>
  <si>
    <t>الموقع</t>
  </si>
  <si>
    <t xml:space="preserve">حالة المشروع </t>
  </si>
  <si>
    <t>هل تم اعتماد خطة تصحيحية</t>
  </si>
  <si>
    <t xml:space="preserve">المخطط
 الإسبوع 1 </t>
  </si>
  <si>
    <t xml:space="preserve">الفعلي
 الإسبوع 1 </t>
  </si>
  <si>
    <t xml:space="preserve">المخطط
 الإسبوع 2 </t>
  </si>
  <si>
    <t xml:space="preserve">الفعلي
 الإسبوع 2 </t>
  </si>
  <si>
    <t xml:space="preserve">المخطط
 الإسبوع 3 </t>
  </si>
  <si>
    <t xml:space="preserve">الفعلي
 الإسبوع 3 </t>
  </si>
  <si>
    <t xml:space="preserve">المدينة المنورة </t>
  </si>
  <si>
    <t xml:space="preserve">متعثر </t>
  </si>
  <si>
    <t>نعم</t>
  </si>
  <si>
    <t>لا</t>
  </si>
  <si>
    <t>P.O</t>
  </si>
  <si>
    <t>بناء علي الخطة التصحيحية</t>
  </si>
  <si>
    <t>بناء علي الإجراء الإداري التصحيحي</t>
  </si>
  <si>
    <t>متوسط معدل الإنجاز
الإسبوعي %</t>
  </si>
  <si>
    <t>التاريخ المتوقع لدخول التعثر طبقا للتباين بين نسب الإنجاز</t>
  </si>
  <si>
    <t>% الوقت المنقضي</t>
  </si>
  <si>
    <t>التاريخ المتوقع لدخول التعثر طبقا للوقت المنقضي</t>
  </si>
  <si>
    <t>الفرق بين المخطط والفعلي</t>
  </si>
  <si>
    <t>نسبة المنفذ خلال الإسبوع السابق</t>
  </si>
  <si>
    <t xml:space="preserve">الاجراء الإداري التصحيحي للمشروع  </t>
  </si>
  <si>
    <t>التاريخ المتوقع لخروج المشروع بعد الإجراء الإداري التصحيحي</t>
  </si>
  <si>
    <t>التاريخ المتوقع للتأخر- دراسة صفرية</t>
  </si>
  <si>
    <t>التاريخ المتوقع للتعثر - دراسة صفرية</t>
  </si>
  <si>
    <t>التاريخ المتوقع للتأخر - متوسط نسب انجاز</t>
  </si>
  <si>
    <t>التاريخ المتوقع للتعثر- متوسط نسب انجاز</t>
  </si>
  <si>
    <t>التاريخ</t>
  </si>
  <si>
    <t>عدد المشاريع المتعثرة</t>
  </si>
  <si>
    <t>عدد المشاريع المتأخرة</t>
  </si>
  <si>
    <t>معاملة استئناف الأعمال بتمديد زمني 220 يوم</t>
  </si>
  <si>
    <t>جدول الكميات المعدل رقم (1)</t>
  </si>
  <si>
    <t>قيمة المشروع بالضريبة</t>
  </si>
  <si>
    <t>قيمة المشروع بدون ضريبة</t>
  </si>
  <si>
    <t>استكمال تنفيذ الخطوط الرئيسية وشبكات الصرف الصحي بأحياء شوران901250275</t>
  </si>
  <si>
    <t>Variance</t>
  </si>
  <si>
    <r>
      <t>عبدالله</t>
    </r>
    <r>
      <rPr>
        <sz val="10"/>
        <color rgb="FF000000"/>
        <rFont val="Calibri"/>
        <family val="2"/>
        <scheme val="minor"/>
      </rPr>
      <t xml:space="preserve"> </t>
    </r>
    <r>
      <rPr>
        <sz val="10"/>
        <color rgb="FF000000"/>
        <rFont val="Sakkal Majalla"/>
      </rPr>
      <t>اورقنجي</t>
    </r>
  </si>
  <si>
    <r>
      <t>عبدالله</t>
    </r>
    <r>
      <rPr>
        <sz val="10"/>
        <rFont val="Calibri"/>
        <family val="2"/>
        <scheme val="minor"/>
      </rPr>
      <t xml:space="preserve"> </t>
    </r>
    <r>
      <rPr>
        <sz val="10"/>
        <rFont val="Sakkal Majalla"/>
      </rPr>
      <t>أورقنجي</t>
    </r>
  </si>
  <si>
    <t>إيقاف جزئي</t>
  </si>
  <si>
    <t>المنطقة</t>
  </si>
  <si>
    <t>المخطط %</t>
  </si>
  <si>
    <t>المنفذ %</t>
  </si>
  <si>
    <t>قيمة العقد بعد الضريبة</t>
  </si>
  <si>
    <t>تاريخ الإستلام الإيتدائي المتوقع</t>
  </si>
  <si>
    <t>يناير 
26</t>
  </si>
  <si>
    <t>فبراير
26</t>
  </si>
  <si>
    <t>مارس
26</t>
  </si>
  <si>
    <t>ابريل 
262</t>
  </si>
  <si>
    <t>مايو
26</t>
  </si>
  <si>
    <t>يونيو
26</t>
  </si>
  <si>
    <t>يوليو 
26</t>
  </si>
  <si>
    <t>اغسطس
26</t>
  </si>
  <si>
    <t>سبتمبر
26</t>
  </si>
  <si>
    <t>اكتوبر 
26</t>
  </si>
  <si>
    <t>نوفمير
26</t>
  </si>
  <si>
    <t>ديسمبر
26</t>
  </si>
  <si>
    <t>المدينة المنورة</t>
  </si>
  <si>
    <t>استلام ابتدائي</t>
  </si>
  <si>
    <t>عبدالله اورقنجي</t>
  </si>
  <si>
    <t>خطة معالجة التعثر</t>
  </si>
  <si>
    <t>عبدالله أورقنجي</t>
  </si>
  <si>
    <t>التاريخ المتوقع للتأخر بنسبة تباين 10%</t>
  </si>
  <si>
    <t>D</t>
  </si>
  <si>
    <t>انحراف اكبر من 10%</t>
  </si>
  <si>
    <t>سبب التتأخر</t>
  </si>
  <si>
    <t>امر شراء 138 يوم</t>
  </si>
  <si>
    <t>امر شراء 35 يوم</t>
  </si>
  <si>
    <t>امر شراء 112 يوم</t>
  </si>
  <si>
    <t>معاملة جدول كميات معدل رقم (2) + تمديد زمني 245 يوم</t>
  </si>
  <si>
    <t>امر شراء 6 يوم</t>
  </si>
  <si>
    <t>خطة تصحيحية + رفع معدلات الإنجاز</t>
  </si>
  <si>
    <t>خطة معالجة المشاريع المتوقع تأخرها بالقطاع الشمال الغربي للعام 2026 - صفرية معدلات الإنجاز لعام 2026</t>
  </si>
  <si>
    <t>وسيلة تفادي التأخر/المعالجة</t>
  </si>
  <si>
    <t>تسليم ابتدائي</t>
  </si>
  <si>
    <t>تنفيذ خط مياه رئيسي وخزان وشبكة توزيع رئيسية لوادي الريم وقراها</t>
  </si>
  <si>
    <t>عبارة تصريف مياه الفائض لمحطة معالجة الصرف الصحي بالمدينة المنورة</t>
  </si>
  <si>
    <t>شركة أعمال متكاملة للمقاولات</t>
  </si>
  <si>
    <t>شركة مسعود بالعيد حيدر ال حيدر وشركاه للتجاره والمقاولات العامه</t>
  </si>
  <si>
    <t>المخطط خلال الإسبوع</t>
  </si>
  <si>
    <t>المنفذ خلال الإسبوع %</t>
  </si>
  <si>
    <t>رائد الحجيلي</t>
  </si>
  <si>
    <t>مدة المشروع المتبقية بالشهور</t>
  </si>
  <si>
    <t>مدة المشروع المنقضية بالشهور</t>
  </si>
  <si>
    <t>نهاية المشروع المعدلة PMO LIVE</t>
  </si>
  <si>
    <t>عبد العزيز الردادي</t>
  </si>
  <si>
    <t>3/25/2/1/AP249/1</t>
  </si>
  <si>
    <t>3/25/2/2/P921/1</t>
  </si>
  <si>
    <t>AP249</t>
  </si>
  <si>
    <t>P921</t>
  </si>
  <si>
    <t>ديسمبر 2026</t>
  </si>
  <si>
    <t>نوفمبر 2026</t>
  </si>
  <si>
    <t>أكتوبر 2026</t>
  </si>
  <si>
    <t>سبتمبر 2026</t>
  </si>
  <si>
    <t>أغسطس 2026</t>
  </si>
  <si>
    <t>يوليو 2026</t>
  </si>
  <si>
    <t>يونيو 2026</t>
  </si>
  <si>
    <t>مايو 2026</t>
  </si>
  <si>
    <t>ابريل 2026</t>
  </si>
  <si>
    <t>مارس 2026</t>
  </si>
  <si>
    <t>فبراير 2026</t>
  </si>
  <si>
    <t>يناير 2026</t>
  </si>
  <si>
    <t>الشهر</t>
  </si>
  <si>
    <t>عدد المشاريع المتعثرة فعليا</t>
  </si>
  <si>
    <t xml:space="preserve">المخطط
 الإسبوع 4 </t>
  </si>
  <si>
    <t>الفعلي
 الإسبوع 4</t>
  </si>
  <si>
    <t>مدة المشروع الكلية بالشهور</t>
  </si>
  <si>
    <t>عدد المشاريع المتأخرة فعليا</t>
  </si>
  <si>
    <t>موقف التأثر بالأسفلت</t>
  </si>
  <si>
    <t>عدد المشاريع المتوقع تعثرها طبقا للخطة</t>
  </si>
  <si>
    <t>عدد المشاريع المتوقع تعثرها المحدث</t>
  </si>
  <si>
    <t>عدد المشاريع المتوقع تأخرها طبقا للخطة</t>
  </si>
  <si>
    <t>عدد المشاريع المتوقع تأخرها المحدث</t>
  </si>
  <si>
    <t xml:space="preserve">استكمال تنفيذ خطوط وشبكات المياه بأحياء شرق المدينة المنورة والعاقول 901240075 </t>
  </si>
  <si>
    <t>Sum of مدة المشروع المنقضية بالشهور</t>
  </si>
  <si>
    <t>Sum of مدة المشروع الكلية بالشهور</t>
  </si>
  <si>
    <t>Sum of المخطط % التراكمي</t>
  </si>
  <si>
    <t>Sum of المنفذ % التراكمي</t>
  </si>
  <si>
    <t>Sum of PV</t>
  </si>
  <si>
    <t>Sum of EV</t>
  </si>
  <si>
    <t>Sum of المنفذ % - الإسبوع السابق</t>
  </si>
  <si>
    <t xml:space="preserve">Sum of المخطط % - الإسبوع السابق </t>
  </si>
  <si>
    <t>(All)</t>
  </si>
  <si>
    <t>شركة الأداء المتوازن للمقاولات</t>
  </si>
  <si>
    <t>انشاء مصبات الصهاريج بمحطات معالجة الصرف الصحي بمنطقة تبوك</t>
  </si>
  <si>
    <t>عدد المشاريع المتوقع معالجتها</t>
  </si>
  <si>
    <t>أسباب التعثر</t>
  </si>
  <si>
    <t>موقف الإجراءات المتخذه</t>
  </si>
  <si>
    <t>03/23/2/02/0032/2</t>
  </si>
  <si>
    <t>03/23/2/02/0010/2</t>
  </si>
  <si>
    <t>03/23/2/01/0016/2</t>
  </si>
  <si>
    <t>03/23/2/01/0030/2</t>
  </si>
  <si>
    <t>03/23/2/13/0033/2</t>
  </si>
  <si>
    <t>3/24/2/1/P829/2</t>
  </si>
  <si>
    <t>الإجراء المتخذ</t>
  </si>
  <si>
    <r>
      <t xml:space="preserve">1.تم اصدار خطاب حث للمقاول لتدني نسب الانجاز بتاريخ </t>
    </r>
    <r>
      <rPr>
        <b/>
        <sz val="11"/>
        <color theme="1"/>
        <rFont val="Calibri"/>
        <family val="2"/>
        <scheme val="minor"/>
      </rPr>
      <t>12 اغسطس 2025</t>
    </r>
    <r>
      <rPr>
        <sz val="11"/>
        <color theme="1"/>
        <rFont val="Calibri"/>
        <family val="2"/>
        <scheme val="minor"/>
      </rPr>
      <t>.
2.تم اصدار خطاب طلب تحسين نسب الانجاز الخاصة بالمشروع بتاريخ</t>
    </r>
    <r>
      <rPr>
        <b/>
        <sz val="11"/>
        <color theme="1"/>
        <rFont val="Calibri"/>
        <family val="2"/>
        <scheme val="minor"/>
      </rPr>
      <t xml:space="preserve"> 09 سبتمبر 2025</t>
    </r>
    <r>
      <rPr>
        <sz val="11"/>
        <color theme="1"/>
        <rFont val="Calibri"/>
        <family val="2"/>
        <scheme val="minor"/>
      </rPr>
      <t xml:space="preserve">.
3.تم إرسال بريد إلكتروني من فريق شركة هيل للإستشاري فيوتشر لتوجيه المقاول بإرسال خطة تصحيحية لتجاوز نسبة التباين عن 5% بتاريخ 02 أغسطس 2025 و تم التقديم و الإعتماد في </t>
    </r>
    <r>
      <rPr>
        <b/>
        <sz val="11"/>
        <color theme="1"/>
        <rFont val="Calibri"/>
        <family val="2"/>
        <scheme val="minor"/>
      </rPr>
      <t>19 أكتوبر 2025</t>
    </r>
    <r>
      <rPr>
        <sz val="11"/>
        <color theme="1"/>
        <rFont val="Calibri"/>
        <family val="2"/>
        <scheme val="minor"/>
      </rPr>
      <t xml:space="preserve"> ولم يلتزم المقاول بالخطة
4.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5.تم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28 أغسطس 2025</t>
    </r>
    <r>
      <rPr>
        <sz val="11"/>
        <color theme="1"/>
        <rFont val="Calibri"/>
        <family val="2"/>
        <scheme val="minor"/>
      </rPr>
      <t xml:space="preserve">
6.تم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31 أغسطس 2025</t>
    </r>
    <r>
      <rPr>
        <sz val="11"/>
        <color theme="1"/>
        <rFont val="Calibri"/>
        <family val="2"/>
        <scheme val="minor"/>
      </rPr>
      <t xml:space="preserve">
7.تم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04 سبتمبر 2025</t>
    </r>
    <r>
      <rPr>
        <sz val="11"/>
        <color theme="1"/>
        <rFont val="Calibri"/>
        <family val="2"/>
        <scheme val="minor"/>
      </rPr>
      <t xml:space="preserve">
8.تم إرسال بريد إليكتروني من قسم الجدولة و التحكم بالقطاع إلي م. فهد الشهري و مديري البرامج بهدف متابعة نسب الإنجاز المستهدفة المرسلة بتاريخ </t>
    </r>
    <r>
      <rPr>
        <b/>
        <sz val="11"/>
        <color theme="1"/>
        <rFont val="Calibri"/>
        <family val="2"/>
        <scheme val="minor"/>
      </rPr>
      <t>07 و 08 سبتمبر 2025</t>
    </r>
    <r>
      <rPr>
        <sz val="11"/>
        <color theme="1"/>
        <rFont val="Calibri"/>
        <family val="2"/>
        <scheme val="minor"/>
      </rPr>
      <t xml:space="preserve">
9.تم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15 سبتمبر 2025
</t>
    </r>
    <r>
      <rPr>
        <sz val="11"/>
        <color theme="1"/>
        <rFont val="Calibri"/>
        <family val="2"/>
        <scheme val="minor"/>
      </rPr>
      <t xml:space="preserve">10. تم اصدار خطاب حث للمقاول نظرا لتدني معدلات الاداء بتاريخ </t>
    </r>
    <r>
      <rPr>
        <b/>
        <sz val="11"/>
        <color theme="1"/>
        <rFont val="Calibri"/>
        <family val="2"/>
        <scheme val="minor"/>
      </rPr>
      <t xml:space="preserve">05 اكتوبر 2025
</t>
    </r>
    <r>
      <rPr>
        <sz val="11"/>
        <color theme="1"/>
        <rFont val="Calibri"/>
        <family val="2"/>
        <scheme val="minor"/>
      </rPr>
      <t xml:space="preserve">11.تم عقد إجتماع مع مديري البرامج و المشاريع لمناقشة النسب المطلوبة لتجنب تعثر المشروع بتاريخ </t>
    </r>
    <r>
      <rPr>
        <b/>
        <sz val="11"/>
        <color theme="1"/>
        <rFont val="Calibri"/>
        <family val="2"/>
        <scheme val="minor"/>
      </rPr>
      <t>10 نوفمبر 2025</t>
    </r>
    <r>
      <rPr>
        <sz val="11"/>
        <color theme="1"/>
        <rFont val="Calibri"/>
        <family val="2"/>
        <scheme val="minor"/>
      </rPr>
      <t xml:space="preserve">.
12.تم عقد إجتماع مع مديري البرامج و المشاريع لمناقشة تأخر المشروع بتاريخ </t>
    </r>
    <r>
      <rPr>
        <b/>
        <sz val="11"/>
        <color theme="1"/>
        <rFont val="Calibri"/>
        <family val="2"/>
        <scheme val="minor"/>
      </rPr>
      <t>18 نوفمبر 2025</t>
    </r>
    <r>
      <rPr>
        <sz val="11"/>
        <color theme="1"/>
        <rFont val="Calibri"/>
        <family val="2"/>
        <scheme val="minor"/>
      </rPr>
      <t xml:space="preserve">.
13.تم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18 نوفمبر 2025</t>
    </r>
    <r>
      <rPr>
        <sz val="11"/>
        <color theme="1"/>
        <rFont val="Calibri"/>
        <family val="2"/>
        <scheme val="minor"/>
      </rPr>
      <t xml:space="preserve">
14.تم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15.تم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16.تم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28 أكتوبر 2025</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18.تم إرسال بريد إلكتروني من فريق شركة هيل لقسم الجدولة و التحكم بالقطاع يوضح عدم إلتزام المقاول بالخطط التصحيحية للمشروع بتاريخ </t>
    </r>
    <r>
      <rPr>
        <b/>
        <sz val="11"/>
        <color theme="1"/>
        <rFont val="Calibri"/>
        <family val="2"/>
        <scheme val="minor"/>
      </rPr>
      <t xml:space="preserve">15 سبتمبر 2025
</t>
    </r>
    <r>
      <rPr>
        <sz val="11"/>
        <color theme="1"/>
        <rFont val="Calibri"/>
        <family val="2"/>
        <scheme val="minor"/>
      </rPr>
      <t xml:space="preserve">19.تم اصدار خطاب انذار اول للمقاول طبقا لاجراءات الPMM بتاريخ </t>
    </r>
    <r>
      <rPr>
        <b/>
        <sz val="11"/>
        <color theme="1"/>
        <rFont val="Calibri"/>
        <family val="2"/>
        <scheme val="minor"/>
      </rPr>
      <t>17 نوفمبر 2026</t>
    </r>
    <r>
      <rPr>
        <sz val="11"/>
        <color theme="1"/>
        <rFont val="Calibri"/>
        <family val="2"/>
        <scheme val="minor"/>
      </rPr>
      <t xml:space="preserve">
20.تم إرسال بريد إلكتروني من فريق شركة هيل لقسم الجدولة و التحكم بالقطاع يوضح موقف نسب الإنجاز المطلوب تحقيقها شهريا للمشروع بتاريخ </t>
    </r>
    <r>
      <rPr>
        <b/>
        <sz val="11"/>
        <color theme="1"/>
        <rFont val="Calibri"/>
        <family val="2"/>
        <scheme val="minor"/>
      </rPr>
      <t xml:space="preserve">18 نوفمبر 2025
</t>
    </r>
    <r>
      <rPr>
        <sz val="11"/>
        <color theme="1"/>
        <rFont val="Calibri"/>
        <family val="2"/>
        <scheme val="minor"/>
      </rPr>
      <t xml:space="preserve">21. تم عقد إجتماع مع السادة مديري البرامج و المشاريع بخصوص المشاريع المتأخرة و المتوقع تعثرها بتاريخ </t>
    </r>
    <r>
      <rPr>
        <b/>
        <sz val="11"/>
        <color theme="1"/>
        <rFont val="Calibri"/>
        <family val="2"/>
        <scheme val="minor"/>
      </rPr>
      <t xml:space="preserve">18 نوفمبر 2025
</t>
    </r>
    <r>
      <rPr>
        <sz val="11"/>
        <color theme="1"/>
        <rFont val="Calibri"/>
        <family val="2"/>
        <scheme val="minor"/>
      </rPr>
      <t xml:space="preserve">22. تم ارسال خطاب من شركة المياه الوطنية إلي المقاول للدعوة بعقد اجتماع عاجل بتاريخ </t>
    </r>
    <r>
      <rPr>
        <b/>
        <sz val="11"/>
        <color theme="1"/>
        <rFont val="Calibri"/>
        <family val="2"/>
        <scheme val="minor"/>
      </rPr>
      <t>18 نوفمبر 2025</t>
    </r>
    <r>
      <rPr>
        <sz val="11"/>
        <color theme="1"/>
        <rFont val="Calibri"/>
        <family val="2"/>
        <scheme val="minor"/>
      </rPr>
      <t xml:space="preserve">
23.تم إرسال بريد إلكتروني من فريق شركة هيل لقسم الجدولة و التحكم بالقطاع يوضح موقف نسب الإنجاز الأدني المطلوب خلال شهر ديسمبر 2025 لتتحول حاله المشروع من المتأخرة إلي منتظمة بتاريخ </t>
    </r>
    <r>
      <rPr>
        <b/>
        <sz val="11"/>
        <color theme="1"/>
        <rFont val="Calibri"/>
        <family val="2"/>
        <scheme val="minor"/>
      </rPr>
      <t xml:space="preserve">02 ديسمبر 2025
</t>
    </r>
    <r>
      <rPr>
        <sz val="11"/>
        <color theme="1"/>
        <rFont val="Calibri"/>
        <family val="2"/>
        <scheme val="minor"/>
      </rPr>
      <t>23. تم اصدار خطاب من شركة المياه الوطنية للمقاول بدعوة حضور اجتماع عاجل نظرا لعدم استجابة المقاول للإجراءات التصحيحية المطلوبة بتاريخ</t>
    </r>
    <r>
      <rPr>
        <b/>
        <sz val="11"/>
        <color theme="1"/>
        <rFont val="Calibri"/>
        <family val="2"/>
        <scheme val="minor"/>
      </rPr>
      <t xml:space="preserve"> 09 ديسمبر 2025</t>
    </r>
    <r>
      <rPr>
        <sz val="11"/>
        <color theme="1"/>
        <rFont val="Calibri"/>
        <family val="2"/>
        <scheme val="minor"/>
      </rPr>
      <t xml:space="preserve">
24.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14 ديسمبر 2025</t>
    </r>
    <r>
      <rPr>
        <sz val="11"/>
        <color theme="1"/>
        <rFont val="Calibri"/>
        <family val="2"/>
        <scheme val="minor"/>
      </rPr>
      <t xml:space="preserve">
25.تم إرسال بريد إلكتروني من فريق شركة هيل لقسم الجدولة و التحكم بالقطاع يوضح التاريخ المتوقع للتعثر و نسب الإنجاز المطلوبة لتجنب التعثر بتاريخ </t>
    </r>
    <r>
      <rPr>
        <b/>
        <sz val="11"/>
        <color theme="1"/>
        <rFont val="Calibri"/>
        <family val="2"/>
        <scheme val="minor"/>
      </rPr>
      <t xml:space="preserve">06 يناير 2026
</t>
    </r>
    <r>
      <rPr>
        <sz val="11"/>
        <color theme="1"/>
        <rFont val="Calibri"/>
        <family val="2"/>
        <scheme val="minor"/>
      </rPr>
      <t xml:space="preserve">26.تم عقد اجتماع مع السادة مديري المشاريع بخصوص موقف المشروع بتاريخ </t>
    </r>
    <r>
      <rPr>
        <b/>
        <sz val="11"/>
        <color theme="1"/>
        <rFont val="Calibri"/>
        <family val="2"/>
        <scheme val="minor"/>
      </rPr>
      <t>19 يناير 2026</t>
    </r>
    <r>
      <rPr>
        <sz val="11"/>
        <color theme="1"/>
        <rFont val="Calibri"/>
        <family val="2"/>
        <scheme val="minor"/>
      </rPr>
      <t xml:space="preserve">
26.تم إرسال بريد إليكتروني من من فريق شركة هيل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22 يناير 2026
</t>
    </r>
    <r>
      <rPr>
        <sz val="11"/>
        <color theme="1"/>
        <rFont val="Calibri"/>
        <family val="2"/>
        <scheme val="minor"/>
      </rPr>
      <t xml:space="preserve">27.تم عقد اجتماع مع السادة مديري البرامج بخصوص موقف المشروع بتاريخ </t>
    </r>
    <r>
      <rPr>
        <b/>
        <sz val="11"/>
        <color theme="1"/>
        <rFont val="Calibri"/>
        <family val="2"/>
        <scheme val="minor"/>
      </rPr>
      <t>22 يناير 2026</t>
    </r>
    <r>
      <rPr>
        <sz val="11"/>
        <color theme="1"/>
        <rFont val="Calibri"/>
        <family val="2"/>
        <scheme val="minor"/>
      </rPr>
      <t xml:space="preserve">
27.تم إرسال خطاب إنذار نهائي للمقاول بتاريخ </t>
    </r>
    <r>
      <rPr>
        <b/>
        <sz val="11"/>
        <color theme="1"/>
        <rFont val="Calibri"/>
        <family val="2"/>
        <scheme val="minor"/>
      </rPr>
      <t>25 يناير 2026</t>
    </r>
    <r>
      <rPr>
        <sz val="11"/>
        <color theme="1"/>
        <rFont val="Calibri"/>
        <family val="2"/>
        <scheme val="minor"/>
      </rPr>
      <t xml:space="preserve"> نظرا لتجاوز نسبة التباين للمشروع طبقا للبرنامج الزمني المحدث عن 25% طبقا للـ PMM
29.تم عقد اجتماع مع السادة مديري البرامج بخصوص موقف المشروع بتاريخ</t>
    </r>
    <r>
      <rPr>
        <b/>
        <sz val="11"/>
        <color theme="1"/>
        <rFont val="Calibri"/>
        <family val="2"/>
        <scheme val="minor"/>
      </rPr>
      <t xml:space="preserve"> 16 فبراير 2026
</t>
    </r>
    <r>
      <rPr>
        <sz val="11"/>
        <color theme="1"/>
        <rFont val="Calibri"/>
        <family val="2"/>
        <scheme val="minor"/>
      </rPr>
      <t>30.تم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02 مارس 2026</t>
    </r>
  </si>
  <si>
    <r>
      <t xml:space="preserve">1.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2.تم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 xml:space="preserve">28 أغسطس 2025
</t>
    </r>
    <r>
      <rPr>
        <sz val="11"/>
        <color theme="1"/>
        <rFont val="Calibri"/>
        <family val="2"/>
        <scheme val="minor"/>
      </rPr>
      <t xml:space="preserve">3.تم إرسال خطاب حث للمقاول بتاريخ </t>
    </r>
    <r>
      <rPr>
        <b/>
        <sz val="11"/>
        <color theme="1"/>
        <rFont val="Calibri"/>
        <family val="2"/>
        <scheme val="minor"/>
      </rPr>
      <t>02 سبتمبر 2025</t>
    </r>
    <r>
      <rPr>
        <sz val="11"/>
        <color theme="1"/>
        <rFont val="Calibri"/>
        <family val="2"/>
        <scheme val="minor"/>
      </rPr>
      <t xml:space="preserve"> بهدف حث المقاول علي تحسين نسب الإنجاز
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 xml:space="preserve">28 أكتوبر 2025
</t>
    </r>
    <r>
      <rPr>
        <sz val="11"/>
        <color theme="1"/>
        <rFont val="Calibri"/>
        <family val="2"/>
        <scheme val="minor"/>
      </rPr>
      <t>7.تم عقد إجتماع مع مديري البرامج و المشاريع لمناقشة النسب المطلوبة لتجنب تعثر المشروع بتاريخ</t>
    </r>
    <r>
      <rPr>
        <b/>
        <sz val="11"/>
        <color theme="1"/>
        <rFont val="Calibri"/>
        <family val="2"/>
        <scheme val="minor"/>
      </rPr>
      <t xml:space="preserve"> 10 نوفمبر 2025</t>
    </r>
    <r>
      <rPr>
        <sz val="11"/>
        <color theme="1"/>
        <rFont val="Calibri"/>
        <family val="2"/>
        <scheme val="minor"/>
      </rPr>
      <t xml:space="preserve">.
8.تم إرسال بريد إلكتروني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9.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 xml:space="preserve">14 ديسمبر 2026
</t>
    </r>
    <r>
      <rPr>
        <sz val="11"/>
        <color theme="1"/>
        <rFont val="Calibri"/>
        <family val="2"/>
        <scheme val="minor"/>
      </rPr>
      <t xml:space="preserve">10.تم إرسال بريد إلكتروني من فريق شركة هيل لفريق الإستشاري فيوتشر  لحث المقاول علي البدء بأعمال إعادة التأهيل بتاريخ </t>
    </r>
    <r>
      <rPr>
        <b/>
        <sz val="11"/>
        <color theme="1"/>
        <rFont val="Calibri"/>
        <family val="2"/>
        <scheme val="minor"/>
      </rPr>
      <t xml:space="preserve">18 ديسمبر 2026
</t>
    </r>
    <r>
      <rPr>
        <sz val="11"/>
        <color theme="1"/>
        <rFont val="Calibri"/>
        <family val="2"/>
        <scheme val="minor"/>
      </rPr>
      <t xml:space="preserve">11. تم عقد اجتماع مع الإستشاري و المقاول لمناقشة تدني نسب الانجاز بتاريخ </t>
    </r>
    <r>
      <rPr>
        <b/>
        <sz val="11"/>
        <color theme="1"/>
        <rFont val="Calibri"/>
        <family val="2"/>
        <scheme val="minor"/>
      </rPr>
      <t>28 ديسمبر 2025</t>
    </r>
    <r>
      <rPr>
        <sz val="11"/>
        <color theme="1"/>
        <rFont val="Calibri"/>
        <family val="2"/>
        <scheme val="minor"/>
      </rPr>
      <t xml:space="preserve">
12.تم إرسال بريد إلكتروني من فريق شركة هيل لقسم الجدولة و التحكم بالقطاع يوضح التاريخ المتوقع لتعثر المشروع في يناير 2026 و نسب الإنجاز المطلوب تحقيقها لتجنب التعثر بنهاية يناير 2026 بتاريخ </t>
    </r>
    <r>
      <rPr>
        <b/>
        <sz val="11"/>
        <color theme="1"/>
        <rFont val="Calibri"/>
        <family val="2"/>
        <scheme val="minor"/>
      </rPr>
      <t xml:space="preserve">06 يناير 2026
</t>
    </r>
    <r>
      <rPr>
        <sz val="11"/>
        <color theme="1"/>
        <rFont val="Calibri"/>
        <family val="2"/>
        <scheme val="minor"/>
      </rPr>
      <t xml:space="preserve">13.تم عقد اجتماع مع السادة مديري المشاريع بخصوص موقف المشروع بتاريخ </t>
    </r>
    <r>
      <rPr>
        <b/>
        <sz val="11"/>
        <color theme="1"/>
        <rFont val="Calibri"/>
        <family val="2"/>
        <scheme val="minor"/>
      </rPr>
      <t xml:space="preserve">19 يناير 2026
</t>
    </r>
    <r>
      <rPr>
        <sz val="11"/>
        <color theme="1"/>
        <rFont val="Calibri"/>
        <family val="2"/>
        <scheme val="minor"/>
      </rPr>
      <t xml:space="preserve">13.تم إرسال خطاب إنذار أول للمقاول بتاريخ </t>
    </r>
    <r>
      <rPr>
        <b/>
        <sz val="11"/>
        <color theme="1"/>
        <rFont val="Calibri"/>
        <family val="2"/>
        <scheme val="minor"/>
      </rPr>
      <t>20 يناير 2026</t>
    </r>
    <r>
      <rPr>
        <sz val="11"/>
        <color theme="1"/>
        <rFont val="Calibri"/>
        <family val="2"/>
        <scheme val="minor"/>
      </rPr>
      <t xml:space="preserve"> نظرا لتجاوز نسبة التباين للمشروع طبقا للبرنامج الزمني المحدث عن 20% طبقا للـ PMM
14.تم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22 يناير 2026</t>
    </r>
    <r>
      <rPr>
        <sz val="11"/>
        <color theme="1"/>
        <rFont val="Calibri"/>
        <family val="2"/>
        <scheme val="minor"/>
      </rPr>
      <t xml:space="preserve">
15.تم عقد اجتماع مع السادة مديري البرامج بخصوص موقف المشروع بتاريخ </t>
    </r>
    <r>
      <rPr>
        <b/>
        <sz val="11"/>
        <color theme="1"/>
        <rFont val="Calibri"/>
        <family val="2"/>
        <scheme val="minor"/>
      </rPr>
      <t xml:space="preserve">22 يناير 2026
</t>
    </r>
    <r>
      <rPr>
        <sz val="11"/>
        <color theme="1"/>
        <rFont val="Calibri"/>
        <family val="2"/>
        <scheme val="minor"/>
      </rPr>
      <t xml:space="preserve">16.تم عقد اجتماع مع السادة مديري البرامج بخصوص موقف المشروع بتاريخ </t>
    </r>
    <r>
      <rPr>
        <b/>
        <sz val="11"/>
        <color theme="1"/>
        <rFont val="Calibri"/>
        <family val="2"/>
        <scheme val="minor"/>
      </rPr>
      <t>16 فبراير 2026</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t>
    </r>
    <r>
      <rPr>
        <b/>
        <sz val="11"/>
        <color theme="1"/>
        <rFont val="Calibri"/>
        <family val="2"/>
        <scheme val="minor"/>
      </rPr>
      <t>02 مارس 2026</t>
    </r>
  </si>
  <si>
    <t>نسبة الإيقاف%</t>
  </si>
  <si>
    <t>شركه خالد سليم الأحمدي للمقاولات</t>
  </si>
  <si>
    <t>Remaining Budget</t>
  </si>
  <si>
    <t>Suspended Budget</t>
  </si>
  <si>
    <t>% Suspension</t>
  </si>
  <si>
    <t>تبوك</t>
  </si>
  <si>
    <t>حمود الشراري</t>
  </si>
  <si>
    <t>خالد الحويطي</t>
  </si>
  <si>
    <t>تنفيذ شبكة صرف صحي لاحياء شمال تبوك ( المرحلة الأولى )</t>
  </si>
  <si>
    <t>شركة الاولات  للصناعة و الانشاء المحدودة</t>
  </si>
  <si>
    <t>مشروع إنشاء محطة تنقية مياه الشرب لفجر بمنطقة تبوك سعة 500 م3/ اليوم</t>
  </si>
  <si>
    <t>مؤسسة وبرا للمقاولات</t>
  </si>
  <si>
    <t>وليد حداد</t>
  </si>
  <si>
    <t>مشروع انشاء خطوط ناقلة وموقع اعمال مياه ومحطة ضخ بمدينة حقل</t>
  </si>
  <si>
    <t>شركة بن ماضي المحدودة (شركة شخص واحد)</t>
  </si>
  <si>
    <t>موسى الجماز</t>
  </si>
  <si>
    <t>استكمال شبكات مياه المرحلة التاسعة في مدينة تبوك احياء النخيل و التعاون و غرناطة</t>
  </si>
  <si>
    <t>شركة أعمال المحترفون للتجارة والمقاولات</t>
  </si>
  <si>
    <t>تنفيذ نظام لنقل مياه الصرف الصحي لمنفذ الدرة بحقل</t>
  </si>
  <si>
    <t>عبد الوهاب الشريف</t>
  </si>
  <si>
    <t>موقع تنفيذ شبكة صرف صحي لأخياء شمال تبوك ( المرحلة الثانية )</t>
  </si>
  <si>
    <t>موارد الالات</t>
  </si>
  <si>
    <t>انشاء خطوط رئيسية وشبكات الصرف الصحي بتبوك المرحلة الخامسة عشر</t>
  </si>
  <si>
    <t>أكوا العربية للمياه</t>
  </si>
  <si>
    <t>مشروع إنشاء شبكات مياه الشرب لحي الرايس بمدينة تبوك</t>
  </si>
  <si>
    <t>مؤسسة نفود العاذرية للمقاولات</t>
  </si>
  <si>
    <t>مشروع إعادة تأهيل شبكات المياه بمنطقة تبوك</t>
  </si>
  <si>
    <t>شركة رواسي البناء</t>
  </si>
  <si>
    <t>محمد الفهر</t>
  </si>
  <si>
    <t>مشروع استكمال شبكات المياه وأعمال الربط للخطوط الرئيسية وأعمال مواقع المياه بمدينة تبوك</t>
  </si>
  <si>
    <t>شركة ابداع الحياة للإستثمار</t>
  </si>
  <si>
    <t>استكمال مشروع انشاء شبكات مياه الشرب بقرية المعظم بتبوك</t>
  </si>
  <si>
    <t>شركة الرصف والبناء السعودية المحدودة للتجارة والصناعة والمقاولات</t>
  </si>
  <si>
    <t>تنفيذ الاعمال لإنشاء محطة تنقية مياه الشرب بنظام الحاوية المدمجة للقليبة بمنطقة تبوك سعة 1000 م3\يوم</t>
  </si>
  <si>
    <t>عبدالرحمن المعاشي</t>
  </si>
  <si>
    <t>استكمال مشروع توسعة محطة المعالجة باملج الى المرحلة الثلاثية</t>
  </si>
  <si>
    <t>شركة زهران للصيانة والتشغيل</t>
  </si>
  <si>
    <t>محمد أبو صلاح</t>
  </si>
  <si>
    <t>شبكات المياه باحياء النظيم وجنوب تبوك</t>
  </si>
  <si>
    <t>شركة بصمة التشييد للمقاولات</t>
  </si>
  <si>
    <t>استكمال شبكات الصرف الصحي في حي الرحمانية بتيماء المرحلة السادسة</t>
  </si>
  <si>
    <t>مؤسسة الاسس الاولى للمقاولات</t>
  </si>
  <si>
    <t>استكمال انشاء خطوط رئيسية وشبكات الصرف الصحي بتبوك المرحلة الثالثة عشر</t>
  </si>
  <si>
    <t>مؤسسة كنان العربية للمقاولات العامة</t>
  </si>
  <si>
    <t>21/01/2026</t>
  </si>
  <si>
    <t>شركة الاولات للمقاولات</t>
  </si>
  <si>
    <t>احلال وتجديد شبكات المياه بمنطقة تبوك المرحلة الأولى</t>
  </si>
  <si>
    <t>إثمار التشييد للمقاولات</t>
  </si>
  <si>
    <t>Of 47 Projects</t>
  </si>
  <si>
    <t>1. تم ارسال اميل الي د. نايف الحازمي بإدارة العقود بالمركز الرئيسي لإكمال إجراءات السحب بتاريخ 05 مارس 2026</t>
  </si>
  <si>
    <t>1.إحالة المعاملة من الجدولة والتحكم بالمركز الرئيسي الى مكتب نائب الرئيس لخدمات المشاريع إلى بتاريخ 08 مارس 2026م للتأشير.</t>
  </si>
  <si>
    <t>مكتمل التنفيذ</t>
  </si>
  <si>
    <t>مشروع انشاء شبكات مياه بمدائن صالح</t>
  </si>
  <si>
    <t>تباين نسب الإنجاز</t>
  </si>
  <si>
    <t>3/25/2/1/AP246/1</t>
  </si>
  <si>
    <t>AP246</t>
  </si>
  <si>
    <t>مشروع إيصال خدمة المياه لمرفأ الرايس بمحافظة بدر</t>
  </si>
  <si>
    <t xml:space="preserve">  تنفيذ خطوط وشبكات توزيع المياه بمحافظة بدر -901240355 </t>
  </si>
  <si>
    <t xml:space="preserve"> </t>
  </si>
  <si>
    <t>امشروع ستكمال تنفيذ الخطوط الرئيسية والشبكات الفرعية لمخططات شوران (المرحلة الأولى) 901240021</t>
  </si>
  <si>
    <t xml:space="preserve">سلطان البركانى </t>
  </si>
  <si>
    <t xml:space="preserve"> مياة 2</t>
  </si>
  <si>
    <t>لا يوجد معاملة جارية</t>
  </si>
  <si>
    <t xml:space="preserve">رفع نسب الإنجاز </t>
  </si>
  <si>
    <t>مؤسسة منصور بن محمد بن علي آل محمود الغامدي للمقاولات العامة</t>
  </si>
  <si>
    <t xml:space="preserve">الاجراء الإداري للمشروع  </t>
  </si>
  <si>
    <t>رفع نسب الإنجاز</t>
  </si>
  <si>
    <t>الفعلي حتي 30 مايو 2026</t>
  </si>
  <si>
    <t>الإسبوع 1 
4 يونيو</t>
  </si>
  <si>
    <t>الإسبوع 2 
11 يونيو</t>
  </si>
  <si>
    <t>الإسبوع 3
18 يونيو</t>
  </si>
  <si>
    <t>الإسبوع 4
25 يونيو</t>
  </si>
  <si>
    <t xml:space="preserve"> حالة المعاملة</t>
  </si>
  <si>
    <t>معاملة جارية</t>
  </si>
  <si>
    <t>النسبة المخططة %</t>
  </si>
  <si>
    <t xml:space="preserve">اخر الإجراءات التي تمت </t>
  </si>
  <si>
    <t xml:space="preserve">VOR/901230176/6 - 
معاملة تمديد العقد بمدة (94) يوم نتيجة تأخر صرف المستخلصات الجارية ارقام من 14 الي 20   </t>
  </si>
  <si>
    <t>نسبة الانجاز التراكمي المطلوب لتجنب التعثر</t>
  </si>
  <si>
    <t>نسبة الانجاز التراكمي المطلوب للإنتظام</t>
  </si>
  <si>
    <t>الإجراء الفني الحالي</t>
  </si>
  <si>
    <t>معاملة لم تبدأ</t>
  </si>
  <si>
    <t>VOR/901240141/4 -
معاملة تمديد العقد بمدة (41) يوم تضاف إلى تاريخ نهاية العقد الحالية 18/06/2026م نتيجة أسباب خارجة عن إرادة المقاول تتمثل في تأخر شركة الكهرباء في توصيل التيار الكهربائي إلى محطات الرفع (LS1,LS2,LS3 ) ليصبح تاريخ نهاية العقد بعد التمديد 27/07/2026م</t>
  </si>
  <si>
    <t>م</t>
  </si>
  <si>
    <t>تاريخ بدء العقد</t>
  </si>
  <si>
    <t>تاريخ نهاية العقد</t>
  </si>
  <si>
    <t>قيمة العقد (مليون)</t>
  </si>
  <si>
    <t>التاريخ المخطط لخروج المشروع من التعثر</t>
  </si>
  <si>
    <t>الإجمـــــــــــــــــــــــــــــــــــــــــــالي</t>
  </si>
  <si>
    <t>إسم المشروع</t>
  </si>
  <si>
    <t>اسم المقاول</t>
  </si>
  <si>
    <t>الإجراء الفني للمشروع</t>
  </si>
  <si>
    <t>الإجراء الإداري للمشروع</t>
  </si>
  <si>
    <t>امر الشراء</t>
  </si>
  <si>
    <t>1.تم اصدار خطاب انذار نهائي الحاقي بتاريخ 21 يونيو 2026
2.تم اصدار امر الشراء بتمديد بمدة 8 أيام نتيجة تمديد بمدة (35) يوم نتيجة تأخر صرف المستخلصات الجارية أرقام (4، 5، 6، 7)و تم رفض البرنامج الزمني المعدل من المركز الرئيسي</t>
  </si>
  <si>
    <t>التباين (%)</t>
  </si>
  <si>
    <t>التاريخ المتوقع للتعثر</t>
  </si>
  <si>
    <t>استكمال اجراءات السحب للمشروع</t>
  </si>
  <si>
    <t>السبب</t>
  </si>
  <si>
    <t>اجازة عيد الاضحي</t>
  </si>
  <si>
    <t>ملخص خطة المعالجة</t>
  </si>
  <si>
    <t>23 ديسمبر 2026</t>
  </si>
  <si>
    <t>متوسط نسبة الانجازالإسبوعي %</t>
  </si>
  <si>
    <t>VOR/901250275/1 
-جدول الكميات المعدل رقم (1) الجاري المرفق والمتضمن تعديل كميات بنود بالزيادة بقيمة (1,699,499.05) ريال سعودي وبنسبة (16.34%) وتخفيض كميات بنود أخرى بقيمة (1,699,499.05) ريال سعودي وبنسبة (16.34%) من قيمة العقد الأساسية، وبدون زيادة أو تخفيض في مدة أو قيمة المشروع الأساسية.</t>
  </si>
  <si>
    <t>1.تم اصدار امر الشراء بتاريخ 25 يونيو 2026 و جاري اعتماد البرنامج الزمني المعدل من المركز الرئيسي
2.تم اصدار امر الشراء بتمديد بمدة 8 أيام نتيجة تأخر صرف المستخلصات الجارية أرقام (14، 15) و تم رفض البرنامج الزمني المعدل من المركز الرئيسي</t>
  </si>
  <si>
    <t xml:space="preserve">الرفع بالطلب من إدارة التشييد بالقطاع إلى إدارة المشتريات بالقطاع بتاريخ 24/06/2026م للمراجعة </t>
  </si>
  <si>
    <t xml:space="preserve"> 
VOR/901240075/I3
معاملة استئناف جزئي للأعمال بقيمة 20.32% و تمديد 274 يوم</t>
  </si>
  <si>
    <t>اعتماد الطلب APPROVED على النظام بتاريخ 28/06/2026م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</si>
  <si>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اعتماد الطلب APPROVED على النظام بتاريخ 27/06/2026م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</si>
  <si>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التاريخ المخطط لخروج المشروع من التأخر</t>
  </si>
  <si>
    <t>المخطط الإسبوع الحالي (%)</t>
  </si>
  <si>
    <t>الفعلي الإسبوع الحالي (%)</t>
  </si>
  <si>
    <t>الفعلي الإسبوع السابق (%)</t>
  </si>
  <si>
    <t>30 سبتمبر 2026</t>
  </si>
  <si>
    <t>التاريخ المتوقع للتأخر</t>
  </si>
  <si>
    <t>اخر تحديث الإجراء الإداري للمشروع</t>
  </si>
  <si>
    <t>التاريخ المخطط لخروج المشروع من التأخر / التعثر</t>
  </si>
  <si>
    <t>التاريخ المتوقع للتأخر/ للتعثر</t>
  </si>
  <si>
    <t>1. معاملة استئناف جزئي للاعمال الموقوفة - لم يتم اعداد المعاملة</t>
  </si>
  <si>
    <t>استكمال انشاء شبكات الصرف الصحي بالأحياء الجنوبية بمدينة ضبا</t>
  </si>
  <si>
    <t>شركة اثمار التشييد للبناء والمقاولات</t>
  </si>
  <si>
    <t>النسبة المطلوب زيادتها في يوليو 2026 للإنتظام</t>
  </si>
  <si>
    <t>نسبة المخطط التراكمي حتى 31 يوليو 2026</t>
  </si>
  <si>
    <t>النسبة المطلوبة للخروج من التعثر خلال يوليو 2026</t>
  </si>
  <si>
    <t>النسبة المطلوبة للإنتظام خلال يوليو 2026 (%)</t>
  </si>
  <si>
    <t>اخر تحديث الإجراء الإداري الحالي للمشروع</t>
  </si>
  <si>
    <t>نسبة الإيقاف (%)</t>
  </si>
  <si>
    <t xml:space="preserve">تاريخ التسليم الإبتدائي المتوقع </t>
  </si>
  <si>
    <t>30 أغسطس 2026</t>
  </si>
  <si>
    <t>مشروع إيصال المياه لمنفذ عمار الحدودي</t>
  </si>
  <si>
    <t>مشروع اعمال ربط الخطوط الرئيسية ومحطات الضخ لشبكات مدينة تبوك
بالمشروع الشامل</t>
  </si>
  <si>
    <t>الاولات</t>
  </si>
  <si>
    <t>شركة فهد ماضي جمعان المجول للمقاولات المعمارية</t>
  </si>
  <si>
    <t>شركة نفود العاذرية للمقاولات شركة شخص واحد </t>
  </si>
  <si>
    <t>لا توجد معاملة جارية</t>
  </si>
  <si>
    <t>ضمن خطة التسليم</t>
  </si>
  <si>
    <t>ضمن خطة الانجاز</t>
  </si>
  <si>
    <t>22-06-2027</t>
  </si>
  <si>
    <t>15 اغسطس 2026</t>
  </si>
  <si>
    <t>15 سبتمبر 2026</t>
  </si>
  <si>
    <t>تاريخ التسليم الإبتدائي وفقا للخطة</t>
  </si>
  <si>
    <t xml:space="preserve">إسم المشروع Project  </t>
  </si>
  <si>
    <t>اسم المقاول Contractor</t>
  </si>
  <si>
    <t xml:space="preserve">تاريخ بدء العقد
Contract Start </t>
  </si>
  <si>
    <t>تاريخ نهاية العقد
Contract Finish</t>
  </si>
  <si>
    <t>المخطط (%)
Planned</t>
  </si>
  <si>
    <t>الفعلي(%)
Actual</t>
  </si>
  <si>
    <t>قيمة العقد (مليون)
Contract Value</t>
  </si>
  <si>
    <t>ملخص خطة المعالجة
Treatment Plan</t>
  </si>
  <si>
    <t>20 أغسطس 2026</t>
  </si>
  <si>
    <t>قيمة العقد المعدلة مع الضريبة (مليون)</t>
  </si>
  <si>
    <t>وضع المشروع</t>
  </si>
  <si>
    <t>نسبة الإنجاز المخطط (%)</t>
  </si>
  <si>
    <t>نسبة الإنجاز الفعلي (%)</t>
  </si>
  <si>
    <t>تباين البرنامج الزمني (%)</t>
  </si>
  <si>
    <t xml:space="preserve">معايير تقييم الأداء المنخفض </t>
  </si>
  <si>
    <t>سبب ضعف الاداء</t>
  </si>
  <si>
    <t>Zero Progress</t>
  </si>
  <si>
    <t>Poor Performance</t>
  </si>
  <si>
    <t>1.عدم استكمال الطاقم الفني وفريق السلامة للمقاول بالمشروع 
2. رفض تصريح الثقب الافقي لجامعة طيبة من قبل شركة الكهرباء نتيجة وجود كابلات جهد عالي تتعارض مع المسار وغرفة الاستقبال
3. زيادة عروض الاسفلت المنفذة عن التعاقد طبقا  لمتطلبات الامانة
4.تعارض ربط الخطوط المنفذة مع الخطوط القائمة للاستفادة منها</t>
  </si>
  <si>
    <t>1.عدم وجود ملائه ماليه لدي المقاول.
2.عدم القدرة علي اصدار تصاريح جديدة بسبب عدم  قدرة المقاول علي اغلاق التصاريح القديمة.</t>
  </si>
  <si>
    <t>تأخر الموافقة علي اصدار التصاريح للمشروع</t>
  </si>
  <si>
    <t>1.عدم وجود ملائه ماليه لدي المقاول.
2. ضعف امكانيات المقاول
3. عدم وجود فريق كافي للمقاول
4. عدم القدرة علي غلق التصاريح المفتوحة</t>
  </si>
  <si>
    <t xml:space="preserve">1. ضعف امكانيات المقاول
2. نقص عدد الفرق و العمال اللازمة
3. ضيق الشوارع و وجود شبكات قائمة متعارضة تستلزم الحفر اليدوي </t>
  </si>
  <si>
    <t>1.عدم القدرة علي اغلاق التصاريح القائمة.
2. ضعف امكانيات المقاول
3. عدم وجود الفرق و العمالة الكافية</t>
  </si>
  <si>
    <t>1.عدم الاستفادة من خط 1400 مم نظرا للتخطيط لخروج الخزانات الرابطة من الخدمة قريبا 
2.تحديد نقاط الربط مع قطاع التشغيل والصيانة</t>
  </si>
  <si>
    <t>أسباب التعثر
Troubled Reasons</t>
  </si>
  <si>
    <t xml:space="preserve">1.ضعف إمكانيات المقاول
2.ضعف الملاءه المالية للمقاول </t>
  </si>
  <si>
    <t>1.ضعف امكانيات المقاول لتنفيذ الاعمال
2. عدم اكتمال الطاقم الفني للمشروع</t>
  </si>
  <si>
    <t>استكمال خطوط الصرف الصحي لمدينة الهلا (خطوط رئيسية وشبكات)901240373</t>
  </si>
  <si>
    <t>لا يوجد</t>
  </si>
  <si>
    <t>1.ضعف امكانيات المقاول لتنفيذ الاعمال وفق البرنامج الزمني</t>
  </si>
  <si>
    <t xml:space="preserve">1.معاملة ايقاف جزئي
2.معاملة تمديد مستخلصات </t>
  </si>
  <si>
    <t>النسبة المطلوب زيادتها في أغسطس 2026 للإنتظام</t>
  </si>
  <si>
    <t>نسبة المخطط التراكمي حتى 31 أغسطس 2026</t>
  </si>
  <si>
    <t>الفجوة بين النسبة المخططة و نسبة الوقت المنقضي</t>
  </si>
  <si>
    <t>حالة المشروع الإسبوع السابق</t>
  </si>
  <si>
    <t>Backloaded</t>
  </si>
  <si>
    <t>المنفذ % الفعلي حتي الإسبوع السابق</t>
  </si>
  <si>
    <t>النسبة المطلوبة للخروج من التعثر خلال أغسطس 2026</t>
  </si>
  <si>
    <t>New PO = 09 Jan 2029 - 14 days</t>
  </si>
  <si>
    <t>30 أكتوبر 2026</t>
  </si>
  <si>
    <t>1.توقف المقاول عن العمل من ديسمبر 2025 نتيجة زيادة كميات الأسفلت الناتجة عن تطبيق الاشتراطات المحدثة من الأمانة بعد إصدار وبدء تطبيق الدليل الشامل لأعمال البنية التحتية و الإتجاه للقضاء.
2.تعارض بعض مسارات العمل بالمشروع مع الخدمات القائمة بالموقع
3.رفض التصاريح المقدمة للجهات المتخصة لاصدارها بسبب الاجراءات المرورية</t>
  </si>
  <si>
    <t>1. صعوبة استخراج التصاريح من الهيئة الملكية باعتبار أهمية المنطقة ودورها السياحي 
2. تأخر استكمال تقديم الخطط وطرق التنفيذ للاعتماد
3. تأخر استكمال تقديم المواد للاعتماد
4. تأخر استكمال تقديم الطاقم الفني ومدير المشروع
5. تحديد المسار مع الهيئة الملكية و اعمال الرفع المساحي</t>
  </si>
  <si>
    <t>لا يوجد اجراء فني</t>
  </si>
  <si>
    <t>1. الإستلام الإبتدائي للمشروع</t>
  </si>
  <si>
    <t>30 ديسمبر 2026</t>
  </si>
  <si>
    <t>NA-00220</t>
  </si>
  <si>
    <t>3/26/2/2/NA-00220/1</t>
  </si>
  <si>
    <t>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t>
  </si>
  <si>
    <t>شركه اعمال المحترفون للتجارة والمقاولات</t>
  </si>
  <si>
    <t>ايقاف كلي</t>
  </si>
  <si>
    <t>مؤسسة الأسس الاولى للمقاولات</t>
  </si>
  <si>
    <t>تم اصدار امر شراء 49 يوم و تم طلب البرنامج من الإستشاري</t>
  </si>
  <si>
    <t>1. معاملة إنهاء التعاقد</t>
  </si>
  <si>
    <t>النسبة المطلوبة للخروج من التعثر / التأخر خلال أغسطس 2026</t>
  </si>
  <si>
    <t>ضمن خطة انجاز</t>
  </si>
  <si>
    <t>مكتب عبدالرحمن عبداللطيف جزار للاستشارات الهندسيه</t>
  </si>
  <si>
    <t>اعمال الرفع المساحي لاراضي واصول المياه والصرف الصحي المستقبلية بمنطقة تبوك</t>
  </si>
  <si>
    <t>استحقاق خطاب حث 05%</t>
  </si>
  <si>
    <t>استحقاق خطاب حث 15%</t>
  </si>
  <si>
    <t>استحقاق انذار اول 20%</t>
  </si>
  <si>
    <t>استحقاق انذار نهائي</t>
  </si>
  <si>
    <t>غير متوقع تأخره</t>
  </si>
  <si>
    <t>غير متوقع تعثره</t>
  </si>
  <si>
    <t>1. معاملة فسخ التعاقد</t>
  </si>
  <si>
    <t>1. معاملة فسخ</t>
  </si>
  <si>
    <t>1.تم اصدار خطاب انهاء العقد بالتراضي رقم (1447/4082/70120) بتاريخ 20/08/2026م من الرئيس التنفيذي إلى شركة عبدالرحمن عبداللطيف جزار للاستشارات الهندسية، علما أنه تم اعتماد محضر لجنة سحب وإنهاء العقود بتاريخ 19/0/2026م</t>
  </si>
  <si>
    <t>تم اصدار امر شراء بجدول كميات معدل و لم يعكس</t>
  </si>
  <si>
    <t>امر شراء بتخفيض العقد من جدول الكميات و لم يكس</t>
  </si>
  <si>
    <t>30 اكتوبر 2026</t>
  </si>
  <si>
    <t>Approved Invoices Amount</t>
  </si>
  <si>
    <t>No. of Paid invoices</t>
  </si>
  <si>
    <t>No. of Approved Invoices</t>
  </si>
  <si>
    <t>Paid Invoices Amount</t>
  </si>
  <si>
    <t>No. of Unpaid Invoices</t>
  </si>
  <si>
    <t>Unpaid Invoices Amount</t>
  </si>
  <si>
    <t>Gap Between Earned value &amp; Approved invoices Amount</t>
  </si>
  <si>
    <t>الترتيب</t>
  </si>
  <si>
    <t>امر شراء بجدول الكميات معدل و لم يعكس</t>
  </si>
  <si>
    <t>Poor Performance
Backloaded</t>
  </si>
  <si>
    <t>1.ضعف الملاءة المالية للمقاول 
2.تأثر المستخلصات المصروفة له بقضايا خارجية</t>
  </si>
  <si>
    <t>1.عدم إتاحة العمل في 70 % من نطاق المشروع</t>
  </si>
  <si>
    <t>Recovery Schedule Unifier</t>
  </si>
  <si>
    <t xml:space="preserve">1.تم اصدار امر الشراء بتمديد زمني 14 يوم و تم التصعيد بالبريد الإلكتروني للإستشاري دورش و تمت الإفادة برفض المقاول تقديم البرنامج الزمني وفقا لإتجاهه للقضاء </t>
  </si>
  <si>
    <t>التحديات الحالية</t>
  </si>
  <si>
    <t>1.سرعة انهاء مشكلة التصنيف الخاص بالمقاول لإصدار التصاريح اللازمة للأعمال المتبقية
2. رفع معدلات الأداء لإنهاء الأعمال المتبقية بالمشروع</t>
  </si>
  <si>
    <t>1. سرعة حل المشاكل المعلقة مع قسم التشغيل و الصيانة
2. سرعة انهاء اجراءات الإستلام الإبتدائي الجزئي
3. سرعة بدء إجراءات الإستلام الإبتدائي الكلي للمشروع  لتسليم المشروع بالتاريخ المخطط بخطة إنجاز</t>
  </si>
  <si>
    <t>11-Apr-2027</t>
  </si>
  <si>
    <t>تم اصدار امر شراء 35 يوم و تم رفض البرنامج الزمني</t>
  </si>
  <si>
    <t>خالد الصحاف</t>
  </si>
  <si>
    <t>Water</t>
  </si>
  <si>
    <t>الإجراءات الإدارية للمشاريع</t>
  </si>
  <si>
    <t>10256</t>
  </si>
  <si>
    <t>10296</t>
  </si>
  <si>
    <t>P1502</t>
  </si>
  <si>
    <t>P1488</t>
  </si>
  <si>
    <t>P1469</t>
  </si>
  <si>
    <t>AP1189</t>
  </si>
  <si>
    <t>O922</t>
  </si>
  <si>
    <t>P1475-3</t>
  </si>
  <si>
    <t>P1515</t>
  </si>
  <si>
    <t>AP244</t>
  </si>
  <si>
    <t>P1474</t>
  </si>
  <si>
    <t>P1475-4</t>
  </si>
  <si>
    <t>AP257</t>
  </si>
  <si>
    <t>P1465-2</t>
  </si>
  <si>
    <t>AP256</t>
  </si>
  <si>
    <t>O918</t>
  </si>
  <si>
    <t>AP242</t>
  </si>
  <si>
    <t>08/23/2/03/0006/1</t>
  </si>
  <si>
    <t>08/23/2/01/0009/1</t>
  </si>
  <si>
    <t>08/23/2/01/0014/1</t>
  </si>
  <si>
    <t>08/23/2/03/0011/1</t>
  </si>
  <si>
    <t>08/23/2/02/0013/1</t>
  </si>
  <si>
    <t>08/23/2/02/0012/1</t>
  </si>
  <si>
    <t>8/25/2/1/O922/1</t>
  </si>
  <si>
    <t>8/25/2/2/P1475-3/1</t>
  </si>
  <si>
    <t>8/25/2/1/P1515/1</t>
  </si>
  <si>
    <t>8/25/2/2/AP244/1</t>
  </si>
  <si>
    <t>8/25/2/2/P1474/1</t>
  </si>
  <si>
    <t>8/25/2/2/P1475-4/1</t>
  </si>
  <si>
    <t>8/25/2/2/AP257/1</t>
  </si>
  <si>
    <t>8/25/2/1/P1465-2/1</t>
  </si>
  <si>
    <t>8/24/2/1/AP256/1</t>
  </si>
  <si>
    <t>8/25/2/2/O918/1</t>
  </si>
  <si>
    <t>8/25/2/1/AP242/1</t>
  </si>
  <si>
    <t xml:space="preserve"> عبدالرحمن المعاشي</t>
  </si>
  <si>
    <t>محمد أبوصلاح</t>
  </si>
  <si>
    <t>عبدالوهاب الشريف</t>
  </si>
  <si>
    <t>محمد البلوي</t>
  </si>
  <si>
    <t xml:space="preserve"> محمد الفهر</t>
  </si>
  <si>
    <t>مشروع ايصال خدمة الصرف الصحي لمشروع بوابة سمو المطل علي تقاطع طريقيالملك فيصل و الملك فهد الكائن بحي المصانع بالمدينة المنورة</t>
  </si>
  <si>
    <t>1.معاملة تغيير نطاق العقد وجدول الكميات المعدل رقم (1)</t>
  </si>
  <si>
    <t>1.معاملة جدول الكميات المعدل الجاري رقم (1)</t>
  </si>
  <si>
    <t>1.معاملة استحداث بنود وتغيير في النطاق الجغرافي للعقد و جدول الكميات المعدل رقم (1) بتمديد زمني 150 يوم</t>
  </si>
  <si>
    <t>1. معاملة جدول الكميات المعدل الجاري رقم (1)</t>
  </si>
  <si>
    <t>1معاملة تمديد زمني (32) يوم لتأخر صرف المستخلصات</t>
  </si>
  <si>
    <t xml:space="preserve">1.معاملة جدول الكميات المعدل رقم (1) </t>
  </si>
  <si>
    <t>1.معاملة جدول الكميات المعدل رقم (1)</t>
  </si>
  <si>
    <t>1.معاملة تمديد العقد بمدة (93) يوم لتأخر صرف المستخلصات</t>
  </si>
  <si>
    <t>1.معاملة تمديد العقد بمدة (49) يوم لتأخر  صرف المستخلصات</t>
  </si>
  <si>
    <t>1. تم اصدار امر الشراء PO رقم (901230273) بتاريخ 18/08/2026 ومخطط رفع البرنامج الزمني المعدل بتاريخ 17/09/2026</t>
  </si>
  <si>
    <t>1.معاملة تمديد العقد بمدة (175) يوم لتأخر صرف المستخلصات</t>
  </si>
  <si>
    <t>1. معاملة جدول الكميات المعدل رقم (1)</t>
  </si>
  <si>
    <t>1. معاملة تمديد العقد بمدة (174) تأخر صرف المستخلصات</t>
  </si>
  <si>
    <t>1. تم اصدار امر الشراء PO تمديد العقد (175) يوم رقم (601240160) بتاريخ 22/08/2026 و تم تقديم البرنامج  للاستشاري لإنهاء المراجعة في 17/09/2026</t>
  </si>
  <si>
    <t>1. جدول الكميات المعدل رقم (1)</t>
  </si>
  <si>
    <t>Poor Performance Zero Progress
Backloaded
Near to Delay</t>
  </si>
  <si>
    <t>1. تأخر استكمال تقديم المواد للاعتماد</t>
  </si>
  <si>
    <t>1. عدم القدرة علي اصدار تصاريح جديدة بسبب تصنيف المقاول
2. تأخر اغلاق التصاريح المفتوحة في الفترة السابقة بسبب تطبيق الدليل الشامل للأسفلت</t>
  </si>
  <si>
    <t>1. تأخر استكمال تقديم الخطط وطرق التنفيذ للاعتماد
2. ضعف معدلات الاداء</t>
  </si>
  <si>
    <t>1. تأخر المقاول بسبب زيادة كميات الاسفلت عن التعاقد
2. ضعف الملاءه المالية</t>
  </si>
  <si>
    <t>1.تأخر صدور التصريح بيئي للمشروع</t>
  </si>
  <si>
    <t xml:space="preserve">1. ضعف الملاءه المالية
2.عدم تواجد مدير المشروع و الفريق من جانب المقاول </t>
  </si>
  <si>
    <t>1.عدم وجود ملائه ماليه لدي المقاول.
2. عدم تواجد طاقم المقاول
3.ضعف اداء المقاول</t>
  </si>
  <si>
    <t>19/02/2028</t>
  </si>
  <si>
    <t>1. الاستلام الابتدائي للمشروع</t>
  </si>
  <si>
    <t>1.جدول الكميات المعدل رقم (1)</t>
  </si>
  <si>
    <t xml:space="preserve">1.معاملة استحداث بنود وتغيير في النطاق الجغرافي للعقد و جدول الكميات المعدل رقم (1) وتمديد العقد </t>
  </si>
  <si>
    <t>1. استكمال اجراءات السحب (انهاء التعاقد)</t>
  </si>
  <si>
    <t xml:space="preserve">1. معاملة جدول الكميات المعدل الجاري رقم (1) </t>
  </si>
  <si>
    <t>1. إستكمال اجرءات سحب المشروع (انهاء التعاقد)</t>
  </si>
  <si>
    <t>1. إستكمال اجرءات سحب المشروع(انهاء التعاقد)</t>
  </si>
  <si>
    <t>1.معاملة جدول كميات معدل (تخفيض)
2. الإستلام الابتدائي للمشروع</t>
  </si>
  <si>
    <t xml:space="preserve">1.معاملة جدول الكميات المعدل الجاري رقم (1) </t>
  </si>
  <si>
    <t>1.معاملة تمديد العقد</t>
  </si>
  <si>
    <t xml:space="preserve">1. معاملة تمديد العقد
2. معاملة فتح نطاق جديد </t>
  </si>
  <si>
    <t>1. معاملة جدول الكميات المعدل الجاري رقم (2)</t>
  </si>
  <si>
    <t>1. معاملة تمديد العقد</t>
  </si>
  <si>
    <t>1. تم إستلام مرفقات معاملة التمديد الزمني مدة 259 يوم  (نتيجة استئناف الأعمال بالمشروع بتاريخ 10/09/2026م ) بتاريخ 14/09/2026م.
2. تم مراجعة المرفقات من قبل ادارة الجدولة و التحكم و تم المناقشه مع ادارة المشتريات بسبب مراسلات الغاء امر العمل.</t>
  </si>
  <si>
    <t xml:space="preserve">1. -تحديث الموافقة على تخصيص الأرض : سيتم زيارة الموقع بحضور كل شركة نقل المياه والهيئة السعودية للمياه بتاريخ 22/9/2026، وذألك للموافقة على تخصيص الأرض.
-تحديث التصميم الابتدائي: بناءً على اعتماد موقع محطة الضخ داخل بوابة الشلايل، جاري استكمال اعمال التصميم داخليا من قبل فريق الدعم.
-تحديث طلب الموافقة على مسار المشروع : تم ارسال الخطاب بتاريخ اليوم 17/9/2026 </t>
  </si>
  <si>
    <t>1. تم اعتماد طلب (جدول معدل) على النظام APPROVED بتاريخ 31/08/20226م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</si>
  <si>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</si>
  <si>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الرد علي خطابين المقاول بطلب فسخ العقد  
2. تم إصدار خطاب الانذار الأول للمقاول بتاريخ 30/08/2026 نظرا لتجاوز التباين 20% طبقا لدليل إدارة المشروعات  PMM rev.03</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</si>
  <si>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</si>
  <si>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رفع طلب اصدار خطاب الانذار النهائي بتاريخ 07/09/2026م
2. تم طلب الدعم من سلاسل الامداد لسرعة اصدار خطاب الانذار النهائي لاستكمال اجراءات السحب</t>
  </si>
  <si>
    <t>1. تم اعتماد طلب السحب بتاريخ 15/09/2026م من قبل الرئيس التنفيذي و جاري استكمال الاجراءات من قبل سلاسل الامداد</t>
  </si>
  <si>
    <t xml:space="preserve">1. تم اصدار الانذار النهائي نتيجة توقف الاعمال ل 15 يوم بتاريخ 15-09-2026 من سلاسل الامداد.
</t>
  </si>
  <si>
    <t>1. متابعة اصدار خطاب الانذار النهائي مع سلاسل الامداد</t>
  </si>
  <si>
    <t>1. تم اصدار طلب خطاب الانذار النهائي  لتوقف الاعمال لمدة 15 يوم متصلة بتاريخ 07/09/2026م</t>
  </si>
  <si>
    <t>1. متابعة رفع معاملة التخفيض</t>
  </si>
  <si>
    <t>1.جاري اعداد معاملة جدول الكميات المعدل  من قبل ادارة التشييد</t>
  </si>
  <si>
    <t>1.  تم رفض معاملة جدول الكميات المعدل رقم (1) من قبل ادارة المشتريات بتاريخ 17/09/2026م  لعدم عكس  اوامر التغيير السابقة و اضافة بعد البيانات علي النظام و تم رفع تذكرة من ادارة المشتريات برقم REQ0645000
2. تم اعادة رفع معاملة جدول الكميات بس استيفاء الملاحظات بتاريخ 21/09/2026م</t>
  </si>
  <si>
    <t xml:space="preserve">1. تم اصدار خطاب انذار أول للمقاول لتدني نسب الانجاز بتاريخ 01/09/2026
2. تم تقديم معاملة جدول كميات معدل (تخفيض) و جاري المراجعة </t>
  </si>
  <si>
    <t>1. تم اعادة رفع المعامله الي ادارة المشتريات بتاريخ 09/09/2026م  بناءا علي البريد الكتروني المستلم منهم باعادة رفع المعاملات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</si>
  <si>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</si>
  <si>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1.تم إصدار خطاب الانذار النهائي الالحاقي رقم (1448/515/22299) بتاريخ 22/08/2026م 
2. جاري استكمال اجراءات سحب المشروع لعدم التزام المقاول بالخطة التصحيحية المقدمة </t>
  </si>
  <si>
    <t>1. تم اعادة الرفع من فريق التشييد بتاريخ 08/09/2026م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</si>
  <si>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الاستشاري بتاريخ 14/09/2026م انه تمت إعادة الإرسال إلى الخدمات الفنية من قبل مدير المشروع بشركة المياه الوطنية للمراجعة و الإعتماد</t>
  </si>
  <si>
    <t>1. تم إعادة رفع الطلب علي النظام بتاريخ 16/09/2026م لدي ادارة المشتريات بالقطاع للمراجعة.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</si>
  <si>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</si>
  <si>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t>
  </si>
  <si>
    <t>1. تم معاينة الموقع برفقة مدير مشروع ومندوبي المقاول لمعاينة المسارين المقترحين من قبل إدارة الأودية والسيول بأمانة المدينة المنورة طبقا للصورة المرفقة وتبينالاتي:
1. عدم إمكانية تنفيذ المسار الأول الموضح باللون الأحمر لوجود عدة عوائق بالمسار .
2. المسار الثاني والذي يمر داخل مواقف مسجد الميقات يمكن تنفيذه وتم التوافق مع مدير المشروع على رفع المسار مساحيا وتوقيعه على مخطط والتنسيق مع إدارة الأودية والسيول عليه لأخذ الموافقة المبدئية من قبلهم عليه ثم يتم متابعة المقاول مع إدارة الأودية و هيئة تطوير المدينة لأخذ الموافقة النهائية على المسار نظرا لمرور المسار داخل مواقف الميقات .</t>
  </si>
  <si>
    <t>1.معاملة تمديد تأخر صرف مستخلصات  - معاملة مؤجلة</t>
  </si>
  <si>
    <t>1. تم إصدار امر الشراء بتاريخ 03/09/2026 و تم توجيه الإستشاري بطلب تلافي الملاحظات من المقاول و اعادة ارسال البرنامج الزمني المعدل بتاريخ 19/09/2026</t>
  </si>
  <si>
    <t>1. تم إصدار امر الشراء بتاريخ 02/09/2026 و جاري رفع البرنامج الزمني علي النظام للإعتماد بتاريخ 26/09/2026</t>
  </si>
  <si>
    <t>1. معاملة تمديد تأخر صرف المستخلصات - معاملة مستهدفة</t>
  </si>
  <si>
    <t>1. معاملة تمديد تأخر صرف المستخلصات  - معاملة مؤجلة</t>
  </si>
  <si>
    <t>1. انهاء التعاقد</t>
  </si>
  <si>
    <t>1.تم اصدار امر الشراء بتمديد 23 يوم وتم اعتماد البرنامج الزمني المعدل علي النظام بتاريخ 22/09/2026</t>
  </si>
  <si>
    <t>1. معاملة تمديد تأخر صرف مستخلصات  - معاملة مؤجلة</t>
  </si>
  <si>
    <t>1.مخطط إصدار خطاب طلب الإستلام الإبتدائي من المقاول بعد اعتماد تقرير اعمال الأختبار التشغيلي</t>
  </si>
  <si>
    <t>1. تم اصدار خطاب انذار نهائي للمقاول لتوقف الاعمال لمدة 15 يوم متصلة بتاريخ 01/09/2026 
2. جاري تلافي الملاحظات المرسلة من الجدولة و التحكم بالقطاع للخطه التصحيحية المقدمة من المقاول</t>
  </si>
  <si>
    <t>1. معاملة تخفيض الاعمال ثم انهاء التعاقد</t>
  </si>
  <si>
    <t>1.معاملة تمديد تأخر صرف المستخلصات - معاملة مؤجلة</t>
  </si>
  <si>
    <t>1.جارى الاستلام الابتدائي الجزئي و التجهيز للإستلام الإبتدائي الكلي للمشروع</t>
  </si>
  <si>
    <t>1. معاملة تمديد صرف مستخلصات - معاملة مستهدفة</t>
  </si>
  <si>
    <t>1. تم اصدار امر الشراء PO رقم (601240171) بتاريخ 03/08/2026 و تم اعتماد البرنامج الزمني المعدل من المركز الرئيسي بتاريخ 22/09/2026</t>
  </si>
  <si>
    <t>1. تم اصدار امر الشراء PO رقم (601240159) بتاريخ 17/08/2026 و تم اعتماد البرنامج الزمني المعدل من المركز الرئيسي بتاريخ 22/09/2026</t>
  </si>
  <si>
    <t>1.تم اصدار أمر الشراء بتاريخ 10/08/2026  و مخطط رفع البرنامج الزمني المعدل علي النظام بتاريخ 26/09/2026</t>
  </si>
  <si>
    <t>1.جدول الكميات المعدل الجاري رقم (1)</t>
  </si>
  <si>
    <t>1.معاملة جدول كميات معدل (تخفيض)
2. إستكمال اجرءات سحب المشروع (انهاء التعاقد)</t>
  </si>
  <si>
    <t xml:space="preserve">1. معاملة تمديد العقد </t>
  </si>
  <si>
    <t>From</t>
  </si>
  <si>
    <t>To</t>
  </si>
  <si>
    <t>3 days/month</t>
  </si>
  <si>
    <t>Addititonal days</t>
  </si>
  <si>
    <t>Days</t>
  </si>
  <si>
    <t>Entitlement (Days)</t>
  </si>
  <si>
    <t>نسبة المخطط التراكمي حتى 31 أكتوبر 2026</t>
  </si>
  <si>
    <t>النسبة المطلوب زيادتها في أكتوبر 2026 للإنتظام</t>
  </si>
  <si>
    <t>النسبة المطلوب زيادتها في أكتوبر 2026 لتجنب / الخروج من التعثر</t>
  </si>
  <si>
    <t>نسبة المخطط التراكمي حتى 31 اكتوبر 2026</t>
  </si>
  <si>
    <t>النسبة المطلوب زيادتها في اكتوبر 2026 للإنتظام</t>
  </si>
  <si>
    <t>النسبة المطلوب زيادتها في اكتوبر 2026 لتجنب / الخروج من التعثر</t>
  </si>
  <si>
    <t xml:space="preserve">1. معاملة إنهاء العقد </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</si>
  <si>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t>
  </si>
  <si>
    <t>1. تم اعادة رفع معاملة جدول الكميات بس استيفاء الملاحظات بتاريخ 21/09/2026م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</si>
  <si>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المعامله الي ادارة المشتريات بتاريخ 09/09/2026م  بناءا علي البريد الكتروني المستلم منهم باعادة رفع المعاملات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</si>
  <si>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</si>
  <si>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الافادة من قبل الاستشاري بتاريخ 14/09/2026م انه تمت إعادة الإرسال إلى الخدمات الفنية من قبل مدير المشروع بشركة المياه الوطنية للمراجعة و الإعتماد
2. تم الاجتماع مع التشغيل و الصيانه و نتيجة طلبهم الي اضافة محابس PRV و تم ارسال بريد الكتروني من قبلهم بالمتطلبات  بتاريخ 28/09/2026م
3. تم ارسال بريد الكتروني من قبل ادارة الانشاءات بتاريخ 28/09/2026م الي المقاول لاعداد جدول الكميات المعدل مع ادراج متطلبات التشغيل و الصيانة.</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</si>
  <si>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</si>
  <si>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إعادة رفع الطلب علي النظام بتاريخ 16/09/2026م لدي ادارة المشتريات بالقطاع للمراجعة.
2. تم رفض معاملة التمديد بتاريخ 24/09/2026م  لاستكمال بيانات أمر التغيير علي شاشة النظام
3. تم توجية ادارة التشييد بتاريخ 27/09/2026م بسرعة استيفاء الملاحظات وإعادة الرفع</t>
  </si>
  <si>
    <t>1.تم مراجعة البرنامج الزمني المعدل و مخطط رفع البرنامج الزمني المعدل علي النظام بتاريخ 03/10/2026</t>
  </si>
  <si>
    <t>1. تم اعتماد طلب (جدول معدل) على النظام APPROVED بتاريخ 31/08/20226م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</si>
  <si>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تم اعداد مسودة الخطاب الموجه لهيئة تطوير المدينة بتاريخ 28/09/2026 بخصوص الموافقة على المسار وبانتظار اعتماد الخطاب.</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</si>
  <si>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</si>
  <si>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 xml:space="preserve">1.يتم استيفاء ملاحظات ادارة الخدمات الفنية المرسلة بتاريخ 13/09/2026م من قبل ادارة الإنشاءات   
2. تم ارسال بريد الكتروني من ادارة الجدولة و التحكم بتاريخ 24/09/2026م للوقوف علي حاله استيفاء الملاحظات </t>
  </si>
  <si>
    <t xml:space="preserve">1. معاملة جدول الكميات المعدل رقم (1) </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</si>
  <si>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</si>
  <si>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معاملة التمديد الزمني نتيجة الإستئناف بعد الإيقاف الكلي بمدة 255 يوم</t>
  </si>
  <si>
    <t xml:space="preserve">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وذألك للتأكيد على أهمية واستعجال تنسيق الاجتماع المحدد لمناقشة مسار المشروع. </t>
  </si>
  <si>
    <t>1.جدول الكميات المعدل رقم (1)
2.معاملة تمديد تأخر صرف مستخلصات  - معاملة مؤجلة</t>
  </si>
  <si>
    <t>1. تم اصدار امر الشراء ومخطط رفع البرنامج الزمني المعدل علي النظام بتاريخ 03/10/2026</t>
  </si>
  <si>
    <t xml:space="preserve">1. معاملة تمديد العقد بمدة (25) يوم نتيجة تأخر صرف المستخلصات
2. معاملة فتح نطاق جديد </t>
  </si>
  <si>
    <t xml:space="preserve">1. معاملة فتح نطاق جديد </t>
  </si>
  <si>
    <t>1. الإستلام الإبتدائي للمشروع او
2.إستكمال اجرءات سحب المشروع (انهاء التعاقد)</t>
  </si>
  <si>
    <t>1.تم اعتماد الخطة التصحيحية المقدمة من المقاول بتاريخ 21/09/2026 و متابعة تقدم الاعمال وفقا للخطة المعتمدة
2.الإستلام الإبتدائي للمشروع</t>
  </si>
  <si>
    <t>1. تم رفع معاملة التمديد 255 يوم من إدارة الانشاءات الي ادارة المشتريات بتاريخ 29/09/2026م للمراجعة والإعتماد</t>
  </si>
  <si>
    <t>1. تم اصدار خطاب الإنذار النهائي بتاريخ 28/09/2026م  و يوجد مهلة 15 يوم لإتخاذ الإجراءات التصحيحية من جانب المقاول</t>
  </si>
  <si>
    <t>1. تم اصدار امر الشراء PO تمديد العقد (175) يوم رقم (601240160) بتاريخ 22/08/2026 و تم تقديم البرنامج  للاستشاري للمراجعة و ابداء الملاحظات 27/9/2026</t>
  </si>
  <si>
    <t>1.يتم الإجتماع بشكل دوري مع التشغيل و الصيانة لإنهاء الاستلام الابتدائي الجزئي و للإستلام الإبتدائي الكلي للمشروع قبل 31/10/2026.</t>
  </si>
  <si>
    <t>31 ديسمبر 2026</t>
  </si>
  <si>
    <t>Backloaded
Zero Progress</t>
  </si>
  <si>
    <t>Zero Progress
Near to Delay</t>
  </si>
  <si>
    <t>1.عدم تنفيذ خزان التحلية (المصدر الرئيسي) حتى تاريخه، مما يجعل المشروع بدون مورد مائي فعلي وعدم تحقيق الاستفادة من المشروع</t>
  </si>
  <si>
    <t>1. اجرءات سحب المشروع (انهاء التعاقد)
2.معاملة تمديد تأخر صرف مستخلصات (14) يوم</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</si>
  <si>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t>
  </si>
  <si>
    <t>1. تم ارسال معاملة الإنهاء طبقا للمادة 50 أولا الفقرة رقم 2-ب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</si>
  <si>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</si>
  <si>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t>
  </si>
  <si>
    <t>1.تم مراجعة معاملة جدول الكميات المعدل من قبل ادارة الجدولة والتحكم بتاريخ 31/08/2026م
2. تم متابعة حاله الرفع علي النظام واخر افادة من قبل ادارة الانشاءات  بتاريخ 27/09/2026م ان مازال هناك مشكلة تقنية ولا يمكن رفع المعاملة وجاري المتابعة مع ادارة التقنية</t>
  </si>
  <si>
    <t>1. تم اعادة الرفع من فريق التشييد بتاريخ 08/09/2026م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 للإنتهاء من معاملة التمديد الحالية و الرفع بمعاملة فتح النطاق.</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</si>
  <si>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اعادة معاملة التخفيض من قبل ادارة الخدمات الفنية لوجود ملاحظات بالكميات بتاريخ 28/09/2026م
5. تم طلب اعادة ارسال معاملة التخفيض الي ادارة الخدمات الفنية بتاريخ 30/09/2026م
6. تم مراجعة طلب اصدار خطاب الانذار النهائي من قبل ادارة الجدولة والتحكم بالقطاع بتاريخ 30/09/2026م و توجيه ادارة الانشاءات لاستكمال التوقيعات
7. تم اصدار طلب خطاب انذار نهائي إلي ادارة الجدولة والتحكم بالمركز الرئيسي بتاريخ 01/10/2026م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</si>
  <si>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t>
  </si>
  <si>
    <t>1.متابعة طلب إصدار خطاب طلب الإستلام الإبتدائي من المقاول المخطط بتاريخ 10/10/2026 بعد اعتماد تقريراعمال الأختبار التشغيلي المخطط  الإنتهاء منه في 07/10/2026</t>
  </si>
  <si>
    <t xml:space="preserve">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t>
  </si>
  <si>
    <t xml:space="preserve">1. .تم إحالة الطلب من ادارة المشتريات بالقطاع الي ادارة الإنشاءات بالقطاع بتاريخ 29/09/2026م لتعديل طلب السحب الي طلب الإنهاء
2. تم توجية ادارة الإنشاءات من قبل ادارة الجدولة و التحكم بسرعة تعديل الطلب إلي انهاء بتاريخ 29/09/2026م </t>
  </si>
  <si>
    <t xml:space="preserve">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بتاريخ 28/09/2026 </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</si>
  <si>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(21.08%) حتي 01/10/2026 م </t>
  </si>
  <si>
    <t>مدة التوقف عن العمل بالشهور</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</si>
  <si>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إرسال معاملة الإستئناف من الإستشاري فيوتشر بتاريخ 05/10/2026  للمراجعة من الجدولة و التحكم بالقطاع</t>
  </si>
  <si>
    <t>0.00%</t>
  </si>
  <si>
    <t>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t>
  </si>
  <si>
    <t>1. تم اعتماد طلب (جدول معدل) على النظام APPROVED بتاريخ 31/08/20226م
2. تم تجهيز مسودة ايميل تصعيد الي مدير عام المشاريع بتاريخ 06/10/2026م بجميع المعاملات المتوقفة لدي ادارة المشتريات نتيجة مشكلة النظام</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</si>
  <si>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</si>
  <si>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</si>
  <si>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</si>
  <si>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</si>
  <si>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t>
  </si>
  <si>
    <t>1.تم رفع معاملة جدول الكميات المعدل رقم 1 بتاريخ 04/10/2026م الي ادارة المشتريات للمراجعة و الاعتماد
2. تم تجهيز مسودة ايميل تصعيد الي مدير عام المشاريع بتاريخ 06/10/2026م بجميع المعاملات المتوقفة لدي ادارة المشتريات نتيجة مشكلة النظام</t>
  </si>
  <si>
    <t>1. تم اعادة رفع معاملة جدول الكميات بس استيفاء الملاحظات بتاريخ 21/09/2026م
2. تم تجهيز مسودة ايميل تصعيد الي مدير عام المشاريع بتاريخ 06/10/2026م بجميع المعاملات المتوقفة لدي ادارة المشتريات نتيجة مشكلة النظام</t>
  </si>
  <si>
    <t>1. تم اعادة رفع المعامله الي ادارة المشتريات بتاريخ 09/09/2026م  بناءا علي البريد الكتروني المستلم منهم باعادة رفع المعاملات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</si>
  <si>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</si>
  <si>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اعادة الرفع من فريق التشييد بتاريخ 08/09/2026م
2. تم تجهيز مسودة ايميل تصعيد الي مدير عام المشاريع بتاريخ 06/10/2026م بجميع المعاملات المتوقفة لدي ادارة المشتريات نتيجة مشكلة النظام</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</si>
  <si>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تجهيز مسودة ايميل تصعيد الي مدير عام المشاريع بتاريخ 06/10/2026م بجميع المعاملات المتوقفة لدي ادارة المشتريات نتيجة مشكلة النظام</t>
  </si>
  <si>
    <t>1. تم إعادة رفع الطلب علي النظام بتاريخ 16/09/2026م لدي ادارة المشتريات بالقطاع للمراجعة.
2. تم الافادة من قبل ادارة الانشاءات ان هناك مشكلة تقنية تحيل دون اعادة رفع المعاملة و تم رفع تذكرة لحل المشكلة
3. تم تجهيز مسودة ايميل تصعيد الي مدير عام المشاريع بتاريخ 06/10/2026م بجميع المعاملات المتوقفة لدي ادارة المشتريات نتيجة مشكلة النظام</t>
  </si>
  <si>
    <t>1.تم مراجعة البرنامج الزمني المعدل و تم رفع البرنامج الزمني المعدل علي النظام بتاريخ 05/10/2026 للأعتماد</t>
  </si>
  <si>
    <t>1.تم اعتماد البرنامج الزمني المعدل علي النظام بتاريخ 06/10/2026</t>
  </si>
  <si>
    <t xml:space="preserve">1.زيادة معدلات الأداء و الإستلام الإبتدائي للمشروع
</t>
  </si>
  <si>
    <t>1. معاملة إنهاء العقد طبقا للمادة 50 الفقرة (أولا/2/ب) بسبب وفاه صاحب المؤسسة</t>
  </si>
  <si>
    <t>1. تم اصدار امر الشراء و تم تقديم البرنامج الزمني المعدل للمراجعة و الاعتماد من الجدولة و التحكم بالقطاع بتاريخ 07/10/2026</t>
  </si>
  <si>
    <t>1.يتم الإجتماع بشكل دوري مع التشغيل و الصيانة لإنهاء ملاحظات الاختبارات التشغيلية تمهيدا للبدء باجراءات الاستلام الابتدائي للمشروع قبل 31/10/2026.</t>
  </si>
  <si>
    <t>1. تم اصدار امر الشراء PO تمديد العقد (175) يوم رقم (601240160) بتاريخ 22/08/2026 و تم تقديم البرنامج  للاستشاري للمراجعة و ابداء الملاحظات 07/10/2026</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</si>
  <si>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</si>
  <si>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 و تم رفع تذكرة الي ادارة التقنية
6. تم ارسال ايميل تصعيد لمدير عام المشاريع بتاريخ 06/10/2026 بخصوص المعاملة</t>
  </si>
  <si>
    <t>10 نوفمبر 2026</t>
  </si>
  <si>
    <t>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t>
  </si>
  <si>
    <t>1. استئناف الاعمال الموقوفة جزئيا بنسبة 4.42%
2. استكمال اجراءات السحب (انهاء التعاقد)</t>
  </si>
  <si>
    <t>1.تم رفع البرنامج الزمني المعدل علي النظام بتاريخ 05/10/2026 للإعتماد</t>
  </si>
  <si>
    <t>1. اجرءات سحب المشروع (انهاء التعاقد)</t>
  </si>
  <si>
    <t>1.يتم متابعة طلب إصدار خطاب الإستلام الإبتدائي من المقاول المخطط بتاريخ 10/10/2026 بعد اعتماد تقريراعمال الأختبار التشغيلي المخطط  الإنتهاء منه في 08/10/2026</t>
  </si>
  <si>
    <t>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05/10/2026</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</si>
  <si>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t>
  </si>
  <si>
    <t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t>
  </si>
  <si>
    <t>1. معاملة استئناف الأعمال ثم التخفيض ثم إستكمال اجرءات سحب المشروع(انهاء التعاقد)</t>
  </si>
  <si>
    <t xml:space="preserve">1.يتم متابعة تقدم الاعمال وفقا للخطة المعتمدة  و اخفق المقاول في تحقيق النسبة المخططة (68.81%) حتي 07/10/2026 و توجيه الاستشاري بمتابعة الاعمال بصفة يومية و توجيه المقاول بزيادة المعدلات لتعويض التأخير عن الخطة التصحيحية
</t>
  </si>
  <si>
    <t>النسبة المطلوبة للخروج من التعثر / التأخر خلال أكتوبر 2026</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</si>
  <si>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t>
  </si>
  <si>
    <t>1. الإستلام الإبتدائي للمشروع 
2.إستكمال اجرءات سحب المشروع (انهاء التعاقد)</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</si>
  <si>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</si>
  <si>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</si>
  <si>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</si>
  <si>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t>
  </si>
  <si>
    <t>O1005</t>
  </si>
  <si>
    <t>P848-1</t>
  </si>
  <si>
    <t>O1021</t>
  </si>
  <si>
    <t>O1014</t>
  </si>
  <si>
    <t>P1498</t>
  </si>
  <si>
    <t>O267</t>
  </si>
  <si>
    <t>O394</t>
  </si>
  <si>
    <t>NA-00197</t>
  </si>
  <si>
    <t>03/17/2/01/0012/1</t>
  </si>
  <si>
    <t>08/23/2/11/0001/1</t>
  </si>
  <si>
    <t>03/23/2/08/0025/1</t>
  </si>
  <si>
    <t>03/23/2/12/0027/1</t>
  </si>
  <si>
    <t>08/23/2/01/0003/1</t>
  </si>
  <si>
    <t>08/23/2/04/0007/1</t>
  </si>
  <si>
    <t>08/23/2/01/0010/1</t>
  </si>
  <si>
    <t>03/23/2/02/0039/1</t>
  </si>
  <si>
    <t>3/25/2/2/O394/1</t>
  </si>
  <si>
    <t>3/26/2/1/NA-00197/1</t>
  </si>
  <si>
    <t>استكمال تنفيذ الخطوط الرئيسية وشبكات المياه بالمدينة المنورة</t>
  </si>
  <si>
    <t>مشروع استكمال شبكات المياه وأعمال الربط للخطوط الرئيسية وأعمال مواقع المياه  بمدينة تبوك</t>
  </si>
  <si>
    <t>استكمال إنشاء خزان مياه تجميعي 10,000م3 ببيضان محافظة المهد</t>
  </si>
  <si>
    <t>تنفيذ خط الصرف الصحي الرئيسي بالدعيثة</t>
  </si>
  <si>
    <t>استكمال مشروع توسعة محطة المعالجة بأملج إلى المرحلة الثلاثية</t>
  </si>
  <si>
    <t>استكمال الخطوط الرئيسية وشبكات الصرف الصحي بمدينة بدر</t>
  </si>
  <si>
    <t>شركة الصخرة العربية للمقاولات</t>
  </si>
  <si>
    <t>مؤسسة سنام للمقاولات</t>
  </si>
  <si>
    <t>شركة الرصف والبناء السعودية للتجارة والصناعة والمقاولات</t>
  </si>
  <si>
    <t>P829</t>
  </si>
  <si>
    <t>3/24/2/1/P829/1</t>
  </si>
  <si>
    <t>سلطان الحربي</t>
  </si>
  <si>
    <t>ليد حداد</t>
  </si>
  <si>
    <t>الإستلام الإبتدائي الجزئي</t>
  </si>
  <si>
    <t>انهاء تعاقد</t>
  </si>
  <si>
    <t>موقف مشاريع المدينة المنورة حتي 15 أكتوبر 2026 (10% تباين)</t>
  </si>
  <si>
    <t>المخطط % 15 اكتوبر2026</t>
  </si>
  <si>
    <t>الموقف المحدث لمشاريع القطاع الشمالي الغربي
 حتي 15 أكتوبر 2026</t>
  </si>
  <si>
    <t xml:space="preserve">1.تم اعتماد المسار  لخط الطوارئ لتغذية مسجد قباء من هيئة التطوير بالمدينه بتاريخ 07/10/2026 
2. تم الانتهاء من اعمال الرفع المساحي للخط من قبل المقاول  يوم 08 /10/ 2026
3. تم تقديم خطة توريدات لخط الطوارئ لتغذية مسجد قباء  بتاريخ 13/10/2026  
4. تم البدء في العمل في خط 400 متر   قطر  160 مم  Line 7-30-b-01 المستهدف في خطة الاستلامات الجزئية لعام 2026 </t>
  </si>
  <si>
    <t xml:space="preserve">1. تم تقديم طلب التشغيل التجريبي  من المقاول اليوم 13/10/2026 لمنطقة 3 ومن ثم سيتم الارسال لتسمية الاعضاء لتشكيل اللجنة </t>
  </si>
  <si>
    <t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t>
  </si>
  <si>
    <t xml:space="preserve">1. تم تقديم طلب التشغيل التجريبي بتاريخ 06/10/2026 وتم ارسال دعوة لتسمية تشكيل اللجنة وذلك لبدء الاستلام الجزئي لمنطقة ينبع النخيل 
2. تم الاجتماع مع المقاول والاستشاري  بتاريخ 11/10/2026  بسرعة الانتهاء من أعمال السفلتة وتسليم المختبر لعدد 6 تصاريح مفتوحة متأخرة خلال اسبوعين
 </t>
  </si>
  <si>
    <t>1. تم اصدار تصريح لعمل جسة استكشافية للخط القائم للتأكد من نوعية الخط القائم هل هو دكتايل ام اسبستوس نظراً لوجود خط قائم من الدكتايل ونظراً لوجود عدد 3 شبكيات + طفاية حريق على الخط القائم بتاريخ 12/10/2026</t>
  </si>
  <si>
    <t xml:space="preserve">1. تم تقديم المخططات التنفيذية  للنطاق البديل بحي المروج  للاستشاري من قبل المقاول  بعد تلافي الملاحظات  بتاريخ 13/10/2026 
2. تم طلب تشغيل تجريبي لمنطقة 2 بحي الحوراء بتاريخ 07/10/2026  للبدء في تشكيل اللجنة ومن ثم الاستلام الابتدائي الجزئي لتلك المنطقة   </t>
  </si>
  <si>
    <t xml:space="preserve">1.تم الاجتماع مع  اداره المحطه م عدنان الجابري بتاريخ 11/10/2026  و تنسيق   مكان نقطه الربط    داخل المحطه 
2.تم استأجر قطعه ارض من المقاول  و جاري تجهيز المكاتب  و منطقه التشوين و المعدات لبدء العمل   .
3.تم رفع تصريح بتاريخ 12/10/2026  تحت الاجراء حاليا  </t>
  </si>
  <si>
    <t xml:space="preserve">1. تم رفع تصاريح للاعتماد بتاريخ 08/10/2026  للمسار المعدلة في حي العزيزية  
2. تم تلافي ملاحظات معاملة الايقاف الجزئي من قبل المقاول وتم اعادة تقديمها بتاريخ اليوم  13/10/2026   </t>
  </si>
  <si>
    <t xml:space="preserve"> 1. تم تشكيل لجنة التشغيل التجريبي و زيارة للموقع اليوم بتاريخ 13/10/2026 لاختبار الاعمال والتشغيل التجريبي بمنطقة الملح بوادي الفرع 
</t>
  </si>
  <si>
    <t>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ولم يستجيب المقاول 
4. تم طلب مالك شركه المقاول في اجتماع اخر بتاريخ  14/10/2026 و لا يوجد استجابه من المقاول حتي الان   
5. يتم اعمال الحفر و التمديد بعدد 2 تصريح  و النتهاء بنهايه شهراكتوبر 2026</t>
  </si>
  <si>
    <t>1.تم الاجتماع مع ادارة الخدمات الفنية والاستشاري  بتاريخ 12/10/2026 لمناقشة موقف اعتماد جدول الكيمات المعدل حيث تم رفعه للخدمات الفنية بتاريخ 29/09/2026 مع رفض ادارة الخدمات الفنية تعديل كميات الاسفلت بجدول الكميات وطلبهم رفع المعاملة مباشرة للمركز الرئيسي للمراجعة والاعتماد</t>
  </si>
  <si>
    <t xml:space="preserve">1. تم توجيه الاستشاري و المقاول بضروره اصدار تصريح خلال هذا الاسبوع  لمحطه الرفع في منطقه 11  و البدء في التنفيذ و استكمال الاعتمادات الفنيه المتبقيه للمحطات قبل 20/10/2026 و متابعه اصدار امر الشراء لمحطات الرفع بالمشروع </t>
  </si>
  <si>
    <t>1.تم الاجتماع مع الاداره العليا للمقاول و مدير المشروع و مدير البرنامج بشركه المياه الوطنيه بتاريخ 04/10/2026  و تم التأكيد علي ضروره الالتزام  بأنهاء اعمال خطه خدمه موسم الحج و خطه الاستلامات الجزئيه و الشبكيات طبقا للتواريخ المستهدفه لكل خطه و استمرار اعمال التنفيذ و رفع نسب الانجاز 
2. تم رفض التصريح الثاني  لمبني الادلاء بتاريخ 11/10/2026 و تم اعاده الرفع بتاريخ اليوم 13/10/2026 بعد استيفاء متطلبات الامانه</t>
  </si>
  <si>
    <t>1. تم الانتهاء من الاختبارات التشغيليه بالكامل و اختبار نظام الكبس و التحبيب و التعبئه في اكياس بتاريخ 13/10/2026</t>
  </si>
  <si>
    <t xml:space="preserve">1. تم الاجتماع مع المقاول الاستشاري بتاريخ 11/10/2023 لتاخر اعملال التوريدات بالمشروع وتم توجيه المقاول بتقديم خطة توريدات محدثة وافاد المقاول بمشكلة في السيولة المالية بالمشروع لتاخر صرف المستخلصات </t>
  </si>
  <si>
    <t xml:space="preserve">.1 تم رفع اغلاق للتصريح المتأخر علي النظام 
2. تم رفع تصريح شبكيه خط ال500 علي الخط القائم قطر 1200 بتاريخ 12/10/2026 مما يخدم  خطه الحج و الاستلام الجزئي  لحي النخيل </t>
  </si>
  <si>
    <t xml:space="preserve">1.تم اعاده اعمال التصوير التلفزيوني لحي الصفق الاحمر مع قياس الخلوصات بين المواسيرطبقا لملاحظات التشغيل و الصيانه و تم طلب تقرير بإيستيفاء ملاحظات التشغيل و الصيانه من الاستشاري  بحد اقصي تاريخ 13/10/2026 </t>
  </si>
  <si>
    <t xml:space="preserve">1. تم الاجتماع مع المقاول بتاريخ 12/10/2026 للالتزام بالخطة التصحييحة والنسب المستهدفة في شهر أكتوبر ونوفمبر وكذلك التوصيات بزيادة عدد الفرق في منطقة 1   
2. تم توجيه المقاول لرفع تصاريح لمنطقة رقم 6 ، 8  وتم ادراجها في المتابعة اليومية والمستهدف فيها في شهري أكتوبر ونوفمبر 2026 للانتهاء من الاعمال المتبقية بالمنطقتين   
3. تم رفع تصريح بطول 400 متر في منطقة رقم 1 وتم اصداره وتم بدء الاعمال به اليوم بتاريخ 13/10/2026 </t>
  </si>
  <si>
    <t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t>
  </si>
  <si>
    <t>النسبة المطلوبة لتجنب التعثر خلال أكتوبر 2026 (%)</t>
  </si>
  <si>
    <t>النسبة المطلوبة للإنتظام خلال أكتوبر 2026 (%)</t>
  </si>
  <si>
    <t>موقف مشاريع المدينة المنورة حتي 15 أكتوبر 2026 (05% تباين)</t>
  </si>
  <si>
    <t>1.تم إعاده رفع  تصريح  الحفر( بطول 93 متر حفر مكشوف )  بعد استيفاء متطلبات الامانه و تم  رفع تصريح اخر  لغرفه الدفع للثقب الافقي بتاريخ 12/10/2026  
2- تم جدوله اجتماع  مع المقاول يوم 15/10/2026  لمناقشه البدء في الاعمال و انهاء المشروع بالمده التعاقديه 
3- تم توجيه الاستشاري بالايميل  12/10/2026 بإعداد تقرير يوثق حاله عدم البدء بالاعمال بالموقع و تحديد  تواريخ البدء  في  كل من اعمال الثقب الاقي و الحفر المكشوف</t>
  </si>
  <si>
    <t xml:space="preserve">1. تم ارسال المسار النهائي لمقترح الخط الناقل الي هيئه التطوير بعد استيفاء الملاحظات التي  تم الاتفاق عليها في الاجتماع  معهم 
2- جاري تنفيذ عدد 2 تصريح لربط المنطقه المخطط تسليمها جزئيا بتاريخ  10/10/2026 </t>
  </si>
  <si>
    <t>1.تم اعداد خطه اصدار تصاريح بجميع الاعمال المتبقيه بالمشروع 
2. تم رفع عدد 11 تصريح بطول حوالي  1 كم تحت الجراء حاليا  
3. تم تشكيل لجنه الاختبار التشغيلي و توجيه استشاري الاشراف بالتنسيق  لشخوص اللجنه  للبدء في اجراءات  الاختبار التشغيلي
4. تم  توجيه الاستشاري و المقاول  بإستكمال الاختبار التشغيلي للمحطات التي لم يتم إيصال التيار الكهربائي  لها بإستخدام مولدات  كهرباء الطواريء المورده ( بنود تعاقديه بجدول الكميات ) بتاريخ12/10/2026</t>
  </si>
  <si>
    <t xml:space="preserve">1.تم الاجتماع مع المقاول و الاستشاري  بالموقع بتاريخ  الخميس 08/10/2026 و الاتفاق علي خطه لانجاز الاعمال المتبقيه  بالمشروع بطول 9,400 متر بتاريخ 23/12/2026علي ان يتم المتابعه  تنفيذ الخطه بصوره يوميه 
2.تم التوجيه بضروره  حضور مدير مشاريع المقاول للاجتماع الاسبوعي  للتأكد من توفير الدعم الكافي للمشروع  بتاريخ12/10/2026 </t>
  </si>
  <si>
    <t>1. الاجتماع مع إدارة المقاول حضوريا  بتاريخ 13/10/2026 لمناقشة خطة توفير الموارد لتحقيق المستهدف لعام 2026م .</t>
  </si>
  <si>
    <t xml:space="preserve">1. عقد اجتماع تنسيقى مع المقاول  بمبنى شركة المياه الوطنيه بتاريخ 12/10/2026 و تم التوجيه المقاول  باستكمال متطلبات إصدار الرخص و بدء العمل فى الشوارع المنتهية ردم و اشعاره بانه سوف يتم اصدار انذار بسحب المشروع فى حال استمرار توقف الاعمال.
</t>
  </si>
  <si>
    <t>1. توجيه المقاول بعمل خطة اصدار تصاريح لتحقيق النسب المستهدفة و تعويض المدة الماضية بدون أعمال و تم تقديم الخطة بتاريخ 13/10/2026.</t>
  </si>
  <si>
    <t>1. معاملة استئناف الأعمال ثم انهاء التعاقد</t>
  </si>
  <si>
    <t>1. استئناف الاعمال الموقوفة جزئيا بنسبة 4.4%
2. استكمال اجراءات السحب (انهاء التعاقد)</t>
  </si>
  <si>
    <t>1. معاملة استئناف الأعمال ثم إستكمال اجرءات سحب المشروع(انهاء التعاقد)</t>
  </si>
  <si>
    <t>1. تم اعتماد طلب (جدول معدل) على النظام APPROVED بتاريخ 31/08/20226م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</si>
  <si>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احالة الطلب الي النائب التنفيذي للاعتماد بتاريخ 11/10/2026م
3. تم احالة الطلب من  المدير العام للخدمات الفنية بالمركز الرئيسي الي المدير التنفيذي للخدمات الفنية بالمركز الرئيسي بتاريخ 12/10/2026م للدراسة و الافادة</t>
  </si>
  <si>
    <t>1. تم اعادة رفع طلب التمديد الي ادارة المشتريات بتاريخ 10/09/2026م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</si>
  <si>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اعتماد طلب (جدول معدل) على النظام APPROVED بتاريخ 31/08/20226م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الافادة من قبل ادارة المشتريات بتاريخ 14/10/2026م انه سيتم اصدار امر الشراء خلال هذا الاسبوع</t>
  </si>
  <si>
    <t>1. تم اعادة رفع معاملة جدول الكميات بس استيفاء الملاحظات بتاريخ 21/09/2026م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</si>
  <si>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اعادة رفع المعامله الي ادارة المشتريات بتاريخ 09/09/2026م  بناءا علي البريد الكتروني المستلم منهم باعادة رفع المعاملات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</si>
  <si>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اعادة رفع طلب التمديد الي ادارة المشتريات بتاريخ 10/09/2026م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</si>
  <si>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إعادة رفع الطلب علي النظام بتاريخ 16/09/2026م لدي ادارة المشتريات بالقطاع للمراجعة.
2. تم الافادة من قبل ادارة الانشاءات ان هناك مشكلة تقنية تحيل دون اعادة رفع المعاملة و تم رفع تذكرة لحل المشكلة
3.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</si>
  <si>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1.تم اعتماد البرنامج الزمني المعدل نتيجة جدول الكميات المعدل علي النظام بتاريخ 13/10/2026</t>
  </si>
  <si>
    <t>1. استئناف الاعمال الموقوفة جزئيا بنسبة 4.42%
2.استكمال اجراءات السحب (انهاء التعاقد)</t>
  </si>
  <si>
    <t>1.تم اعتماد البرنامج الزمني المعدل علي النظام بتاريخ 13/10/2026 للإعتماد</t>
  </si>
  <si>
    <t>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</si>
  <si>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t>
  </si>
  <si>
    <t>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14/10/2026</t>
  </si>
  <si>
    <t>1. معاملة استحداث بند لاعمال الاسفلت
2. زيادة معدلات الإنجاز</t>
  </si>
  <si>
    <t>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t>
  </si>
  <si>
    <t>1.مخطط إصدار طلب خطاب الإستلام الإبتدائي من المقاول قبل 22/10/2026 م</t>
  </si>
  <si>
    <t>1. تم اصدار امر الشراء PO تمديد العقد (175) يوم رقم (601240160) بتاريخ 22/08/2026 و تم تقديم البرنامج  للاستشاري للمراجعة و ابداء الملاحظات قبل 15/10/2026</t>
  </si>
  <si>
    <t>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3. تحفظ المقاول عن التعويض عن اسعار الاسفلت وطلب المقاول 50 ريال للمتر  وارسل الرد رسمياً لسلاسل الامداد 12/10/2026</t>
  </si>
  <si>
    <t>1. تم الاجتماع مع ادارة قطار الحرمين لورود طلب منهم غير واضح  بتقديم الـ method of statement مع اضافة الـ track survey وافادوا انه سيتم مراجعة المختصين لديهم لمعرفة المطلوب تحديداً بتاريخ 06/10/2026  ( تم ارسال المتطلبات ولم يتم الرد من قبل قطار الحرمين رغم المتابعة ) 
2. تم اعداد تقرير بالمسار الزمني لمعاملات اعتماد اصدار تصريح المرور اسفل قطار الحرمين للاجتماع بالامارة للتصعيد لتاخر اصدار التصريح من جهة قطار الحرمين  13/10/2026 م</t>
  </si>
  <si>
    <t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5. تم الرد على ادارة سلاسل الامداد لطلبهم بالايميل سبب اصدار الانذار النهائي مع ان المقاول متقدم وتم الرد عليهم بان تقدم المقاول ناتج عن تمديدات مجلس الادارة وليس مقابل انجاز فعلي 
6. تم رد معاملة طلب اصدار الانذار النهائي من سلاسل الامداد الى الجدولة والتحكم بالمركز الرئيسي </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</si>
  <si>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t>
  </si>
  <si>
    <t>1. تم الاجتماع مع المقاول للتوجيه بالانتهاء من اعمال الاسفلت للتصريح المفتوح والمتأخر وكذلك سداد الغرامات لعدد 3 تصاريح أخري متأخرة مفتوحة علي النظام قبل 31/10/2026</t>
  </si>
  <si>
    <t xml:space="preserve">1. تم بدء أعمال الأسفلت بتاريخ 12/10/2026 لعدد 3 تصاريح مفتوحة متأخرة وذلك للتمهيد لاتمام الاعمال و لاغلاق الرخص  </t>
  </si>
  <si>
    <t>1.ضعف امكانيات المقاول المادية والفنية 
2.التاخر الشديد فى اغلاق التصاريح القديمة وعدم فتح تصاريح جديدة (يوجد عدد 4 تصاريح متأخره بسبب عدم انتهاء المقاول من الأعمال وضعف التوريدات بالمشروع )
3. ضعف التوريدات بالمشروع   
4. وفاه صاحب المؤسسة منذ اكثر من عام</t>
  </si>
  <si>
    <t>1. تم اصدار خطاب انذار نهائي للمقاول لتوقف الاعمال لمدة 15 يوم متصلة بتاريخ 01/09/2026 
2. تم رفض الخطه تصحيحية المرسلة من جانب المقاول علي النظام بتاريخ 13/10/2026</t>
  </si>
  <si>
    <t xml:space="preserve">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</si>
  <si>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</si>
  <si>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</si>
  <si>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اعتماد معامله التمديد علي النظام بتاريخ 15/10/2026 و تم احالة الطلب الي ادارة المشتريات بالقطاع لاضدار امر الشراء</t>
  </si>
  <si>
    <t>S</t>
  </si>
  <si>
    <r>
      <t>التأثير علي المشروع</t>
    </r>
    <r>
      <rPr>
        <sz val="11"/>
        <color rgb="FF002060"/>
        <rFont val="Segoe UI Semibold"/>
        <family val="2"/>
      </rPr>
      <t>2</t>
    </r>
  </si>
  <si>
    <t>1.توجيه المقاول  بالالتزام بمتطلبات الامن و السلامة و تم توفير بعض الموارد الخاصة بامور السلامة العامة و  سند الجوانب و  التحكم المرورى، وتطبيق الغرامات الرادعة على المقاول من جانب قسم الأمن والسلامة التابع لإدارة المشروعات، وسيتم الاجتماع مع الإدارة العليا للمقاول بتاريخ 03/09/2026.
2. توجيه المقاول  بتوفير الموارد اللازمة  بما يحقق نسب الإنجاز المطلوبة حسب الجدول الزمنى المعتمد.</t>
  </si>
  <si>
    <t xml:space="preserve">1. حث المقاول خلال الاجتماع الاسبوعى بتاريخ 12/10/2026 على زيادة فرق العمل و فتح رخص حفر جديدة و سرعة إغلاق الرخص المنتهية و توفير سند الجوانب. </t>
  </si>
  <si>
    <t>جاري رفع البرنامج الزمني</t>
  </si>
  <si>
    <t>1. معاملة إنهاء العقد من الطرف الأول</t>
  </si>
  <si>
    <t>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مخطط الإنتهاء من التوقيعات و الرفع لمعاملة السحب بتاريخ 18/10/2026 م</t>
  </si>
  <si>
    <t>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مخطط الإنتهاء من التوقيعات و الرفع لمعاملة السحب بتاريخ 18/10/2026 م</t>
  </si>
  <si>
    <t>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</si>
  <si>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مخطط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t>
  </si>
  <si>
    <t>1. تم اعادة رفع معاملة التمديد من ادارة الانشاءات بتاريخ 08/09/2026م
2. تم إحالة معامله التمديد من ادارة المشتريات الي الادارة القانونية بتاريخ 14/10/2026م
3. تم التواصل مع ادارة الانشاءات بتاريخ 14/10/2026م للتعجيل باعداد معامله فتح النطاق لتكون جاهزه بمجرد اعتماد طلب التمديد
4. تم اعتماد الخطة التصحيحية المرسل من جانب المقاول بتاريخ 13/10/2026 م و اخفق المقاول في تحقيق النسب المخططة  54.56%
5. تم اعتماد معامله التمديد علي النظام بتاريخ 15/10/2026 و تم احالة الطلب الي ادارة المشتريات بالقطاع لاضدار امر الشراء
6. تم إرسال بريد الكتروني من الجدولة و التحكم  إلي ادارة المشتريات لسرعة اصدار P.O</t>
  </si>
  <si>
    <t>1. معاملة استحداث بند لاعمال الاسفلت
2. معاملة تمديد لتأخر صرف المستخلصات بمدة 24 يوم
3. معاملة استئناف الأعمال</t>
  </si>
  <si>
    <t>1. تم توجيه الإستشاري فيوتشر بالبريد الإلكتروني بتاريخ 15/10/2026 لإعداد معاملة تمديد لتأخر صرف المستخلصات بمدة 24 يوم
2. مخطط إرسال معاملة تمديد تأخر صرف المستخلصات بمدة 24 يوم إلي الجدولة و التحكم بتاريخ 18/10/2026 م</t>
  </si>
  <si>
    <t xml:space="preserve">1. معاملة تمديد زمني (17) يوم نتيجة تأخر صرف المستخلصات
2.جدول الكميات المعدل رقم (1)
</t>
  </si>
  <si>
    <t>1. زيادة معدلات الانجاز</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</si>
  <si>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مخطط طلب استشارة قانونية بتاريخ 18/10/2026 م  بخصوص انهاء التعاقد</t>
  </si>
  <si>
    <t>تصنيف المعاملات</t>
  </si>
  <si>
    <t>معاملة انهاء تعاقد</t>
  </si>
  <si>
    <t>معاملة جدول الكميات</t>
  </si>
  <si>
    <t>معاملة تمديد زمني لتأخر صرف المستخلصات</t>
  </si>
  <si>
    <t xml:space="preserve">معاملة جدول الكميات </t>
  </si>
  <si>
    <t>معاملة استحداث بنود</t>
  </si>
  <si>
    <t>معاملة التمديد الزمني نتيجة الإستئناف</t>
  </si>
  <si>
    <t>معاملة جدول الكميات المعدل</t>
  </si>
  <si>
    <t>معاملة تخفيض الاعمال</t>
  </si>
  <si>
    <t xml:space="preserve">معاملة تغيير نطاق العقد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</si>
</sst>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409]d\-mmm\-yy;@"/>
    <numFmt numFmtId="166" formatCode="0,,\ &quot;M&quot;"/>
    <numFmt numFmtId="167" formatCode="yyyy/mm/dd;@"/>
    <numFmt numFmtId="168" formatCode="dd\-mmm\-yyyy"/>
    <numFmt numFmtId="169" formatCode="[$-409]d\-mmm\-yyyy;@"/>
    <numFmt numFmtId="170" formatCode="[$-409]mmmm\ d\,\ yyyy;@"/>
    <numFmt numFmtId="171" formatCode="#,##0.00_ ;\-#,##0.00\ "/>
    <numFmt numFmtId="172" formatCode="[$-809]dd\ mmmm\ yyyy;@"/>
    <numFmt numFmtId="173" formatCode="0.0%"/>
    <numFmt numFmtId="174" formatCode="#,##0.0"/>
    <numFmt numFmtId="175" formatCode="[$-409]mmmm\-yy;@"/>
    <numFmt numFmtId="176" formatCode="[Blue]0.00%\▲;[Red]\-0.00%\▼;[Black]0.00%"/>
    <numFmt numFmtId="177" formatCode="[Red]0.00%\▲;[Red]\-0.00%\▼;[Black]0.00%"/>
    <numFmt numFmtId="178" formatCode="yyyy\-mm\-dd;@"/>
    <numFmt numFmtId="179" formatCode="[$-10B0000]d\ mmmm\ yyyy;@"/>
    <numFmt numFmtId="180" formatCode="[Blue]0.00%\▲;[Blue]\-0.00%\▼;[Black]0.00%"/>
    <numFmt numFmtId="181" formatCode="0.0"/>
    <numFmt numFmtId="182" formatCode="0.000"/>
  </numFmts>
  <fonts count="100">
    <font>
      <sz val="11"/>
      <color theme="1"/>
      <name val="Calibri"/>
      <family val="2"/>
      <scheme val="minor"/>
    </font>
    <font>
      <sz val="11"/>
      <color theme="1"/>
      <name val="Calibri"/>
      <family val="2"/>
      <scheme val="minor"/>
    </font>
    <font>
      <b/>
      <i/>
      <sz val="18"/>
      <color theme="0"/>
      <name val="Sakkal Majalla"/>
    </font>
    <font>
      <sz val="8"/>
      <name val="Calibri"/>
      <family val="2"/>
      <scheme val="minor"/>
    </font>
    <font>
      <b/>
      <sz val="11"/>
      <color theme="1"/>
      <name val="Calibri"/>
      <family val="2"/>
      <scheme val="minor"/>
    </font>
    <font>
      <sz val="10"/>
      <name val="Sakkal Majalla"/>
    </font>
    <font>
      <sz val="10"/>
      <color theme="1"/>
      <name val="Calibri"/>
      <family val="2"/>
      <scheme val="minor"/>
    </font>
    <font>
      <sz val="10"/>
      <name val="Calibri"/>
      <family val="2"/>
      <scheme val="minor"/>
    </font>
    <font>
      <sz val="10"/>
      <color theme="0"/>
      <name val="Sakkal Majalla"/>
    </font>
    <font>
      <sz val="11"/>
      <name val="Calibri"/>
      <family val="2"/>
      <scheme val="minor"/>
    </font>
    <font>
      <sz val="10"/>
      <color rgb="FFFF0000"/>
      <name val="Calibri"/>
      <family val="2"/>
      <scheme val="minor"/>
    </font>
    <font>
      <sz val="9"/>
      <color rgb="FF000000"/>
      <name val="KO Sans Medium"/>
    </font>
    <font>
      <sz val="9"/>
      <color rgb="FF000000"/>
      <name val="Calibri"/>
      <family val="2"/>
      <scheme val="minor"/>
    </font>
    <font>
      <b/>
      <u/>
      <sz val="16"/>
      <color theme="1"/>
      <name val="Calibri"/>
      <family val="2"/>
      <scheme val="minor"/>
    </font>
    <font>
      <b/>
      <sz val="11"/>
      <color theme="0"/>
      <name val="Sakkal Majalla"/>
    </font>
    <font>
      <sz val="11"/>
      <color theme="5"/>
      <name val="Calibri"/>
      <family val="2"/>
      <scheme val="minor"/>
    </font>
    <font>
      <sz val="11"/>
      <color rgb="FF7030A0"/>
      <name val="Calibri"/>
      <family val="2"/>
      <scheme val="minor"/>
    </font>
    <font>
      <b/>
      <sz val="11"/>
      <name val="Calibri"/>
      <family val="2"/>
      <scheme val="minor"/>
    </font>
    <font>
      <b/>
      <sz val="11"/>
      <color theme="0"/>
      <name val="Calibri"/>
      <family val="2"/>
      <scheme val="minor"/>
    </font>
    <font>
      <b/>
      <sz val="11"/>
      <color rgb="FFFF0000"/>
      <name val="Calibri"/>
      <family val="2"/>
      <scheme val="minor"/>
    </font>
    <font>
      <b/>
      <sz val="11"/>
      <color rgb="FF000000"/>
      <name val="Calibri"/>
      <family val="2"/>
    </font>
    <font>
      <sz val="11"/>
      <color theme="1"/>
      <name val="Calibri"/>
      <family val="2"/>
    </font>
    <font>
      <b/>
      <sz val="12"/>
      <color theme="0"/>
      <name val="Calibri"/>
      <family val="2"/>
      <scheme val="minor"/>
    </font>
    <font>
      <sz val="10"/>
      <color rgb="FF3C57F6"/>
      <name val="Sakkal Majalla"/>
    </font>
    <font>
      <sz val="10"/>
      <color theme="1"/>
      <name val="Sakkal Majalla"/>
    </font>
    <font>
      <sz val="11"/>
      <color theme="0"/>
      <name val="Sakkal Majalla"/>
    </font>
    <font>
      <sz val="12"/>
      <color theme="1"/>
      <name val="Arial"/>
      <family val="2"/>
    </font>
    <font>
      <sz val="12"/>
      <color theme="1"/>
      <name val="Calibri"/>
      <family val="2"/>
      <scheme val="minor"/>
    </font>
    <font>
      <b/>
      <sz val="10"/>
      <color rgb="FFFF0000"/>
      <name val="Calibri"/>
      <family val="2"/>
      <scheme val="minor"/>
    </font>
    <font>
      <sz val="10"/>
      <color rgb="FF3C57F6"/>
      <name val="Calibri"/>
      <family val="2"/>
      <scheme val="minor"/>
    </font>
    <font>
      <b/>
      <u/>
      <sz val="16"/>
      <name val="Calibri"/>
      <family val="2"/>
      <scheme val="minor"/>
    </font>
    <font>
      <b/>
      <sz val="11"/>
      <name val="Sakkal Majalla"/>
    </font>
    <font>
      <b/>
      <sz val="10"/>
      <color theme="1"/>
      <name val="Calibri"/>
      <family val="2"/>
      <scheme val="minor"/>
    </font>
    <font>
      <sz val="10"/>
      <color rgb="FF000000"/>
      <name val="Sakkal Majalla"/>
    </font>
    <font>
      <sz val="10"/>
      <color rgb="FF000000"/>
      <name val="Calibri"/>
      <family val="2"/>
      <scheme val="minor"/>
    </font>
    <font>
      <sz val="11"/>
      <color rgb="FF3C57F6"/>
      <name val="Calibri"/>
      <family val="2"/>
      <scheme val="minor"/>
    </font>
    <font>
      <sz val="11"/>
      <color rgb="FF0070C0"/>
      <name val="Calibri"/>
      <family val="2"/>
      <scheme val="minor"/>
    </font>
    <font>
      <sz val="11"/>
      <color rgb="FF0000FF"/>
      <name val="Calibri"/>
      <family val="2"/>
      <scheme val="minor"/>
    </font>
    <font>
      <sz val="10"/>
      <color rgb="FF0000FF"/>
      <name val="Calibri"/>
      <family val="2"/>
      <scheme val="minor"/>
    </font>
    <font>
      <b/>
      <sz val="10"/>
      <color rgb="FFC00000"/>
      <name val="Sakkal Majalla"/>
    </font>
    <font>
      <sz val="10"/>
      <color rgb="FFC00000"/>
      <name val="Sakkal Majalla"/>
    </font>
    <font>
      <b/>
      <sz val="11"/>
      <color rgb="FFC00000"/>
      <name val="Sakkal Majalla"/>
    </font>
    <font>
      <b/>
      <sz val="12"/>
      <color theme="1"/>
      <name val="Calibri"/>
      <family val="2"/>
      <scheme val="minor"/>
    </font>
    <font>
      <sz val="11"/>
      <color theme="0"/>
      <name val="Calibri"/>
      <family val="2"/>
      <scheme val="minor"/>
    </font>
    <font>
      <b/>
      <sz val="11"/>
      <color rgb="FFFF0000"/>
      <name val="Sakkal Majalla"/>
    </font>
    <font>
      <b/>
      <sz val="10"/>
      <color rgb="FFFF0000"/>
      <name val="Sakkal Majalla"/>
    </font>
    <font>
      <b/>
      <u/>
      <sz val="16"/>
      <color rgb="FFFF0000"/>
      <name val="Calibri"/>
      <family val="2"/>
      <scheme val="minor"/>
    </font>
    <font>
      <sz val="11"/>
      <color rgb="FFFF0000"/>
      <name val="Calibri"/>
      <family val="2"/>
      <scheme val="minor"/>
    </font>
    <font>
      <sz val="10"/>
      <color rgb="FFFF0000"/>
      <name val="Sakkal Majalla"/>
    </font>
    <font>
      <b/>
      <sz val="11"/>
      <color rgb="FF3C57F6"/>
      <name val="Calibri"/>
      <family val="2"/>
      <scheme val="minor"/>
    </font>
    <font>
      <b/>
      <sz val="16"/>
      <name val="Calibri"/>
      <family val="2"/>
      <scheme val="minor"/>
    </font>
    <font>
      <sz val="11"/>
      <name val="Aptos Narrow"/>
      <family val="2"/>
    </font>
    <font>
      <sz val="11"/>
      <color theme="1"/>
      <name val="Calibri"/>
      <family val="2"/>
    </font>
    <font>
      <sz val="10"/>
      <name val="Arial"/>
      <family val="2"/>
    </font>
    <font>
      <sz val="18"/>
      <name val="Arial"/>
      <family val="2"/>
    </font>
    <font>
      <b/>
      <sz val="11"/>
      <color rgb="FFFFFFFF"/>
      <name val="Dubai"/>
      <family val="2"/>
    </font>
    <font>
      <b/>
      <sz val="10.5"/>
      <color rgb="FFFFFFFF"/>
      <name val="Dubai"/>
      <family val="2"/>
    </font>
    <font>
      <b/>
      <sz val="10"/>
      <color rgb="FFFFFFFF"/>
      <name val="Dubai"/>
      <family val="2"/>
    </font>
    <font>
      <sz val="11"/>
      <color rgb="FF002060"/>
      <name val="Dubai"/>
      <family val="2"/>
    </font>
    <font>
      <b/>
      <sz val="18"/>
      <color rgb="FFFFFFFF"/>
      <name val="Dubai"/>
      <family val="2"/>
    </font>
    <font>
      <b/>
      <sz val="16"/>
      <color rgb="FFFFFFFF"/>
      <name val="Dubai"/>
      <family val="2"/>
    </font>
    <font>
      <sz val="11"/>
      <name val="Dubai"/>
      <family val="2"/>
    </font>
    <font>
      <sz val="11"/>
      <name val="Arial"/>
      <family val="2"/>
    </font>
    <font>
      <sz val="11"/>
      <name val="+mj-lt"/>
    </font>
    <font>
      <sz val="11"/>
      <color rgb="FF3C57F6"/>
      <name val="Dubai"/>
      <family val="2"/>
    </font>
    <font>
      <sz val="11"/>
      <color rgb="FFFF0000"/>
      <name val="Dubai"/>
      <family val="2"/>
    </font>
    <font>
      <b/>
      <sz val="11"/>
      <name val="Dubai"/>
      <family val="2"/>
    </font>
    <font>
      <b/>
      <sz val="11"/>
      <color rgb="FF3C57F6"/>
      <name val="Dubai"/>
      <family val="2"/>
    </font>
    <font>
      <b/>
      <sz val="11"/>
      <color rgb="FF002060"/>
      <name val="Dubai"/>
      <family val="2"/>
    </font>
    <font>
      <sz val="11"/>
      <color rgb="FF3C57F6"/>
      <name val="Arial"/>
      <family val="2"/>
    </font>
    <font>
      <b/>
      <sz val="11"/>
      <color theme="0"/>
      <name val="Dubai"/>
      <family val="2"/>
    </font>
    <font>
      <sz val="11"/>
      <color rgb="FFFF0000"/>
      <name val="Sakkal Majalla"/>
    </font>
    <font>
      <sz val="10"/>
      <name val="Dubai"/>
      <family val="2"/>
    </font>
    <font>
      <sz val="10"/>
      <color theme="0"/>
      <name val="Dubai"/>
      <family val="2"/>
    </font>
    <font>
      <sz val="10"/>
      <color theme="1"/>
      <name val="Dubai"/>
      <family val="2"/>
    </font>
    <font>
      <sz val="10"/>
      <color rgb="FFFF0000"/>
      <name val="Dubai"/>
      <family val="2"/>
    </font>
    <font>
      <b/>
      <u/>
      <sz val="11"/>
      <color theme="0"/>
      <name val="Dubai"/>
      <family val="2"/>
    </font>
    <font>
      <b/>
      <u/>
      <sz val="20"/>
      <color rgb="FF002060"/>
      <name val="Calibri"/>
      <family val="2"/>
      <scheme val="minor"/>
    </font>
    <font>
      <b/>
      <sz val="14"/>
      <color theme="0"/>
      <name val="Calibri"/>
      <family val="2"/>
      <scheme val="minor"/>
    </font>
    <font>
      <b/>
      <u/>
      <sz val="14"/>
      <name val="Calibri"/>
      <family val="2"/>
      <scheme val="minor"/>
    </font>
    <font>
      <b/>
      <sz val="14"/>
      <name val="Calibri"/>
      <family val="2"/>
      <scheme val="minor"/>
    </font>
    <font>
      <b/>
      <u/>
      <sz val="14"/>
      <color theme="0"/>
      <name val="Calibri"/>
      <family val="2"/>
      <scheme val="minor"/>
    </font>
    <font>
      <sz val="16"/>
      <color theme="1"/>
      <name val="Calibri"/>
      <family val="2"/>
      <scheme val="minor"/>
    </font>
    <font>
      <b/>
      <sz val="11"/>
      <color rgb="FFFF0000"/>
      <name val="Calibri"/>
      <family val="2"/>
    </font>
    <font>
      <b/>
      <sz val="11"/>
      <color rgb="FFFF0000"/>
      <name val="Dubai"/>
      <family val="2"/>
    </font>
    <font>
      <b/>
      <sz val="10"/>
      <name val="Calibri"/>
      <family val="2"/>
      <scheme val="minor"/>
    </font>
    <font>
      <sz val="10"/>
      <color rgb="FF3C57F6"/>
      <name val="Dubai"/>
      <family val="2"/>
    </font>
    <font>
      <sz val="10"/>
      <name val="Segoe UI Semibold"/>
      <family val="2"/>
    </font>
    <font>
      <sz val="11"/>
      <color theme="0"/>
      <name val="Segoe UI Semibold"/>
      <family val="2"/>
    </font>
    <font>
      <u/>
      <sz val="11"/>
      <color theme="0"/>
      <name val="Segoe UI Semibold"/>
      <family val="2"/>
    </font>
    <font>
      <sz val="10"/>
      <color rgb="FFFF0000"/>
      <name val="Segoe UI Semibold"/>
      <family val="2"/>
    </font>
    <font>
      <sz val="10"/>
      <color theme="0"/>
      <name val="Segoe UI Semibold"/>
      <family val="2"/>
    </font>
    <font>
      <sz val="10"/>
      <color theme="1"/>
      <name val="Segoe UI Semibold"/>
      <family val="2"/>
    </font>
    <font>
      <sz val="11"/>
      <color rgb="FF000000"/>
      <name val="Segoe UI Semibold"/>
      <family val="2"/>
    </font>
    <font>
      <sz val="11"/>
      <color theme="1"/>
      <name val="Segoe UI Semibold"/>
      <family val="2"/>
    </font>
    <font>
      <sz val="10"/>
      <color rgb="FF3C57F6"/>
      <name val="Segoe UI Semibold"/>
      <family val="2"/>
    </font>
    <font>
      <sz val="11"/>
      <color rgb="FF3C57F6"/>
      <name val="Segoe UI Semibold"/>
      <family val="2"/>
    </font>
    <font>
      <sz val="11"/>
      <color rgb="FFFF0000"/>
      <name val="Segoe UI Semibold"/>
      <family val="2"/>
    </font>
    <font>
      <u/>
      <sz val="11"/>
      <color rgb="FFFFFF00"/>
      <name val="Segoe UI Semibold"/>
      <family val="2"/>
    </font>
    <font>
      <sz val="11"/>
      <color rgb="FF002060"/>
      <name val="Segoe UI Semibold"/>
      <family val="2"/>
    </font>
  </fonts>
  <fills count="27">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FF0000"/>
        <bgColor indexed="64"/>
      </patternFill>
    </fill>
    <fill>
      <patternFill patternType="solid">
        <fgColor theme="4"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3C57F6"/>
        <bgColor indexed="64"/>
      </patternFill>
    </fill>
    <fill>
      <patternFill patternType="solid">
        <fgColor rgb="FF1BADAD"/>
        <bgColor indexed="64"/>
      </patternFill>
    </fill>
    <fill>
      <patternFill patternType="solid">
        <fgColor rgb="FF002060"/>
        <bgColor indexed="64"/>
      </patternFill>
    </fill>
    <fill>
      <patternFill patternType="solid">
        <fgColor rgb="FF002060"/>
        <bgColor theme="4"/>
      </patternFill>
    </fill>
    <fill>
      <patternFill patternType="solid">
        <fgColor theme="8" tint="0.79998168889431442"/>
        <bgColor indexed="64"/>
      </patternFill>
    </fill>
    <fill>
      <patternFill patternType="solid">
        <fgColor theme="0"/>
        <bgColor theme="4" tint="0.79998168889431442"/>
      </patternFill>
    </fill>
    <fill>
      <patternFill patternType="solid">
        <fgColor theme="8" tint="0.79998168889431442"/>
        <bgColor theme="4" tint="0.79998168889431442"/>
      </patternFill>
    </fill>
    <fill>
      <patternFill patternType="solid">
        <fgColor theme="7"/>
        <bgColor indexed="64"/>
      </patternFill>
    </fill>
    <fill>
      <patternFill patternType="solid">
        <fgColor theme="9" tint="0.79998168889431442"/>
        <bgColor indexed="64"/>
      </patternFill>
    </fill>
    <fill>
      <patternFill patternType="solid">
        <fgColor rgb="FFC00000"/>
        <bgColor indexed="64"/>
      </patternFill>
    </fill>
    <fill>
      <patternFill patternType="solid">
        <fgColor theme="8" tint="0.79998168889431442"/>
        <bgColor theme="8" tint="0.79998168889431442"/>
      </patternFill>
    </fill>
    <fill>
      <patternFill patternType="solid">
        <fgColor theme="0"/>
        <bgColor theme="8" tint="0.79998168889431442"/>
      </patternFill>
    </fill>
    <fill>
      <patternFill patternType="solid">
        <fgColor rgb="FFFFFF00"/>
        <bgColor theme="8" tint="0.79998168889431442"/>
      </patternFill>
    </fill>
    <fill>
      <patternFill patternType="solid">
        <fgColor theme="4"/>
        <bgColor indexed="64"/>
      </patternFill>
    </fill>
    <fill>
      <patternFill patternType="solid">
        <fgColor theme="5"/>
        <bgColor indexed="64"/>
      </patternFill>
    </fill>
    <fill>
      <patternFill patternType="solid">
        <fgColor theme="8" tint="0.79998168889431442"/>
        <bgColor rgb="FF000000"/>
      </patternFill>
    </fill>
    <fill>
      <patternFill patternType="solid">
        <fgColor theme="5" tint="0.59999389629810485"/>
        <bgColor indexed="64"/>
      </patternFill>
    </fill>
  </fills>
  <borders count="9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double">
        <color indexed="64"/>
      </left>
      <right style="thin">
        <color auto="1"/>
      </right>
      <top style="thin">
        <color auto="1"/>
      </top>
      <bottom style="thin">
        <color auto="1"/>
      </bottom>
      <diagonal/>
    </border>
    <border>
      <left/>
      <right style="thin">
        <color auto="1"/>
      </right>
      <top style="thin">
        <color auto="1"/>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double">
        <color auto="1"/>
      </right>
      <top style="thin">
        <color auto="1"/>
      </top>
      <bottom style="thin">
        <color auto="1"/>
      </bottom>
      <diagonal/>
    </border>
    <border>
      <left/>
      <right/>
      <top style="thin">
        <color indexed="64"/>
      </top>
      <bottom style="double">
        <color indexed="64"/>
      </bottom>
      <diagonal/>
    </border>
    <border>
      <left/>
      <right style="double">
        <color auto="1"/>
      </right>
      <top style="double">
        <color auto="1"/>
      </top>
      <bottom/>
      <diagonal/>
    </border>
    <border>
      <left style="double">
        <color auto="1"/>
      </left>
      <right style="thin">
        <color auto="1"/>
      </right>
      <top style="thin">
        <color auto="1"/>
      </top>
      <bottom/>
      <diagonal/>
    </border>
    <border>
      <left style="thin">
        <color indexed="64"/>
      </left>
      <right style="double">
        <color indexed="64"/>
      </right>
      <top style="double">
        <color indexed="64"/>
      </top>
      <bottom style="thin">
        <color indexed="64"/>
      </bottom>
      <diagonal/>
    </border>
    <border>
      <left style="double">
        <color indexed="64"/>
      </left>
      <right style="thin">
        <color auto="1"/>
      </right>
      <top style="thin">
        <color auto="1"/>
      </top>
      <bottom style="double">
        <color auto="1"/>
      </bottom>
      <diagonal/>
    </border>
    <border>
      <left style="thin">
        <color auto="1"/>
      </left>
      <right style="double">
        <color auto="1"/>
      </right>
      <top style="thin">
        <color auto="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bottom/>
      <diagonal/>
    </border>
    <border>
      <left/>
      <right style="thin">
        <color auto="1"/>
      </right>
      <top style="thin">
        <color auto="1"/>
      </top>
      <bottom style="double">
        <color auto="1"/>
      </bottom>
      <diagonal/>
    </border>
    <border>
      <left style="double">
        <color auto="1"/>
      </left>
      <right style="thin">
        <color auto="1"/>
      </right>
      <top/>
      <bottom/>
      <diagonal/>
    </border>
    <border>
      <left style="double">
        <color auto="1"/>
      </left>
      <right style="double">
        <color auto="1"/>
      </right>
      <top style="double">
        <color auto="1"/>
      </top>
      <bottom/>
      <diagonal/>
    </border>
    <border>
      <left style="double">
        <color indexed="64"/>
      </left>
      <right style="thin">
        <color auto="1"/>
      </right>
      <top style="double">
        <color indexed="64"/>
      </top>
      <bottom/>
      <diagonal/>
    </border>
    <border>
      <left style="thin">
        <color indexed="64"/>
      </left>
      <right style="thin">
        <color auto="1"/>
      </right>
      <top style="double">
        <color indexed="64"/>
      </top>
      <bottom/>
      <diagonal/>
    </border>
    <border>
      <left/>
      <right/>
      <top style="double">
        <color auto="1"/>
      </top>
      <bottom/>
      <diagonal/>
    </border>
    <border>
      <left/>
      <right/>
      <top/>
      <bottom style="double">
        <color auto="1"/>
      </bottom>
      <diagonal/>
    </border>
    <border>
      <left style="thin">
        <color indexed="64"/>
      </left>
      <right style="thin">
        <color indexed="64"/>
      </right>
      <top/>
      <bottom style="double">
        <color auto="1"/>
      </bottom>
      <diagonal/>
    </border>
    <border>
      <left style="thin">
        <color indexed="64"/>
      </left>
      <right style="double">
        <color auto="1"/>
      </right>
      <top/>
      <bottom style="double">
        <color auto="1"/>
      </bottom>
      <diagonal/>
    </border>
    <border>
      <left style="thin">
        <color indexed="64"/>
      </left>
      <right/>
      <top style="double">
        <color auto="1"/>
      </top>
      <bottom/>
      <diagonal/>
    </border>
    <border>
      <left style="double">
        <color auto="1"/>
      </left>
      <right/>
      <top style="double">
        <color auto="1"/>
      </top>
      <bottom/>
      <diagonal/>
    </border>
    <border>
      <left style="thin">
        <color indexed="64"/>
      </left>
      <right/>
      <top/>
      <bottom/>
      <diagonal/>
    </border>
    <border>
      <left style="double">
        <color auto="1"/>
      </left>
      <right style="thin">
        <color indexed="64"/>
      </right>
      <top/>
      <bottom style="double">
        <color auto="1"/>
      </bottom>
      <diagonal/>
    </border>
    <border>
      <left style="thin">
        <color indexed="64"/>
      </left>
      <right/>
      <top/>
      <bottom style="double">
        <color auto="1"/>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top style="thin">
        <color indexed="64"/>
      </top>
      <bottom/>
      <diagonal/>
    </border>
    <border>
      <left style="double">
        <color indexed="64"/>
      </left>
      <right/>
      <top/>
      <bottom/>
      <diagonal/>
    </border>
    <border>
      <left style="double">
        <color auto="1"/>
      </left>
      <right/>
      <top style="thin">
        <color indexed="64"/>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indexed="64"/>
      </left>
      <right/>
      <top/>
      <bottom style="double">
        <color indexed="64"/>
      </bottom>
      <diagonal/>
    </border>
    <border>
      <left/>
      <right style="double">
        <color auto="1"/>
      </right>
      <top/>
      <bottom style="double">
        <color indexed="64"/>
      </bottom>
      <diagonal/>
    </border>
    <border>
      <left/>
      <right style="thin">
        <color auto="1"/>
      </right>
      <top style="double">
        <color indexed="64"/>
      </top>
      <bottom/>
      <diagonal/>
    </border>
    <border>
      <left/>
      <right style="thin">
        <color indexed="64"/>
      </right>
      <top/>
      <bottom style="double">
        <color auto="1"/>
      </bottom>
      <diagonal/>
    </border>
    <border>
      <left/>
      <right/>
      <top/>
      <bottom style="thick">
        <color auto="1"/>
      </bottom>
      <diagonal/>
    </border>
    <border>
      <left style="double">
        <color auto="1"/>
      </left>
      <right style="double">
        <color auto="1"/>
      </right>
      <top/>
      <bottom style="thin">
        <color indexed="64"/>
      </bottom>
      <diagonal/>
    </border>
    <border>
      <left style="thin">
        <color indexed="64"/>
      </left>
      <right/>
      <top style="thin">
        <color indexed="64"/>
      </top>
      <bottom style="thin">
        <color theme="4" tint="0.39997558519241921"/>
      </bottom>
      <diagonal/>
    </border>
    <border>
      <left style="double">
        <color rgb="FF000000"/>
      </left>
      <right/>
      <top style="thin">
        <color indexed="64"/>
      </top>
      <bottom style="thin">
        <color theme="4" tint="0.39997558519241921"/>
      </bottom>
      <diagonal/>
    </border>
    <border>
      <left/>
      <right style="double">
        <color auto="1"/>
      </right>
      <top style="thin">
        <color auto="1"/>
      </top>
      <bottom style="thin">
        <color auto="1"/>
      </bottom>
      <diagonal/>
    </border>
    <border>
      <left/>
      <right style="thin">
        <color indexed="64"/>
      </right>
      <top/>
      <bottom/>
      <diagonal/>
    </border>
    <border>
      <left/>
      <right style="double">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diagonalUp="1" diagonalDown="1">
      <left style="thin">
        <color auto="1"/>
      </left>
      <right style="thin">
        <color auto="1"/>
      </right>
      <top style="thin">
        <color auto="1"/>
      </top>
      <bottom/>
      <diagonal style="thin">
        <color auto="1"/>
      </diagonal>
    </border>
    <border diagonalUp="1" diagonalDown="1">
      <left style="thin">
        <color auto="1"/>
      </left>
      <right style="thin">
        <color auto="1"/>
      </right>
      <top style="thin">
        <color auto="1"/>
      </top>
      <bottom style="thin">
        <color auto="1"/>
      </bottom>
      <diagonal style="thin">
        <color auto="1"/>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1">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1" fillId="0" borderId="0"/>
    <xf numFmtId="0" fontId="51" fillId="0" borderId="0"/>
    <xf numFmtId="0" fontId="52" fillId="0" borderId="0"/>
    <xf numFmtId="0" fontId="1" fillId="0" borderId="0"/>
    <xf numFmtId="0" fontId="1" fillId="0" borderId="0"/>
    <xf numFmtId="0" fontId="21" fillId="0" borderId="0"/>
  </cellStyleXfs>
  <cellXfs count="1267">
    <xf numFmtId="0" fontId="0" fillId="0" borderId="0" xfId="0"/>
    <xf numFmtId="0" fontId="0" fillId="0" borderId="0" xfId="0"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applyAlignment="1">
      <alignment horizontal="center"/>
    </xf>
    <xf numFmtId="0" fontId="0" fillId="0" borderId="13" xfId="0" pivotButton="1" applyBorder="1" applyAlignment="1">
      <alignment horizontal="center" vertical="center"/>
    </xf>
    <xf numFmtId="0" fontId="0" fillId="0" borderId="13" xfId="0" applyBorder="1" applyAlignment="1">
      <alignment horizontal="center" vertical="center"/>
    </xf>
    <xf numFmtId="0" fontId="0" fillId="0" borderId="20" xfId="0" pivotButton="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pivotButton="1" applyBorder="1" applyAlignment="1">
      <alignment horizontal="center" vertical="center"/>
    </xf>
    <xf numFmtId="0" fontId="0" fillId="0" borderId="22" xfId="0" applyBorder="1" applyAlignment="1">
      <alignment horizontal="center" vertical="center"/>
    </xf>
    <xf numFmtId="166" fontId="0" fillId="0" borderId="0" xfId="0" applyNumberFormat="1" applyAlignment="1">
      <alignment horizontal="center" vertical="center"/>
    </xf>
    <xf numFmtId="0" fontId="2" fillId="0" borderId="9" xfId="0" applyFont="1" applyBorder="1" applyAlignment="1">
      <alignment horizont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0" fontId="4" fillId="0" borderId="0" xfId="0" applyFont="1" applyAlignment="1" applyProtection="1">
      <alignment horizontal="center" vertical="center" wrapText="1"/>
      <protection locked="0"/>
    </xf>
    <xf numFmtId="0" fontId="4" fillId="0" borderId="0" xfId="0" applyFont="1" applyProtection="1">
      <protection hidden="1"/>
    </xf>
    <xf numFmtId="0" fontId="0" fillId="0" borderId="0" xfId="0" applyProtection="1">
      <protection hidden="1"/>
    </xf>
    <xf numFmtId="14" fontId="0" fillId="0" borderId="0" xfId="0" applyNumberFormat="1" applyProtection="1">
      <protection hidden="1"/>
    </xf>
    <xf numFmtId="0" fontId="0" fillId="0" borderId="0" xfId="0" applyAlignment="1" applyProtection="1">
      <alignment horizontal="center" vertical="center"/>
      <protection hidden="1"/>
    </xf>
    <xf numFmtId="0" fontId="6" fillId="0" borderId="0" xfId="0" applyFont="1" applyAlignment="1">
      <alignment horizontal="center" vertical="center"/>
    </xf>
    <xf numFmtId="0" fontId="7" fillId="3" borderId="0" xfId="0" applyFont="1" applyFill="1" applyAlignment="1">
      <alignment horizontal="center" vertical="center"/>
    </xf>
    <xf numFmtId="0" fontId="6" fillId="0" borderId="0" xfId="0" applyFont="1" applyAlignment="1">
      <alignment horizontal="center" vertical="center" wrapText="1"/>
    </xf>
    <xf numFmtId="2" fontId="0" fillId="0" borderId="0" xfId="0" applyNumberFormat="1" applyProtection="1">
      <protection hidden="1"/>
    </xf>
    <xf numFmtId="10" fontId="4" fillId="0" borderId="0" xfId="0" applyNumberFormat="1" applyFont="1" applyAlignment="1" applyProtection="1">
      <alignment horizontal="center" vertical="center"/>
      <protection hidden="1"/>
    </xf>
    <xf numFmtId="0" fontId="5" fillId="6" borderId="1" xfId="0" applyFont="1" applyFill="1" applyBorder="1" applyAlignment="1">
      <alignment horizontal="center" vertical="center" wrapText="1"/>
    </xf>
    <xf numFmtId="0" fontId="4" fillId="0" borderId="0" xfId="0" applyFont="1" applyAlignment="1">
      <alignment horizontal="center" vertical="center"/>
    </xf>
    <xf numFmtId="1" fontId="6" fillId="0" borderId="0" xfId="0" applyNumberFormat="1" applyFont="1" applyAlignment="1">
      <alignment horizontal="center" vertical="center"/>
    </xf>
    <xf numFmtId="0" fontId="0" fillId="9" borderId="0" xfId="0" applyFill="1" applyProtection="1">
      <protection hidden="1"/>
    </xf>
    <xf numFmtId="0" fontId="0" fillId="0" borderId="0" xfId="0" applyAlignment="1" applyProtection="1">
      <alignment wrapText="1"/>
      <protection hidden="1"/>
    </xf>
    <xf numFmtId="0" fontId="16" fillId="0" borderId="0" xfId="0" applyFont="1" applyProtection="1">
      <protection hidden="1"/>
    </xf>
    <xf numFmtId="2" fontId="6" fillId="0" borderId="0" xfId="0" applyNumberFormat="1" applyFont="1" applyAlignment="1">
      <alignment horizontal="center" vertical="center"/>
    </xf>
    <xf numFmtId="16" fontId="6" fillId="0" borderId="0" xfId="0" applyNumberFormat="1" applyFont="1" applyAlignment="1">
      <alignment horizontal="center" vertical="center"/>
    </xf>
    <xf numFmtId="0" fontId="5" fillId="14" borderId="1" xfId="0" applyFont="1" applyFill="1" applyBorder="1" applyAlignment="1">
      <alignment horizontal="center" vertical="center"/>
    </xf>
    <xf numFmtId="0" fontId="5" fillId="14" borderId="1" xfId="0" applyFont="1" applyFill="1" applyBorder="1" applyAlignment="1">
      <alignment horizontal="center" vertical="center" wrapText="1"/>
    </xf>
    <xf numFmtId="165"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wrapText="1"/>
    </xf>
    <xf numFmtId="10"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65" fontId="5" fillId="6" borderId="1" xfId="0" applyNumberFormat="1" applyFont="1" applyFill="1" applyBorder="1" applyAlignment="1">
      <alignment horizontal="center" vertical="center"/>
    </xf>
    <xf numFmtId="16" fontId="0" fillId="0" borderId="0" xfId="0" applyNumberFormat="1" applyProtection="1">
      <protection hidden="1"/>
    </xf>
    <xf numFmtId="10" fontId="5" fillId="6" borderId="1" xfId="0" applyNumberFormat="1" applyFont="1" applyFill="1" applyBorder="1" applyAlignment="1">
      <alignment horizontal="center" vertical="center" wrapText="1"/>
    </xf>
    <xf numFmtId="172" fontId="0" fillId="0" borderId="0" xfId="0" applyNumberFormat="1" applyProtection="1">
      <protection hidden="1"/>
    </xf>
    <xf numFmtId="0" fontId="4" fillId="0" borderId="0" xfId="0" applyFont="1"/>
    <xf numFmtId="0" fontId="19" fillId="0" borderId="0" xfId="0" applyFont="1"/>
    <xf numFmtId="0" fontId="4" fillId="14" borderId="0" xfId="0" applyFont="1" applyFill="1"/>
    <xf numFmtId="0" fontId="4" fillId="8" borderId="0" xfId="0" applyFont="1" applyFill="1"/>
    <xf numFmtId="0" fontId="19" fillId="14" borderId="0" xfId="0" applyFont="1" applyFill="1"/>
    <xf numFmtId="0" fontId="19" fillId="8" borderId="0" xfId="0" applyFont="1" applyFill="1"/>
    <xf numFmtId="10" fontId="4" fillId="0" borderId="0" xfId="3" applyNumberFormat="1" applyFont="1"/>
    <xf numFmtId="0" fontId="17" fillId="0" borderId="0" xfId="0" applyFont="1"/>
    <xf numFmtId="0" fontId="4" fillId="0" borderId="0" xfId="0" applyFont="1" applyAlignment="1">
      <alignment wrapText="1"/>
    </xf>
    <xf numFmtId="0" fontId="4" fillId="0" borderId="0" xfId="0" applyFont="1" applyAlignment="1">
      <alignment horizontal="center" vertical="center" readingOrder="2"/>
    </xf>
    <xf numFmtId="10" fontId="6" fillId="0" borderId="0" xfId="0" applyNumberFormat="1" applyFont="1" applyAlignment="1">
      <alignment horizontal="center" vertical="center"/>
    </xf>
    <xf numFmtId="0" fontId="17" fillId="14" borderId="4" xfId="0" applyFont="1" applyFill="1" applyBorder="1" applyAlignment="1" applyProtection="1">
      <alignment horizontal="center" vertical="center"/>
      <protection hidden="1"/>
    </xf>
    <xf numFmtId="0" fontId="17" fillId="0" borderId="4" xfId="0" applyFont="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14" borderId="4" xfId="0" applyFont="1" applyFill="1" applyBorder="1" applyAlignment="1" applyProtection="1">
      <alignment horizontal="center" vertical="center"/>
      <protection hidden="1"/>
    </xf>
    <xf numFmtId="0" fontId="9" fillId="0" borderId="27" xfId="0" applyFont="1" applyBorder="1" applyAlignment="1" applyProtection="1">
      <alignment horizontal="center" vertical="center"/>
      <protection hidden="1"/>
    </xf>
    <xf numFmtId="10" fontId="5" fillId="6" borderId="1" xfId="3" applyNumberFormat="1" applyFont="1" applyFill="1" applyBorder="1" applyAlignment="1">
      <alignment horizontal="center" vertical="center"/>
    </xf>
    <xf numFmtId="10" fontId="5" fillId="14" borderId="1" xfId="3" applyNumberFormat="1" applyFont="1" applyFill="1" applyBorder="1" applyAlignment="1">
      <alignment horizontal="center" vertical="center"/>
    </xf>
    <xf numFmtId="169" fontId="5" fillId="14" borderId="1" xfId="0" applyNumberFormat="1" applyFont="1" applyFill="1" applyBorder="1" applyAlignment="1">
      <alignment horizontal="center" vertical="center"/>
    </xf>
    <xf numFmtId="0" fontId="14" fillId="12" borderId="26" xfId="0" applyFont="1" applyFill="1" applyBorder="1" applyAlignment="1">
      <alignment horizontal="center" vertical="center" wrapText="1"/>
    </xf>
    <xf numFmtId="164" fontId="14" fillId="12" borderId="26" xfId="1" applyFont="1" applyFill="1" applyBorder="1" applyAlignment="1">
      <alignment horizontal="center" vertical="center" wrapText="1"/>
    </xf>
    <xf numFmtId="1" fontId="14" fillId="12" borderId="26" xfId="0" applyNumberFormat="1" applyFont="1" applyFill="1" applyBorder="1" applyAlignment="1">
      <alignment horizontal="center" vertical="center" wrapText="1"/>
    </xf>
    <xf numFmtId="0" fontId="14" fillId="13" borderId="26" xfId="0" applyFont="1" applyFill="1" applyBorder="1" applyAlignment="1">
      <alignment horizontal="center" vertical="center" wrapText="1"/>
    </xf>
    <xf numFmtId="0" fontId="12"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0" fillId="0" borderId="0" xfId="0" applyAlignment="1" applyProtection="1">
      <alignment horizontal="center" wrapText="1"/>
      <protection hidden="1"/>
    </xf>
    <xf numFmtId="0" fontId="5" fillId="6" borderId="23" xfId="0" applyFont="1" applyFill="1" applyBorder="1" applyAlignment="1">
      <alignment horizontal="center" vertical="center"/>
    </xf>
    <xf numFmtId="0" fontId="5" fillId="14" borderId="23" xfId="0" applyFont="1" applyFill="1" applyBorder="1" applyAlignment="1">
      <alignment horizontal="center" vertical="center"/>
    </xf>
    <xf numFmtId="10" fontId="5" fillId="6" borderId="1" xfId="1" applyNumberFormat="1" applyFont="1" applyFill="1" applyBorder="1" applyAlignment="1">
      <alignment horizontal="center" vertical="center"/>
    </xf>
    <xf numFmtId="0" fontId="7" fillId="0" borderId="0" xfId="0" applyFont="1" applyAlignment="1">
      <alignment horizontal="center" vertical="center"/>
    </xf>
    <xf numFmtId="0" fontId="5" fillId="14" borderId="38" xfId="0" applyFont="1" applyFill="1" applyBorder="1" applyAlignment="1">
      <alignment horizontal="center" vertical="center"/>
    </xf>
    <xf numFmtId="0" fontId="8" fillId="9" borderId="1" xfId="0" applyFont="1" applyFill="1" applyBorder="1" applyAlignment="1">
      <alignment horizontal="center" vertical="center"/>
    </xf>
    <xf numFmtId="0" fontId="5" fillId="6" borderId="38" xfId="0" applyFont="1" applyFill="1" applyBorder="1" applyAlignment="1">
      <alignment horizontal="center" vertical="center"/>
    </xf>
    <xf numFmtId="165" fontId="23" fillId="6" borderId="1" xfId="0" applyNumberFormat="1" applyFont="1" applyFill="1" applyBorder="1" applyAlignment="1">
      <alignment horizontal="center" vertical="center"/>
    </xf>
    <xf numFmtId="1" fontId="23" fillId="6" borderId="1" xfId="0" applyNumberFormat="1" applyFont="1" applyFill="1" applyBorder="1" applyAlignment="1">
      <alignment horizontal="center" vertical="center"/>
    </xf>
    <xf numFmtId="165" fontId="5" fillId="6" borderId="1" xfId="1" applyNumberFormat="1" applyFont="1" applyFill="1" applyBorder="1" applyAlignment="1">
      <alignment horizontal="center" vertical="center"/>
    </xf>
    <xf numFmtId="165" fontId="5" fillId="14" borderId="1" xfId="1" applyNumberFormat="1" applyFont="1" applyFill="1" applyBorder="1" applyAlignment="1">
      <alignment horizontal="center" vertical="center"/>
    </xf>
    <xf numFmtId="10" fontId="5" fillId="14" borderId="1" xfId="1" applyNumberFormat="1" applyFont="1" applyFill="1" applyBorder="1" applyAlignment="1">
      <alignment horizontal="center" vertical="center"/>
    </xf>
    <xf numFmtId="1" fontId="5" fillId="14" borderId="1" xfId="1" applyNumberFormat="1" applyFont="1" applyFill="1" applyBorder="1" applyAlignment="1">
      <alignment horizontal="center" vertical="center"/>
    </xf>
    <xf numFmtId="0" fontId="8" fillId="4" borderId="1" xfId="1" applyNumberFormat="1" applyFont="1" applyFill="1" applyBorder="1" applyAlignment="1">
      <alignment horizontal="center" vertical="center"/>
    </xf>
    <xf numFmtId="10" fontId="8" fillId="11"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xf>
    <xf numFmtId="171" fontId="5" fillId="6" borderId="1" xfId="1" applyNumberFormat="1" applyFont="1" applyFill="1" applyBorder="1" applyAlignment="1">
      <alignment horizontal="center" vertical="center" wrapText="1"/>
    </xf>
    <xf numFmtId="171" fontId="5" fillId="14" borderId="1" xfId="1" applyNumberFormat="1" applyFont="1" applyFill="1" applyBorder="1" applyAlignment="1">
      <alignment horizontal="center" vertical="center" wrapText="1"/>
    </xf>
    <xf numFmtId="171" fontId="23" fillId="6" borderId="1" xfId="1"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65" fontId="5" fillId="15" borderId="1"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165" fontId="5" fillId="16" borderId="1" xfId="0" applyNumberFormat="1" applyFont="1" applyFill="1" applyBorder="1" applyAlignment="1">
      <alignment horizontal="center" vertical="center"/>
    </xf>
    <xf numFmtId="10" fontId="5" fillId="6" borderId="1" xfId="1"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xf>
    <xf numFmtId="10" fontId="23" fillId="6" borderId="1" xfId="3" applyNumberFormat="1" applyFont="1" applyFill="1" applyBorder="1" applyAlignment="1">
      <alignment horizontal="center" vertical="center"/>
    </xf>
    <xf numFmtId="0" fontId="5" fillId="6" borderId="1" xfId="1" applyNumberFormat="1" applyFont="1" applyFill="1" applyBorder="1" applyAlignment="1">
      <alignment horizontal="center" vertical="center" wrapText="1"/>
    </xf>
    <xf numFmtId="1" fontId="5" fillId="6" borderId="1" xfId="1" applyNumberFormat="1" applyFont="1" applyFill="1" applyBorder="1" applyAlignment="1">
      <alignment horizontal="center" vertical="center"/>
    </xf>
    <xf numFmtId="1" fontId="5" fillId="14" borderId="1" xfId="0" applyNumberFormat="1" applyFont="1" applyFill="1" applyBorder="1" applyAlignment="1">
      <alignment horizontal="center" vertical="center"/>
    </xf>
    <xf numFmtId="0" fontId="5" fillId="14" borderId="1" xfId="1" applyNumberFormat="1" applyFont="1" applyFill="1" applyBorder="1" applyAlignment="1">
      <alignment horizontal="center" vertical="center" wrapText="1"/>
    </xf>
    <xf numFmtId="39" fontId="5" fillId="14" borderId="1" xfId="1" applyNumberFormat="1" applyFont="1" applyFill="1" applyBorder="1" applyAlignment="1">
      <alignment horizontal="center" vertical="center"/>
    </xf>
    <xf numFmtId="39" fontId="5" fillId="6" borderId="1" xfId="1" applyNumberFormat="1"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22" fillId="12" borderId="41"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18" fillId="0" borderId="0" xfId="0" applyFont="1" applyAlignment="1">
      <alignment horizontal="center"/>
    </xf>
    <xf numFmtId="0" fontId="18" fillId="12" borderId="0" xfId="0" applyFont="1" applyFill="1" applyAlignment="1">
      <alignment horizontal="center"/>
    </xf>
    <xf numFmtId="0" fontId="4" fillId="0" borderId="0" xfId="0" applyFont="1" applyAlignment="1">
      <alignment horizontal="center"/>
    </xf>
    <xf numFmtId="0" fontId="0" fillId="0" borderId="0" xfId="0" applyAlignment="1">
      <alignment horizontal="center" wrapText="1"/>
    </xf>
    <xf numFmtId="0" fontId="26" fillId="0" borderId="0" xfId="0" applyFont="1" applyAlignment="1">
      <alignment horizontal="center" vertical="center" wrapText="1"/>
    </xf>
    <xf numFmtId="0" fontId="27" fillId="0" borderId="0" xfId="0" applyFont="1" applyAlignment="1">
      <alignment horizontal="center"/>
    </xf>
    <xf numFmtId="0" fontId="22" fillId="0" borderId="0" xfId="0" applyFont="1" applyAlignment="1">
      <alignment horizontal="center"/>
    </xf>
    <xf numFmtId="0" fontId="22" fillId="12" borderId="0" xfId="0" applyFont="1" applyFill="1" applyAlignment="1">
      <alignment horizontal="center"/>
    </xf>
    <xf numFmtId="0" fontId="7" fillId="14" borderId="23" xfId="0" applyFont="1" applyFill="1" applyBorder="1" applyAlignment="1">
      <alignment horizontal="center" vertical="center"/>
    </xf>
    <xf numFmtId="0" fontId="7" fillId="14" borderId="38" xfId="0" applyFont="1" applyFill="1" applyBorder="1" applyAlignment="1">
      <alignment horizontal="center" vertical="center"/>
    </xf>
    <xf numFmtId="0" fontId="28" fillId="0" borderId="0" xfId="0" applyFont="1" applyAlignment="1">
      <alignment horizontal="center"/>
    </xf>
    <xf numFmtId="0" fontId="7" fillId="6" borderId="23" xfId="0" applyFont="1" applyFill="1" applyBorder="1" applyAlignment="1">
      <alignment horizontal="center" vertical="center"/>
    </xf>
    <xf numFmtId="0" fontId="7" fillId="6" borderId="38"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7" fillId="6"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14" fontId="0" fillId="0" borderId="0" xfId="0" applyNumberFormat="1" applyAlignment="1">
      <alignment horizontal="center" vertical="center"/>
    </xf>
    <xf numFmtId="16" fontId="0" fillId="0" borderId="0" xfId="0" applyNumberFormat="1" applyAlignment="1">
      <alignment horizontal="center" vertical="center"/>
    </xf>
    <xf numFmtId="14" fontId="0" fillId="0" borderId="1" xfId="0" applyNumberFormat="1" applyBorder="1" applyAlignment="1">
      <alignment horizontal="center" vertical="center"/>
    </xf>
    <xf numFmtId="0" fontId="14" fillId="12" borderId="39" xfId="0" applyFont="1" applyFill="1" applyBorder="1" applyAlignment="1">
      <alignment horizontal="center" vertical="center" wrapText="1"/>
    </xf>
    <xf numFmtId="0" fontId="4" fillId="0" borderId="0" xfId="0" applyFont="1" applyAlignment="1">
      <alignment horizontal="right" vertical="top" wrapText="1" readingOrder="2"/>
    </xf>
    <xf numFmtId="0" fontId="0" fillId="6" borderId="31" xfId="0" applyFill="1" applyBorder="1" applyAlignment="1" applyProtection="1">
      <alignment horizontal="center" vertical="center"/>
      <protection hidden="1"/>
    </xf>
    <xf numFmtId="0" fontId="31" fillId="12" borderId="3" xfId="0" applyFont="1" applyFill="1" applyBorder="1" applyAlignment="1">
      <alignment horizontal="center" vertical="center"/>
    </xf>
    <xf numFmtId="0" fontId="7" fillId="12" borderId="0" xfId="0" applyFont="1" applyFill="1" applyAlignment="1">
      <alignment horizontal="center" vertical="center"/>
    </xf>
    <xf numFmtId="0" fontId="32" fillId="0" borderId="0" xfId="0" applyFont="1" applyAlignment="1">
      <alignment horizontal="center" vertical="center"/>
    </xf>
    <xf numFmtId="4" fontId="0" fillId="0" borderId="0" xfId="0" applyNumberFormat="1" applyAlignment="1" applyProtection="1">
      <alignment horizontal="center"/>
      <protection hidden="1"/>
    </xf>
    <xf numFmtId="0" fontId="5" fillId="6" borderId="2" xfId="0" applyFont="1" applyFill="1" applyBorder="1" applyAlignment="1">
      <alignment horizontal="center" vertical="center" wrapText="1"/>
    </xf>
    <xf numFmtId="0" fontId="5" fillId="6" borderId="2" xfId="0" applyFont="1" applyFill="1" applyBorder="1" applyAlignment="1">
      <alignment horizontal="center" vertical="center"/>
    </xf>
    <xf numFmtId="165" fontId="5" fillId="6" borderId="2" xfId="0" applyNumberFormat="1" applyFont="1" applyFill="1" applyBorder="1" applyAlignment="1">
      <alignment horizontal="center" vertical="center"/>
    </xf>
    <xf numFmtId="39" fontId="5" fillId="6" borderId="2" xfId="1" applyNumberFormat="1" applyFont="1" applyFill="1" applyBorder="1" applyAlignment="1">
      <alignment horizontal="center" vertical="center"/>
    </xf>
    <xf numFmtId="10" fontId="5" fillId="6" borderId="2" xfId="0" applyNumberFormat="1" applyFont="1" applyFill="1" applyBorder="1" applyAlignment="1">
      <alignment horizontal="center" vertical="center"/>
    </xf>
    <xf numFmtId="1" fontId="5" fillId="6" borderId="2" xfId="0" applyNumberFormat="1" applyFont="1" applyFill="1" applyBorder="1" applyAlignment="1">
      <alignment horizontal="center" vertical="center"/>
    </xf>
    <xf numFmtId="10" fontId="5" fillId="6" borderId="2" xfId="3" applyNumberFormat="1" applyFont="1" applyFill="1" applyBorder="1" applyAlignment="1">
      <alignment horizontal="center" vertical="center"/>
    </xf>
    <xf numFmtId="0" fontId="5" fillId="6" borderId="2" xfId="1" applyNumberFormat="1" applyFont="1" applyFill="1" applyBorder="1" applyAlignment="1">
      <alignment horizontal="center" vertical="center" wrapText="1"/>
    </xf>
    <xf numFmtId="171" fontId="5" fillId="6" borderId="2" xfId="1" applyNumberFormat="1" applyFont="1" applyFill="1" applyBorder="1" applyAlignment="1">
      <alignment horizontal="center" vertical="center" wrapText="1"/>
    </xf>
    <xf numFmtId="0" fontId="33" fillId="14" borderId="1" xfId="0" applyFont="1" applyFill="1" applyBorder="1" applyAlignment="1">
      <alignment horizontal="center" vertical="center" wrapText="1" readingOrder="1"/>
    </xf>
    <xf numFmtId="0" fontId="33" fillId="14" borderId="1" xfId="0" applyFont="1" applyFill="1" applyBorder="1" applyAlignment="1">
      <alignment horizontal="center" vertical="center" wrapText="1"/>
    </xf>
    <xf numFmtId="0" fontId="33" fillId="6" borderId="1" xfId="0" applyFont="1" applyFill="1" applyBorder="1" applyAlignment="1">
      <alignment horizontal="center" vertical="center" wrapText="1" readingOrder="1"/>
    </xf>
    <xf numFmtId="0" fontId="33" fillId="6" borderId="1" xfId="0" applyFont="1" applyFill="1" applyBorder="1" applyAlignment="1">
      <alignment horizontal="center" vertical="center" wrapText="1"/>
    </xf>
    <xf numFmtId="0" fontId="14" fillId="12" borderId="0" xfId="0" applyFont="1" applyFill="1" applyAlignment="1">
      <alignment horizontal="center" vertical="center"/>
    </xf>
    <xf numFmtId="0" fontId="14" fillId="12" borderId="52" xfId="0" applyFont="1" applyFill="1" applyBorder="1" applyAlignment="1">
      <alignment horizontal="center" vertical="center"/>
    </xf>
    <xf numFmtId="0" fontId="14" fillId="12" borderId="52" xfId="0" applyFont="1" applyFill="1" applyBorder="1" applyAlignment="1">
      <alignment horizontal="center" vertical="center" wrapText="1"/>
    </xf>
    <xf numFmtId="10" fontId="14" fillId="12" borderId="52" xfId="3" applyNumberFormat="1" applyFont="1" applyFill="1" applyBorder="1" applyAlignment="1">
      <alignment horizontal="center" vertical="center" wrapText="1"/>
    </xf>
    <xf numFmtId="2" fontId="14" fillId="12" borderId="52" xfId="3" applyNumberFormat="1" applyFont="1" applyFill="1" applyBorder="1" applyAlignment="1">
      <alignment horizontal="center" vertical="center" wrapText="1"/>
    </xf>
    <xf numFmtId="0" fontId="18" fillId="12" borderId="52" xfId="0" applyFont="1" applyFill="1" applyBorder="1" applyAlignment="1">
      <alignment horizontal="center" vertical="center" wrapText="1" readingOrder="2"/>
    </xf>
    <xf numFmtId="0" fontId="18" fillId="12" borderId="58" xfId="0" applyFont="1" applyFill="1" applyBorder="1" applyAlignment="1">
      <alignment horizontal="center" vertical="center" wrapText="1" readingOrder="2"/>
    </xf>
    <xf numFmtId="0" fontId="5" fillId="6" borderId="57"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7" xfId="0" applyFont="1" applyFill="1" applyBorder="1" applyAlignment="1">
      <alignment horizontal="center" vertical="center" wrapText="1"/>
    </xf>
    <xf numFmtId="10" fontId="5" fillId="6" borderId="27" xfId="0" applyNumberFormat="1" applyFont="1" applyFill="1" applyBorder="1" applyAlignment="1">
      <alignment horizontal="center" vertical="center"/>
    </xf>
    <xf numFmtId="16" fontId="5" fillId="6" borderId="27" xfId="0" applyNumberFormat="1" applyFont="1" applyFill="1" applyBorder="1" applyAlignment="1">
      <alignment horizontal="center" vertical="center" wrapText="1" readingOrder="2"/>
    </xf>
    <xf numFmtId="0" fontId="5" fillId="6" borderId="27" xfId="0" applyFont="1" applyFill="1" applyBorder="1" applyAlignment="1">
      <alignment horizontal="right" vertical="center" wrapText="1" readingOrder="2"/>
    </xf>
    <xf numFmtId="0" fontId="35" fillId="14" borderId="1" xfId="0" applyFont="1" applyFill="1" applyBorder="1" applyAlignment="1">
      <alignment horizontal="center" vertical="center" wrapText="1" readingOrder="2"/>
    </xf>
    <xf numFmtId="0" fontId="5" fillId="14" borderId="57" xfId="0" applyFont="1" applyFill="1" applyBorder="1" applyAlignment="1">
      <alignment horizontal="center" vertical="center"/>
    </xf>
    <xf numFmtId="0" fontId="5" fillId="14" borderId="27" xfId="0" applyFont="1" applyFill="1" applyBorder="1" applyAlignment="1">
      <alignment horizontal="center" vertical="center"/>
    </xf>
    <xf numFmtId="0" fontId="5" fillId="16" borderId="27" xfId="0" applyFont="1" applyFill="1" applyBorder="1" applyAlignment="1">
      <alignment horizontal="center" vertical="center"/>
    </xf>
    <xf numFmtId="0" fontId="5" fillId="14" borderId="27" xfId="0" applyFont="1" applyFill="1" applyBorder="1" applyAlignment="1">
      <alignment horizontal="center" vertical="center" wrapText="1"/>
    </xf>
    <xf numFmtId="10" fontId="5" fillId="14" borderId="27" xfId="0" applyNumberFormat="1" applyFont="1" applyFill="1" applyBorder="1" applyAlignment="1">
      <alignment horizontal="center" vertical="center"/>
    </xf>
    <xf numFmtId="10" fontId="5" fillId="14" borderId="27" xfId="3" applyNumberFormat="1" applyFont="1" applyFill="1" applyBorder="1" applyAlignment="1">
      <alignment horizontal="center" vertical="center"/>
    </xf>
    <xf numFmtId="174" fontId="5" fillId="14" borderId="27" xfId="3" applyNumberFormat="1" applyFont="1" applyFill="1" applyBorder="1" applyAlignment="1">
      <alignment horizontal="center" vertical="center"/>
    </xf>
    <xf numFmtId="169" fontId="5" fillId="14" borderId="27" xfId="0" applyNumberFormat="1" applyFont="1" applyFill="1" applyBorder="1" applyAlignment="1">
      <alignment horizontal="center" vertical="center"/>
    </xf>
    <xf numFmtId="0" fontId="5" fillId="14" borderId="27" xfId="0" applyFont="1" applyFill="1" applyBorder="1" applyAlignment="1">
      <alignment horizontal="right" vertical="center" wrapText="1" readingOrder="2"/>
    </xf>
    <xf numFmtId="0" fontId="35" fillId="14" borderId="59" xfId="0" applyFont="1" applyFill="1" applyBorder="1" applyAlignment="1">
      <alignment horizontal="center" vertical="center" wrapText="1" readingOrder="2"/>
    </xf>
    <xf numFmtId="0" fontId="35" fillId="14" borderId="27" xfId="0" applyFont="1" applyFill="1" applyBorder="1" applyAlignment="1">
      <alignment horizontal="center" vertical="center" wrapText="1" readingOrder="2"/>
    </xf>
    <xf numFmtId="0" fontId="5" fillId="15" borderId="57" xfId="0" applyFont="1" applyFill="1" applyBorder="1" applyAlignment="1">
      <alignment horizontal="center" vertical="center"/>
    </xf>
    <xf numFmtId="0" fontId="5" fillId="15" borderId="27" xfId="0" applyFont="1" applyFill="1" applyBorder="1" applyAlignment="1">
      <alignment horizontal="center" vertical="center"/>
    </xf>
    <xf numFmtId="10" fontId="5" fillId="6" borderId="27" xfId="3" applyNumberFormat="1" applyFont="1" applyFill="1" applyBorder="1" applyAlignment="1">
      <alignment horizontal="center" vertical="center"/>
    </xf>
    <xf numFmtId="174" fontId="5" fillId="6" borderId="27" xfId="3" applyNumberFormat="1" applyFont="1" applyFill="1" applyBorder="1" applyAlignment="1">
      <alignment horizontal="center" vertical="center"/>
    </xf>
    <xf numFmtId="169" fontId="5" fillId="6" borderId="27" xfId="0" applyNumberFormat="1" applyFont="1" applyFill="1" applyBorder="1" applyAlignment="1">
      <alignment horizontal="center" vertical="center"/>
    </xf>
    <xf numFmtId="0" fontId="35" fillId="6" borderId="59" xfId="0" applyFont="1" applyFill="1" applyBorder="1" applyAlignment="1">
      <alignment horizontal="center" vertical="center" wrapText="1" readingOrder="2"/>
    </xf>
    <xf numFmtId="0" fontId="35" fillId="6" borderId="27" xfId="0" applyFont="1" applyFill="1" applyBorder="1" applyAlignment="1">
      <alignment horizontal="center" vertical="center" wrapText="1" readingOrder="2"/>
    </xf>
    <xf numFmtId="0" fontId="4" fillId="6" borderId="0" xfId="0" applyFont="1" applyFill="1"/>
    <xf numFmtId="0" fontId="5" fillId="14" borderId="27" xfId="1" applyNumberFormat="1" applyFont="1" applyFill="1" applyBorder="1" applyAlignment="1">
      <alignment horizontal="center" vertical="center"/>
    </xf>
    <xf numFmtId="10" fontId="5" fillId="14" borderId="27" xfId="1" applyNumberFormat="1" applyFont="1" applyFill="1" applyBorder="1" applyAlignment="1">
      <alignment horizontal="center" vertical="center"/>
    </xf>
    <xf numFmtId="10" fontId="5" fillId="6" borderId="27" xfId="0" applyNumberFormat="1" applyFont="1" applyFill="1" applyBorder="1" applyAlignment="1">
      <alignment horizontal="center" vertical="center" wrapText="1"/>
    </xf>
    <xf numFmtId="169" fontId="5" fillId="6" borderId="27" xfId="0" applyNumberFormat="1" applyFont="1" applyFill="1" applyBorder="1" applyAlignment="1">
      <alignment horizontal="center" vertical="center" wrapText="1"/>
    </xf>
    <xf numFmtId="0" fontId="19" fillId="6" borderId="0" xfId="0" applyFont="1" applyFill="1"/>
    <xf numFmtId="10" fontId="5" fillId="14" borderId="27" xfId="0" applyNumberFormat="1" applyFont="1" applyFill="1" applyBorder="1" applyAlignment="1">
      <alignment horizontal="center" vertical="center" wrapText="1"/>
    </xf>
    <xf numFmtId="0" fontId="5" fillId="6" borderId="27" xfId="1" applyNumberFormat="1" applyFont="1" applyFill="1" applyBorder="1" applyAlignment="1">
      <alignment horizontal="center" vertical="center"/>
    </xf>
    <xf numFmtId="10" fontId="5" fillId="6" borderId="27" xfId="1" applyNumberFormat="1" applyFont="1" applyFill="1" applyBorder="1" applyAlignment="1">
      <alignment horizontal="center" vertical="center"/>
    </xf>
    <xf numFmtId="169" fontId="5" fillId="14" borderId="27" xfId="0" applyNumberFormat="1" applyFont="1" applyFill="1" applyBorder="1" applyAlignment="1">
      <alignment horizontal="center" vertical="center" wrapText="1"/>
    </xf>
    <xf numFmtId="165" fontId="5" fillId="14" borderId="27" xfId="0" applyNumberFormat="1" applyFont="1" applyFill="1" applyBorder="1" applyAlignment="1">
      <alignment horizontal="center" vertical="center"/>
    </xf>
    <xf numFmtId="0" fontId="35" fillId="6" borderId="1" xfId="0" applyFont="1" applyFill="1" applyBorder="1" applyAlignment="1">
      <alignment horizontal="center" vertical="center" wrapText="1" readingOrder="2"/>
    </xf>
    <xf numFmtId="0" fontId="4" fillId="0" borderId="60" xfId="0" applyFont="1" applyBorder="1" applyAlignment="1">
      <alignment horizontal="center" vertical="center" wrapText="1" readingOrder="2"/>
    </xf>
    <xf numFmtId="0" fontId="4" fillId="0" borderId="61" xfId="0" applyFont="1" applyBorder="1" applyAlignment="1">
      <alignment horizontal="center" vertical="center" wrapText="1" readingOrder="2"/>
    </xf>
    <xf numFmtId="0" fontId="4" fillId="0" borderId="62" xfId="0" applyFont="1" applyBorder="1" applyAlignment="1">
      <alignment horizontal="center" vertical="center" wrapText="1" readingOrder="2"/>
    </xf>
    <xf numFmtId="10" fontId="4" fillId="0" borderId="60" xfId="3" applyNumberFormat="1" applyFont="1" applyBorder="1" applyAlignment="1">
      <alignment horizontal="center" vertical="center" wrapText="1" readingOrder="2"/>
    </xf>
    <xf numFmtId="10" fontId="4" fillId="0" borderId="61" xfId="3" applyNumberFormat="1" applyFont="1" applyBorder="1" applyAlignment="1">
      <alignment horizontal="center" vertical="center" wrapText="1" readingOrder="2"/>
    </xf>
    <xf numFmtId="10" fontId="4" fillId="0" borderId="62" xfId="3" applyNumberFormat="1" applyFont="1" applyBorder="1" applyAlignment="1">
      <alignment horizontal="center" vertical="center" wrapText="1" readingOrder="2"/>
    </xf>
    <xf numFmtId="2" fontId="4" fillId="0" borderId="0" xfId="3" applyNumberFormat="1" applyFont="1"/>
    <xf numFmtId="2" fontId="4" fillId="0" borderId="0" xfId="0" applyNumberFormat="1" applyFont="1" applyAlignment="1">
      <alignment horizontal="right"/>
    </xf>
    <xf numFmtId="10" fontId="5" fillId="14" borderId="2" xfId="3" applyNumberFormat="1" applyFont="1" applyFill="1" applyBorder="1" applyAlignment="1">
      <alignment horizontal="center" vertical="center"/>
    </xf>
    <xf numFmtId="174" fontId="5" fillId="14" borderId="2" xfId="3" applyNumberFormat="1" applyFont="1" applyFill="1" applyBorder="1" applyAlignment="1">
      <alignment horizontal="center" vertical="center"/>
    </xf>
    <xf numFmtId="169" fontId="5" fillId="6" borderId="27" xfId="3" applyNumberFormat="1" applyFont="1" applyFill="1" applyBorder="1" applyAlignment="1">
      <alignment horizontal="center" vertical="center"/>
    </xf>
    <xf numFmtId="169" fontId="5" fillId="14" borderId="2" xfId="0" applyNumberFormat="1" applyFont="1" applyFill="1" applyBorder="1" applyAlignment="1">
      <alignment horizontal="center" vertical="center"/>
    </xf>
    <xf numFmtId="0" fontId="35" fillId="14" borderId="33" xfId="0" applyFont="1" applyFill="1" applyBorder="1" applyAlignment="1">
      <alignment horizontal="center" vertical="center" wrapText="1" readingOrder="2"/>
    </xf>
    <xf numFmtId="0" fontId="35" fillId="14" borderId="24" xfId="0" applyFont="1" applyFill="1" applyBorder="1" applyAlignment="1">
      <alignment horizontal="center" vertical="center" wrapText="1" readingOrder="2"/>
    </xf>
    <xf numFmtId="0" fontId="35" fillId="14" borderId="57" xfId="0" applyFont="1" applyFill="1" applyBorder="1" applyAlignment="1">
      <alignment horizontal="center" vertical="center" wrapText="1" readingOrder="2"/>
    </xf>
    <xf numFmtId="4" fontId="6" fillId="0" borderId="0" xfId="0" applyNumberFormat="1" applyFont="1" applyAlignment="1">
      <alignment horizontal="center" vertical="center"/>
    </xf>
    <xf numFmtId="0" fontId="25" fillId="12" borderId="25" xfId="0" applyFont="1" applyFill="1" applyBorder="1" applyAlignment="1">
      <alignment horizontal="center" vertical="center"/>
    </xf>
    <xf numFmtId="0" fontId="9" fillId="14" borderId="23" xfId="0" applyFont="1" applyFill="1" applyBorder="1" applyAlignment="1">
      <alignment horizontal="center" vertical="center"/>
    </xf>
    <xf numFmtId="0" fontId="9" fillId="14" borderId="38" xfId="0" applyFont="1" applyFill="1" applyBorder="1" applyAlignment="1">
      <alignment horizontal="center" vertical="center"/>
    </xf>
    <xf numFmtId="10" fontId="9" fillId="14" borderId="1" xfId="0" applyNumberFormat="1" applyFont="1" applyFill="1" applyBorder="1" applyAlignment="1">
      <alignment horizontal="center" vertical="center" wrapText="1"/>
    </xf>
    <xf numFmtId="10" fontId="37" fillId="14" borderId="1"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23" xfId="0" applyFont="1" applyFill="1" applyBorder="1" applyAlignment="1">
      <alignment horizontal="center" vertical="center" wrapText="1"/>
    </xf>
    <xf numFmtId="10" fontId="7" fillId="6" borderId="1" xfId="3" applyNumberFormat="1" applyFont="1" applyFill="1" applyBorder="1" applyAlignment="1">
      <alignment horizontal="center" vertical="center" wrapText="1"/>
    </xf>
    <xf numFmtId="10" fontId="7" fillId="6" borderId="1" xfId="0" applyNumberFormat="1" applyFont="1" applyFill="1" applyBorder="1" applyAlignment="1">
      <alignment horizontal="center" vertical="center" wrapText="1"/>
    </xf>
    <xf numFmtId="10" fontId="38" fillId="6" borderId="1" xfId="0" applyNumberFormat="1" applyFont="1" applyFill="1" applyBorder="1" applyAlignment="1">
      <alignment horizontal="center" vertical="center" wrapText="1"/>
    </xf>
    <xf numFmtId="10" fontId="7" fillId="6" borderId="38" xfId="3" applyNumberFormat="1" applyFont="1" applyFill="1" applyBorder="1" applyAlignment="1">
      <alignment horizontal="center" vertical="center"/>
    </xf>
    <xf numFmtId="10" fontId="7" fillId="6" borderId="1" xfId="3" applyNumberFormat="1" applyFont="1" applyFill="1" applyBorder="1" applyAlignment="1">
      <alignment horizontal="center" vertical="center"/>
    </xf>
    <xf numFmtId="165" fontId="7" fillId="6" borderId="1" xfId="0" applyNumberFormat="1" applyFont="1" applyFill="1" applyBorder="1" applyAlignment="1">
      <alignment horizontal="center" vertical="center" wrapText="1"/>
    </xf>
    <xf numFmtId="173" fontId="7" fillId="6" borderId="4" xfId="3" applyNumberFormat="1" applyFont="1" applyFill="1" applyBorder="1" applyAlignment="1">
      <alignment horizontal="center" vertical="center" wrapText="1"/>
    </xf>
    <xf numFmtId="165" fontId="7" fillId="6" borderId="30" xfId="0" applyNumberFormat="1" applyFont="1" applyFill="1" applyBorder="1" applyAlignment="1">
      <alignment horizontal="center" vertical="center"/>
    </xf>
    <xf numFmtId="0" fontId="7" fillId="14" borderId="4" xfId="0" applyFont="1" applyFill="1" applyBorder="1" applyAlignment="1">
      <alignment horizontal="center" vertical="center" wrapText="1"/>
    </xf>
    <xf numFmtId="0" fontId="7" fillId="14" borderId="23" xfId="0" applyFont="1" applyFill="1" applyBorder="1" applyAlignment="1">
      <alignment horizontal="center" vertical="center" wrapText="1"/>
    </xf>
    <xf numFmtId="10" fontId="7" fillId="14" borderId="1" xfId="3" applyNumberFormat="1" applyFont="1" applyFill="1" applyBorder="1" applyAlignment="1">
      <alignment horizontal="center" vertical="center" wrapText="1"/>
    </xf>
    <xf numFmtId="10" fontId="7" fillId="14" borderId="1" xfId="0" applyNumberFormat="1" applyFont="1" applyFill="1" applyBorder="1" applyAlignment="1">
      <alignment horizontal="center" vertical="center" wrapText="1"/>
    </xf>
    <xf numFmtId="10" fontId="38" fillId="14" borderId="1" xfId="0" applyNumberFormat="1" applyFont="1" applyFill="1" applyBorder="1" applyAlignment="1">
      <alignment horizontal="center" vertical="center" wrapText="1"/>
    </xf>
    <xf numFmtId="10" fontId="7" fillId="14" borderId="38" xfId="3" applyNumberFormat="1" applyFont="1" applyFill="1" applyBorder="1" applyAlignment="1">
      <alignment horizontal="center" vertical="center"/>
    </xf>
    <xf numFmtId="10" fontId="7" fillId="14" borderId="1" xfId="3" applyNumberFormat="1" applyFont="1" applyFill="1" applyBorder="1" applyAlignment="1">
      <alignment horizontal="center" vertical="center"/>
    </xf>
    <xf numFmtId="165" fontId="7" fillId="14" borderId="1" xfId="0" applyNumberFormat="1" applyFont="1" applyFill="1" applyBorder="1" applyAlignment="1">
      <alignment horizontal="center" vertical="center" wrapText="1"/>
    </xf>
    <xf numFmtId="173" fontId="7" fillId="14" borderId="4" xfId="3" applyNumberFormat="1" applyFont="1" applyFill="1" applyBorder="1" applyAlignment="1">
      <alignment horizontal="center" vertical="center" wrapText="1"/>
    </xf>
    <xf numFmtId="165" fontId="7" fillId="14" borderId="30" xfId="0" applyNumberFormat="1" applyFont="1" applyFill="1" applyBorder="1" applyAlignment="1">
      <alignment horizontal="center" vertical="center"/>
    </xf>
    <xf numFmtId="0" fontId="23" fillId="6" borderId="23" xfId="0" applyFont="1" applyFill="1" applyBorder="1" applyAlignment="1">
      <alignment horizontal="center" vertical="center"/>
    </xf>
    <xf numFmtId="0" fontId="23" fillId="6" borderId="38"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6" borderId="1" xfId="0" applyFont="1" applyFill="1" applyBorder="1" applyAlignment="1">
      <alignment horizontal="center" vertical="center"/>
    </xf>
    <xf numFmtId="39" fontId="23" fillId="6" borderId="1" xfId="1" applyNumberFormat="1" applyFont="1" applyFill="1" applyBorder="1" applyAlignment="1">
      <alignment horizontal="center" vertical="center"/>
    </xf>
    <xf numFmtId="10" fontId="23" fillId="6" borderId="1" xfId="0" applyNumberFormat="1" applyFont="1" applyFill="1" applyBorder="1" applyAlignment="1">
      <alignment horizontal="center" vertical="center"/>
    </xf>
    <xf numFmtId="0" fontId="23" fillId="6" borderId="1" xfId="1" applyNumberFormat="1" applyFont="1" applyFill="1" applyBorder="1" applyAlignment="1">
      <alignment horizontal="center" vertical="center" wrapText="1"/>
    </xf>
    <xf numFmtId="0" fontId="29" fillId="0" borderId="0" xfId="0" applyFont="1" applyAlignment="1">
      <alignment horizontal="center" vertical="center"/>
    </xf>
    <xf numFmtId="165" fontId="40" fillId="6" borderId="1" xfId="0" applyNumberFormat="1" applyFont="1" applyFill="1" applyBorder="1" applyAlignment="1">
      <alignment horizontal="center" vertical="center"/>
    </xf>
    <xf numFmtId="165" fontId="40" fillId="14" borderId="1" xfId="0" applyNumberFormat="1" applyFont="1" applyFill="1" applyBorder="1" applyAlignment="1">
      <alignment horizontal="center" vertical="center"/>
    </xf>
    <xf numFmtId="165" fontId="40" fillId="6" borderId="2" xfId="0" applyNumberFormat="1" applyFont="1" applyFill="1" applyBorder="1" applyAlignment="1">
      <alignment horizontal="center" vertical="center"/>
    </xf>
    <xf numFmtId="165" fontId="40" fillId="6" borderId="1" xfId="1" applyNumberFormat="1" applyFont="1" applyFill="1" applyBorder="1" applyAlignment="1">
      <alignment horizontal="center" vertical="center"/>
    </xf>
    <xf numFmtId="165" fontId="40" fillId="14" borderId="1" xfId="1" applyNumberFormat="1" applyFont="1" applyFill="1" applyBorder="1" applyAlignment="1">
      <alignment horizontal="center" vertical="center"/>
    </xf>
    <xf numFmtId="1" fontId="40" fillId="6" borderId="1" xfId="0" applyNumberFormat="1" applyFont="1" applyFill="1" applyBorder="1" applyAlignment="1">
      <alignment horizontal="center" vertical="center"/>
    </xf>
    <xf numFmtId="1" fontId="40" fillId="14" borderId="1" xfId="0" applyNumberFormat="1" applyFont="1" applyFill="1" applyBorder="1" applyAlignment="1">
      <alignment horizontal="center" vertical="center"/>
    </xf>
    <xf numFmtId="1" fontId="40" fillId="6" borderId="2" xfId="0" applyNumberFormat="1" applyFont="1" applyFill="1" applyBorder="1" applyAlignment="1">
      <alignment horizontal="center" vertical="center"/>
    </xf>
    <xf numFmtId="10" fontId="40" fillId="6" borderId="1" xfId="1" applyNumberFormat="1" applyFont="1" applyFill="1" applyBorder="1" applyAlignment="1">
      <alignment horizontal="center" vertical="center"/>
    </xf>
    <xf numFmtId="10" fontId="40" fillId="14" borderId="1" xfId="1" applyNumberFormat="1" applyFont="1" applyFill="1" applyBorder="1" applyAlignment="1">
      <alignment horizontal="center" vertical="center"/>
    </xf>
    <xf numFmtId="10" fontId="40" fillId="6" borderId="2" xfId="1" applyNumberFormat="1" applyFont="1" applyFill="1" applyBorder="1" applyAlignment="1">
      <alignment horizontal="center" vertical="center"/>
    </xf>
    <xf numFmtId="2" fontId="40" fillId="6" borderId="1" xfId="3" applyNumberFormat="1" applyFont="1" applyFill="1" applyBorder="1" applyAlignment="1">
      <alignment horizontal="center" vertical="center"/>
    </xf>
    <xf numFmtId="2" fontId="40" fillId="14" borderId="1" xfId="3" applyNumberFormat="1" applyFont="1" applyFill="1" applyBorder="1" applyAlignment="1">
      <alignment horizontal="center" vertical="center"/>
    </xf>
    <xf numFmtId="2" fontId="40" fillId="6" borderId="2" xfId="3" applyNumberFormat="1" applyFont="1" applyFill="1" applyBorder="1" applyAlignment="1">
      <alignment horizontal="center" vertical="center"/>
    </xf>
    <xf numFmtId="164" fontId="41" fillId="12" borderId="26" xfId="1" applyFont="1" applyFill="1" applyBorder="1" applyAlignment="1">
      <alignment horizontal="center" vertical="center" wrapText="1"/>
    </xf>
    <xf numFmtId="0" fontId="41" fillId="12" borderId="26" xfId="0" applyFont="1" applyFill="1" applyBorder="1" applyAlignment="1">
      <alignment horizontal="center" vertical="center" wrapText="1"/>
    </xf>
    <xf numFmtId="9" fontId="41" fillId="12" borderId="26" xfId="0" applyNumberFormat="1" applyFont="1" applyFill="1" applyBorder="1" applyAlignment="1">
      <alignment horizontal="center" vertical="center" wrapText="1"/>
    </xf>
    <xf numFmtId="4" fontId="41" fillId="12" borderId="3" xfId="1" applyNumberFormat="1" applyFont="1" applyFill="1" applyBorder="1" applyAlignment="1">
      <alignment horizontal="center" vertical="center" wrapText="1"/>
    </xf>
    <xf numFmtId="4" fontId="40" fillId="6" borderId="1" xfId="1" applyNumberFormat="1" applyFont="1" applyFill="1" applyBorder="1" applyAlignment="1">
      <alignment horizontal="center" vertical="center"/>
    </xf>
    <xf numFmtId="4" fontId="40" fillId="14" borderId="1" xfId="1" applyNumberFormat="1" applyFont="1" applyFill="1" applyBorder="1" applyAlignment="1">
      <alignment horizontal="center" vertical="center"/>
    </xf>
    <xf numFmtId="4" fontId="39" fillId="6" borderId="1" xfId="1" applyNumberFormat="1" applyFont="1" applyFill="1" applyBorder="1" applyAlignment="1">
      <alignment horizontal="center" vertical="center"/>
    </xf>
    <xf numFmtId="4" fontId="39" fillId="14" borderId="1" xfId="1" applyNumberFormat="1" applyFont="1" applyFill="1" applyBorder="1" applyAlignment="1">
      <alignment horizontal="center" vertical="center"/>
    </xf>
    <xf numFmtId="4" fontId="39" fillId="14" borderId="2" xfId="1" applyNumberFormat="1" applyFont="1" applyFill="1" applyBorder="1" applyAlignment="1">
      <alignment horizontal="center" vertical="center"/>
    </xf>
    <xf numFmtId="4" fontId="39" fillId="6" borderId="2" xfId="1" applyNumberFormat="1" applyFont="1" applyFill="1" applyBorder="1" applyAlignment="1">
      <alignment horizontal="center" vertical="center"/>
    </xf>
    <xf numFmtId="1" fontId="41" fillId="12" borderId="26" xfId="0" applyNumberFormat="1" applyFont="1" applyFill="1" applyBorder="1" applyAlignment="1">
      <alignment horizontal="center" vertical="center" wrapText="1"/>
    </xf>
    <xf numFmtId="10" fontId="5" fillId="14" borderId="1" xfId="1" applyNumberFormat="1" applyFont="1" applyFill="1" applyBorder="1" applyAlignment="1">
      <alignment horizontal="center" vertical="center" wrapText="1"/>
    </xf>
    <xf numFmtId="10" fontId="23" fillId="6" borderId="1" xfId="0" applyNumberFormat="1" applyFont="1" applyFill="1" applyBorder="1" applyAlignment="1">
      <alignment horizontal="center" vertical="center" wrapText="1"/>
    </xf>
    <xf numFmtId="10" fontId="40" fillId="14" borderId="1" xfId="3" applyNumberFormat="1" applyFont="1" applyFill="1" applyBorder="1" applyAlignment="1">
      <alignment horizontal="center" vertical="center"/>
    </xf>
    <xf numFmtId="10" fontId="40" fillId="6" borderId="1" xfId="3" applyNumberFormat="1" applyFont="1" applyFill="1" applyBorder="1" applyAlignment="1">
      <alignment horizontal="center" vertical="center"/>
    </xf>
    <xf numFmtId="10" fontId="40" fillId="6" borderId="2" xfId="3" applyNumberFormat="1" applyFont="1" applyFill="1" applyBorder="1" applyAlignment="1">
      <alignment horizontal="center" vertical="center"/>
    </xf>
    <xf numFmtId="175" fontId="0" fillId="14" borderId="1" xfId="0" applyNumberFormat="1" applyFill="1" applyBorder="1" applyAlignment="1">
      <alignment horizontal="center" vertical="center"/>
    </xf>
    <xf numFmtId="175" fontId="0" fillId="0" borderId="0" xfId="0" applyNumberFormat="1"/>
    <xf numFmtId="0" fontId="5" fillId="14" borderId="24" xfId="0" applyFont="1" applyFill="1" applyBorder="1" applyAlignment="1">
      <alignment horizontal="center" vertical="center"/>
    </xf>
    <xf numFmtId="0" fontId="5" fillId="14" borderId="2" xfId="0" applyFont="1" applyFill="1" applyBorder="1" applyAlignment="1">
      <alignment horizontal="center" vertical="center" wrapText="1"/>
    </xf>
    <xf numFmtId="0" fontId="5" fillId="14" borderId="2" xfId="0" applyFont="1" applyFill="1" applyBorder="1" applyAlignment="1">
      <alignment horizontal="center" vertical="center"/>
    </xf>
    <xf numFmtId="165" fontId="5" fillId="14" borderId="2" xfId="0" applyNumberFormat="1" applyFont="1" applyFill="1" applyBorder="1" applyAlignment="1">
      <alignment horizontal="center" vertical="center"/>
    </xf>
    <xf numFmtId="165" fontId="40" fillId="14" borderId="2" xfId="0" applyNumberFormat="1" applyFont="1" applyFill="1" applyBorder="1" applyAlignment="1">
      <alignment horizontal="center" vertical="center"/>
    </xf>
    <xf numFmtId="1" fontId="40" fillId="14" borderId="2" xfId="0" applyNumberFormat="1" applyFont="1" applyFill="1" applyBorder="1" applyAlignment="1">
      <alignment horizontal="center" vertical="center"/>
    </xf>
    <xf numFmtId="39" fontId="5" fillId="14" borderId="2" xfId="1" applyNumberFormat="1" applyFont="1" applyFill="1" applyBorder="1" applyAlignment="1">
      <alignment horizontal="center" vertical="center"/>
    </xf>
    <xf numFmtId="10" fontId="40" fillId="14" borderId="2" xfId="1" applyNumberFormat="1" applyFont="1" applyFill="1" applyBorder="1" applyAlignment="1">
      <alignment horizontal="center" vertical="center"/>
    </xf>
    <xf numFmtId="10" fontId="40" fillId="14" borderId="2" xfId="3" applyNumberFormat="1" applyFont="1" applyFill="1" applyBorder="1" applyAlignment="1">
      <alignment horizontal="center" vertical="center"/>
    </xf>
    <xf numFmtId="0" fontId="5" fillId="14" borderId="2" xfId="1" applyNumberFormat="1" applyFont="1" applyFill="1" applyBorder="1" applyAlignment="1">
      <alignment horizontal="center" vertical="center" wrapText="1"/>
    </xf>
    <xf numFmtId="171" fontId="5" fillId="14" borderId="2" xfId="1" applyNumberFormat="1" applyFont="1" applyFill="1" applyBorder="1" applyAlignment="1">
      <alignment horizontal="center" vertical="center" wrapText="1"/>
    </xf>
    <xf numFmtId="0" fontId="5" fillId="14" borderId="33" xfId="0" applyFont="1" applyFill="1" applyBorder="1" applyAlignment="1">
      <alignment horizontal="center" vertical="center"/>
    </xf>
    <xf numFmtId="0" fontId="0" fillId="0" borderId="1" xfId="0" applyBorder="1" applyAlignment="1">
      <alignment horizontal="center" vertical="center" readingOrder="2"/>
    </xf>
    <xf numFmtId="10" fontId="9" fillId="14" borderId="1" xfId="3" applyNumberFormat="1" applyFont="1" applyFill="1" applyBorder="1" applyAlignment="1">
      <alignment horizontal="center" vertical="center" wrapText="1"/>
    </xf>
    <xf numFmtId="0" fontId="42" fillId="12" borderId="46" xfId="0" applyFont="1" applyFill="1" applyBorder="1" applyAlignment="1">
      <alignment horizontal="center" wrapText="1"/>
    </xf>
    <xf numFmtId="0" fontId="0" fillId="0" borderId="0" xfId="0" pivotButton="1" applyAlignment="1">
      <alignment horizontal="center" vertical="center"/>
    </xf>
    <xf numFmtId="10" fontId="0" fillId="0" borderId="0" xfId="0" applyNumberFormat="1" applyAlignment="1">
      <alignment horizontal="center" vertical="center"/>
    </xf>
    <xf numFmtId="4" fontId="0" fillId="0" borderId="0" xfId="0" applyNumberFormat="1" applyAlignment="1">
      <alignment horizontal="center" vertical="center"/>
    </xf>
    <xf numFmtId="171" fontId="0" fillId="0" borderId="0" xfId="0" applyNumberFormat="1" applyAlignment="1">
      <alignment horizontal="center" vertical="center"/>
    </xf>
    <xf numFmtId="2" fontId="0" fillId="0" borderId="0" xfId="0" applyNumberFormat="1" applyAlignment="1">
      <alignment horizontal="center" vertical="center"/>
    </xf>
    <xf numFmtId="0" fontId="0" fillId="8" borderId="0" xfId="0" applyFill="1" applyAlignment="1">
      <alignment horizontal="center" vertical="center"/>
    </xf>
    <xf numFmtId="0" fontId="9" fillId="21" borderId="0" xfId="0" applyFont="1" applyFill="1" applyAlignment="1">
      <alignment horizontal="center" vertical="center"/>
    </xf>
    <xf numFmtId="0" fontId="9" fillId="6" borderId="0" xfId="0" applyFont="1" applyFill="1" applyAlignment="1">
      <alignment horizontal="center" vertical="center"/>
    </xf>
    <xf numFmtId="0" fontId="9" fillId="22" borderId="0" xfId="0" applyFont="1" applyFill="1" applyAlignment="1">
      <alignment horizontal="center" vertical="center"/>
    </xf>
    <xf numFmtId="0" fontId="9" fillId="8" borderId="67" xfId="0" applyFont="1" applyFill="1" applyBorder="1" applyAlignment="1">
      <alignment horizontal="center" vertical="center"/>
    </xf>
    <xf numFmtId="0" fontId="43" fillId="4" borderId="1" xfId="0" applyFont="1" applyFill="1" applyBorder="1" applyAlignment="1">
      <alignment horizontal="center" vertical="center"/>
    </xf>
    <xf numFmtId="16" fontId="4" fillId="0" borderId="1" xfId="0" applyNumberFormat="1" applyFont="1" applyBorder="1" applyAlignment="1">
      <alignment horizontal="center" vertical="center"/>
    </xf>
    <xf numFmtId="0" fontId="0" fillId="6" borderId="1" xfId="0" applyFill="1" applyBorder="1" applyAlignment="1">
      <alignment horizontal="center" vertical="center"/>
    </xf>
    <xf numFmtId="10" fontId="14" fillId="12" borderId="26" xfId="3" applyNumberFormat="1" applyFont="1" applyFill="1" applyBorder="1" applyAlignment="1">
      <alignment horizontal="center" vertical="center" wrapText="1"/>
    </xf>
    <xf numFmtId="10" fontId="6" fillId="0" borderId="0" xfId="3" applyNumberFormat="1" applyFont="1" applyAlignment="1">
      <alignment horizontal="center" vertical="center"/>
    </xf>
    <xf numFmtId="0" fontId="30" fillId="0" borderId="0" xfId="0" applyFont="1" applyAlignment="1">
      <alignment horizontal="center" vertical="center"/>
    </xf>
    <xf numFmtId="0" fontId="4" fillId="0" borderId="1" xfId="0" applyFont="1" applyBorder="1" applyAlignment="1">
      <alignment horizontal="center" vertical="center"/>
    </xf>
    <xf numFmtId="0" fontId="46" fillId="0" borderId="0" xfId="0" applyFont="1" applyAlignment="1">
      <alignment horizontal="center" vertical="center"/>
    </xf>
    <xf numFmtId="4" fontId="10" fillId="0" borderId="0" xfId="0" applyNumberFormat="1" applyFont="1" applyAlignment="1">
      <alignment horizontal="center" vertical="center"/>
    </xf>
    <xf numFmtId="4" fontId="44" fillId="12" borderId="1" xfId="1" applyNumberFormat="1" applyFont="1" applyFill="1" applyBorder="1" applyAlignment="1">
      <alignment horizontal="center" vertical="center" wrapText="1"/>
    </xf>
    <xf numFmtId="4" fontId="45" fillId="6" borderId="1" xfId="1" applyNumberFormat="1" applyFont="1" applyFill="1" applyBorder="1" applyAlignment="1">
      <alignment horizontal="center" vertical="center"/>
    </xf>
    <xf numFmtId="10" fontId="45" fillId="6" borderId="1" xfId="1" applyNumberFormat="1" applyFont="1" applyFill="1" applyBorder="1" applyAlignment="1">
      <alignment horizontal="center" vertical="center"/>
    </xf>
    <xf numFmtId="4" fontId="45" fillId="14" borderId="1" xfId="1" applyNumberFormat="1" applyFont="1" applyFill="1" applyBorder="1" applyAlignment="1">
      <alignment horizontal="center" vertical="center"/>
    </xf>
    <xf numFmtId="10" fontId="45" fillId="14" borderId="1" xfId="1" applyNumberFormat="1" applyFont="1" applyFill="1" applyBorder="1" applyAlignment="1">
      <alignment horizontal="center" vertical="center"/>
    </xf>
    <xf numFmtId="0" fontId="29" fillId="14" borderId="0" xfId="0" applyFont="1" applyFill="1" applyAlignment="1">
      <alignment horizontal="center" vertical="center"/>
    </xf>
    <xf numFmtId="0" fontId="32" fillId="14" borderId="0" xfId="0" applyFont="1" applyFill="1" applyAlignment="1">
      <alignment horizontal="center" vertical="center"/>
    </xf>
    <xf numFmtId="0" fontId="6" fillId="14" borderId="0" xfId="0" applyFont="1" applyFill="1" applyAlignment="1">
      <alignment horizontal="center" vertical="center"/>
    </xf>
    <xf numFmtId="0" fontId="10" fillId="14" borderId="0" xfId="0" applyFont="1" applyFill="1" applyAlignment="1">
      <alignment horizontal="center" vertical="center"/>
    </xf>
    <xf numFmtId="175" fontId="4" fillId="14" borderId="1" xfId="0" applyNumberFormat="1" applyFont="1" applyFill="1" applyBorder="1" applyAlignment="1">
      <alignment horizontal="center" vertical="center"/>
    </xf>
    <xf numFmtId="175" fontId="4" fillId="0" borderId="0" xfId="0" applyNumberFormat="1" applyFont="1"/>
    <xf numFmtId="0" fontId="35" fillId="0" borderId="0" xfId="0" applyFont="1" applyAlignment="1">
      <alignment horizontal="center" vertical="center"/>
    </xf>
    <xf numFmtId="0" fontId="0" fillId="7" borderId="0" xfId="0" applyFill="1" applyAlignment="1">
      <alignment horizontal="center" vertical="center"/>
    </xf>
    <xf numFmtId="0" fontId="43" fillId="4" borderId="0" xfId="0" applyFont="1" applyFill="1" applyAlignment="1">
      <alignment horizontal="center" vertical="center"/>
    </xf>
    <xf numFmtId="0" fontId="35" fillId="6" borderId="69" xfId="0" applyFont="1" applyFill="1" applyBorder="1" applyAlignment="1">
      <alignment horizontal="center" vertical="center" wrapText="1" readingOrder="2"/>
    </xf>
    <xf numFmtId="0" fontId="5" fillId="6" borderId="70" xfId="0" applyFont="1" applyFill="1" applyBorder="1" applyAlignment="1">
      <alignment horizontal="center" vertical="center"/>
    </xf>
    <xf numFmtId="0" fontId="5" fillId="6" borderId="69" xfId="0" applyFont="1" applyFill="1" applyBorder="1" applyAlignment="1">
      <alignment horizontal="center" vertical="center"/>
    </xf>
    <xf numFmtId="0" fontId="5" fillId="6" borderId="69" xfId="0" applyFont="1" applyFill="1" applyBorder="1" applyAlignment="1">
      <alignment horizontal="center" vertical="center" wrapText="1"/>
    </xf>
    <xf numFmtId="10" fontId="5" fillId="6" borderId="69" xfId="0" applyNumberFormat="1" applyFont="1" applyFill="1" applyBorder="1" applyAlignment="1">
      <alignment horizontal="center" vertical="center"/>
    </xf>
    <xf numFmtId="10" fontId="5" fillId="6" borderId="69" xfId="3" applyNumberFormat="1" applyFont="1" applyFill="1" applyBorder="1" applyAlignment="1">
      <alignment horizontal="center" vertical="center"/>
    </xf>
    <xf numFmtId="174" fontId="5" fillId="6" borderId="69" xfId="3" applyNumberFormat="1" applyFont="1" applyFill="1" applyBorder="1" applyAlignment="1">
      <alignment horizontal="center" vertical="center"/>
    </xf>
    <xf numFmtId="169" fontId="5" fillId="6" borderId="69" xfId="0" applyNumberFormat="1" applyFont="1" applyFill="1" applyBorder="1" applyAlignment="1">
      <alignment horizontal="center" vertical="center"/>
    </xf>
    <xf numFmtId="0" fontId="5" fillId="6" borderId="69" xfId="0" applyFont="1" applyFill="1" applyBorder="1" applyAlignment="1">
      <alignment horizontal="right" vertical="center" wrapText="1" readingOrder="2"/>
    </xf>
    <xf numFmtId="0" fontId="35" fillId="14" borderId="69" xfId="0" applyFont="1" applyFill="1" applyBorder="1" applyAlignment="1">
      <alignment horizontal="center" vertical="center" wrapText="1" readingOrder="2"/>
    </xf>
    <xf numFmtId="0" fontId="0" fillId="14" borderId="71" xfId="0" applyFill="1" applyBorder="1" applyAlignment="1">
      <alignment horizontal="right" vertical="center" wrapText="1" readingOrder="2"/>
    </xf>
    <xf numFmtId="0" fontId="0" fillId="0" borderId="71" xfId="0" applyBorder="1" applyAlignment="1">
      <alignment horizontal="right" vertical="center" wrapText="1" readingOrder="2"/>
    </xf>
    <xf numFmtId="0" fontId="9" fillId="7" borderId="0" xfId="0" applyFont="1" applyFill="1" applyAlignment="1">
      <alignment horizontal="center" vertical="center"/>
    </xf>
    <xf numFmtId="168" fontId="0" fillId="0" borderId="0" xfId="0" applyNumberFormat="1" applyProtection="1">
      <protection hidden="1"/>
    </xf>
    <xf numFmtId="0" fontId="9" fillId="14" borderId="30" xfId="0" applyFont="1" applyFill="1" applyBorder="1" applyAlignment="1">
      <alignment horizontal="center" vertical="center" wrapText="1" readingOrder="2"/>
    </xf>
    <xf numFmtId="0" fontId="47" fillId="14" borderId="71" xfId="0" applyFont="1" applyFill="1" applyBorder="1" applyAlignment="1">
      <alignment horizontal="right" vertical="center" wrapText="1" readingOrder="2"/>
    </xf>
    <xf numFmtId="0" fontId="47" fillId="6" borderId="73" xfId="0" applyFont="1" applyFill="1" applyBorder="1" applyAlignment="1">
      <alignment horizontal="right" vertical="center" wrapText="1" readingOrder="2"/>
    </xf>
    <xf numFmtId="10" fontId="27" fillId="0" borderId="0" xfId="3" applyNumberFormat="1" applyFont="1" applyAlignment="1">
      <alignment horizontal="center" vertical="center"/>
    </xf>
    <xf numFmtId="0" fontId="27" fillId="0" borderId="0" xfId="0" applyFont="1" applyAlignment="1">
      <alignment horizontal="center" vertical="center"/>
    </xf>
    <xf numFmtId="10" fontId="22" fillId="0" borderId="0" xfId="3" applyNumberFormat="1" applyFont="1" applyAlignment="1">
      <alignment horizontal="center" vertical="center"/>
    </xf>
    <xf numFmtId="0" fontId="22" fillId="0" borderId="0" xfId="0" applyFont="1" applyAlignment="1">
      <alignment horizontal="center" vertical="center"/>
    </xf>
    <xf numFmtId="10" fontId="28" fillId="0" borderId="0" xfId="3" applyNumberFormat="1" applyFont="1" applyAlignment="1">
      <alignment horizontal="center" vertical="center"/>
    </xf>
    <xf numFmtId="10" fontId="28" fillId="0" borderId="0" xfId="0" applyNumberFormat="1" applyFont="1" applyAlignment="1">
      <alignment horizontal="center" vertical="center"/>
    </xf>
    <xf numFmtId="0" fontId="35" fillId="6" borderId="0" xfId="0" applyFont="1" applyFill="1" applyAlignment="1">
      <alignment horizontal="center" vertical="center"/>
    </xf>
    <xf numFmtId="0" fontId="0" fillId="6" borderId="0" xfId="0" applyFill="1" applyAlignment="1">
      <alignment horizontal="center" vertical="center"/>
    </xf>
    <xf numFmtId="0" fontId="44" fillId="13" borderId="26" xfId="0" applyFont="1" applyFill="1" applyBorder="1" applyAlignment="1">
      <alignment horizontal="center" vertical="center" wrapText="1"/>
    </xf>
    <xf numFmtId="2" fontId="44" fillId="12" borderId="26" xfId="0" applyNumberFormat="1" applyFont="1" applyFill="1" applyBorder="1" applyAlignment="1">
      <alignment horizontal="center" vertical="center" wrapText="1"/>
    </xf>
    <xf numFmtId="171" fontId="48" fillId="14" borderId="1" xfId="1" applyNumberFormat="1" applyFont="1" applyFill="1" applyBorder="1" applyAlignment="1">
      <alignment horizontal="center" vertical="center" wrapText="1"/>
    </xf>
    <xf numFmtId="2" fontId="48" fillId="14" borderId="1" xfId="1" applyNumberFormat="1" applyFont="1" applyFill="1" applyBorder="1" applyAlignment="1">
      <alignment horizontal="center" vertical="center" wrapText="1"/>
    </xf>
    <xf numFmtId="2" fontId="48" fillId="14" borderId="1" xfId="0" applyNumberFormat="1" applyFont="1" applyFill="1" applyBorder="1" applyAlignment="1">
      <alignment horizontal="center" vertical="center" wrapText="1"/>
    </xf>
    <xf numFmtId="171" fontId="48" fillId="6" borderId="1" xfId="1" applyNumberFormat="1" applyFont="1" applyFill="1" applyBorder="1" applyAlignment="1">
      <alignment horizontal="center" vertical="center" wrapText="1"/>
    </xf>
    <xf numFmtId="2" fontId="48" fillId="6" borderId="1" xfId="1" applyNumberFormat="1" applyFont="1" applyFill="1" applyBorder="1" applyAlignment="1">
      <alignment horizontal="center" vertical="center" wrapText="1"/>
    </xf>
    <xf numFmtId="2" fontId="48" fillId="6" borderId="1" xfId="0" applyNumberFormat="1" applyFont="1" applyFill="1" applyBorder="1" applyAlignment="1">
      <alignment horizontal="center" vertical="center" wrapText="1"/>
    </xf>
    <xf numFmtId="171" fontId="48" fillId="6" borderId="2" xfId="1" applyNumberFormat="1" applyFont="1" applyFill="1" applyBorder="1" applyAlignment="1">
      <alignment horizontal="center" vertical="center" wrapText="1"/>
    </xf>
    <xf numFmtId="2" fontId="48" fillId="6" borderId="2" xfId="1" applyNumberFormat="1" applyFont="1" applyFill="1" applyBorder="1" applyAlignment="1">
      <alignment horizontal="center" vertical="center" wrapText="1"/>
    </xf>
    <xf numFmtId="2" fontId="48" fillId="6" borderId="2" xfId="0" applyNumberFormat="1" applyFont="1" applyFill="1" applyBorder="1" applyAlignment="1">
      <alignment horizontal="center" vertical="center" wrapText="1"/>
    </xf>
    <xf numFmtId="0" fontId="10" fillId="0" borderId="0" xfId="0" applyFont="1" applyAlignment="1">
      <alignment horizontal="center" vertical="center" wrapText="1"/>
    </xf>
    <xf numFmtId="2" fontId="10" fillId="0" borderId="0" xfId="0" applyNumberFormat="1" applyFont="1" applyAlignment="1">
      <alignment horizontal="center" vertical="center"/>
    </xf>
    <xf numFmtId="0" fontId="49" fillId="0" borderId="1" xfId="0" applyFont="1" applyBorder="1" applyAlignment="1" applyProtection="1">
      <alignment horizontal="center" vertical="center" wrapText="1"/>
      <protection hidden="1"/>
    </xf>
    <xf numFmtId="0" fontId="49" fillId="0" borderId="1" xfId="0" applyFont="1" applyBorder="1" applyAlignment="1" applyProtection="1">
      <alignment horizontal="center" vertical="center"/>
      <protection hidden="1"/>
    </xf>
    <xf numFmtId="168" fontId="49" fillId="0" borderId="1" xfId="0" applyNumberFormat="1" applyFont="1" applyBorder="1" applyAlignment="1" applyProtection="1">
      <alignment horizontal="center" vertical="center"/>
      <protection locked="0"/>
    </xf>
    <xf numFmtId="1" fontId="49" fillId="0" borderId="1" xfId="0" applyNumberFormat="1" applyFont="1" applyBorder="1" applyAlignment="1" applyProtection="1">
      <alignment horizontal="center" vertical="center"/>
      <protection hidden="1"/>
    </xf>
    <xf numFmtId="2" fontId="49" fillId="0" borderId="1" xfId="0" applyNumberFormat="1" applyFont="1" applyBorder="1" applyAlignment="1" applyProtection="1">
      <alignment horizontal="center" vertical="center"/>
      <protection hidden="1"/>
    </xf>
    <xf numFmtId="4" fontId="49" fillId="0"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protection hidden="1"/>
    </xf>
    <xf numFmtId="168" fontId="49" fillId="6" borderId="1" xfId="0" applyNumberFormat="1" applyFont="1" applyFill="1" applyBorder="1" applyAlignment="1" applyProtection="1">
      <alignment horizontal="center" vertical="center"/>
      <protection locked="0"/>
    </xf>
    <xf numFmtId="167" fontId="49" fillId="0" borderId="1" xfId="0" applyNumberFormat="1" applyFont="1" applyBorder="1" applyAlignment="1" applyProtection="1">
      <alignment horizontal="center" vertical="center" wrapText="1"/>
      <protection hidden="1"/>
    </xf>
    <xf numFmtId="167" fontId="49" fillId="0" borderId="1" xfId="0" applyNumberFormat="1" applyFont="1" applyBorder="1" applyAlignment="1" applyProtection="1">
      <alignment horizontal="center" vertical="center"/>
      <protection hidden="1"/>
    </xf>
    <xf numFmtId="0" fontId="49" fillId="14" borderId="1" xfId="0" applyFont="1" applyFill="1" applyBorder="1" applyAlignment="1" applyProtection="1">
      <alignment horizontal="center" vertical="center" wrapText="1"/>
      <protection hidden="1"/>
    </xf>
    <xf numFmtId="10" fontId="49" fillId="0" borderId="1" xfId="3" applyNumberFormat="1" applyFont="1" applyBorder="1" applyAlignment="1" applyProtection="1">
      <alignment horizontal="center" vertical="center"/>
      <protection hidden="1"/>
    </xf>
    <xf numFmtId="10" fontId="49" fillId="0" borderId="1" xfId="3" applyNumberFormat="1" applyFont="1" applyFill="1" applyBorder="1" applyAlignment="1" applyProtection="1">
      <alignment horizontal="center" vertical="center"/>
      <protection hidden="1"/>
    </xf>
    <xf numFmtId="165" fontId="49" fillId="14" borderId="1" xfId="0" applyNumberFormat="1" applyFont="1" applyFill="1" applyBorder="1" applyAlignment="1" applyProtection="1">
      <alignment horizontal="center" vertical="center"/>
      <protection hidden="1"/>
    </xf>
    <xf numFmtId="10" fontId="49" fillId="6" borderId="1" xfId="0" applyNumberFormat="1" applyFont="1" applyFill="1" applyBorder="1" applyAlignment="1" applyProtection="1">
      <alignment horizontal="center" vertical="center"/>
      <protection hidden="1"/>
    </xf>
    <xf numFmtId="10" fontId="49" fillId="6" borderId="1" xfId="3" applyNumberFormat="1" applyFont="1" applyFill="1" applyBorder="1" applyAlignment="1" applyProtection="1">
      <alignment horizontal="center" vertical="center"/>
      <protection hidden="1"/>
    </xf>
    <xf numFmtId="10" fontId="49" fillId="14" borderId="1" xfId="3" applyNumberFormat="1" applyFont="1" applyFill="1" applyBorder="1" applyAlignment="1" applyProtection="1">
      <alignment horizontal="center" vertical="center"/>
      <protection hidden="1"/>
    </xf>
    <xf numFmtId="0" fontId="49" fillId="6" borderId="1" xfId="0" applyFont="1" applyFill="1" applyBorder="1" applyAlignment="1" applyProtection="1">
      <alignment horizontal="center" vertical="center" wrapText="1"/>
      <protection hidden="1"/>
    </xf>
    <xf numFmtId="0" fontId="49" fillId="6" borderId="1" xfId="0" applyFont="1" applyFill="1" applyBorder="1" applyAlignment="1" applyProtection="1">
      <alignment horizontal="center" vertical="center"/>
      <protection hidden="1"/>
    </xf>
    <xf numFmtId="165" fontId="49" fillId="6" borderId="1" xfId="0" applyNumberFormat="1" applyFont="1" applyFill="1" applyBorder="1" applyAlignment="1" applyProtection="1">
      <alignment horizontal="center" vertical="center"/>
      <protection hidden="1"/>
    </xf>
    <xf numFmtId="1" fontId="49" fillId="6" borderId="1" xfId="0" applyNumberFormat="1" applyFont="1" applyFill="1" applyBorder="1" applyAlignment="1" applyProtection="1">
      <alignment horizontal="center" vertical="center"/>
      <protection hidden="1"/>
    </xf>
    <xf numFmtId="4" fontId="49" fillId="6"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wrapText="1"/>
      <protection hidden="1"/>
    </xf>
    <xf numFmtId="4" fontId="49" fillId="0" borderId="1" xfId="0" applyNumberFormat="1" applyFont="1" applyBorder="1" applyAlignment="1" applyProtection="1">
      <alignment horizontal="center" vertical="center"/>
      <protection hidden="1"/>
    </xf>
    <xf numFmtId="10" fontId="49" fillId="14" borderId="1" xfId="0" applyNumberFormat="1" applyFont="1" applyFill="1" applyBorder="1" applyAlignment="1" applyProtection="1">
      <alignment horizontal="center" vertical="center"/>
      <protection hidden="1"/>
    </xf>
    <xf numFmtId="168" fontId="49" fillId="14" borderId="1" xfId="0" applyNumberFormat="1" applyFont="1" applyFill="1" applyBorder="1" applyAlignment="1" applyProtection="1">
      <alignment horizontal="center" vertical="center"/>
      <protection locked="0"/>
    </xf>
    <xf numFmtId="14" fontId="49" fillId="6" borderId="1" xfId="0" applyNumberFormat="1" applyFont="1" applyFill="1" applyBorder="1" applyAlignment="1" applyProtection="1">
      <alignment horizontal="center" vertical="center"/>
      <protection hidden="1"/>
    </xf>
    <xf numFmtId="1" fontId="49" fillId="6" borderId="1" xfId="1" applyNumberFormat="1" applyFont="1" applyFill="1" applyBorder="1" applyAlignment="1" applyProtection="1">
      <alignment horizontal="center" vertical="center"/>
      <protection hidden="1"/>
    </xf>
    <xf numFmtId="0" fontId="49" fillId="14" borderId="1" xfId="0" applyFont="1" applyFill="1" applyBorder="1" applyAlignment="1" applyProtection="1">
      <alignment horizontal="center" vertical="center"/>
      <protection hidden="1"/>
    </xf>
    <xf numFmtId="14" fontId="49" fillId="14" borderId="1" xfId="0" applyNumberFormat="1" applyFont="1" applyFill="1" applyBorder="1" applyAlignment="1" applyProtection="1">
      <alignment horizontal="center" vertical="center"/>
      <protection hidden="1"/>
    </xf>
    <xf numFmtId="1" fontId="49" fillId="14" borderId="1" xfId="0" applyNumberFormat="1" applyFont="1" applyFill="1" applyBorder="1" applyAlignment="1" applyProtection="1">
      <alignment horizontal="center" vertical="center"/>
      <protection hidden="1"/>
    </xf>
    <xf numFmtId="1" fontId="49" fillId="14" borderId="1" xfId="1" applyNumberFormat="1" applyFont="1" applyFill="1" applyBorder="1" applyAlignment="1" applyProtection="1">
      <alignment horizontal="center" vertical="center"/>
      <protection hidden="1"/>
    </xf>
    <xf numFmtId="4" fontId="49" fillId="14" borderId="1" xfId="2" applyNumberFormat="1" applyFont="1" applyFill="1" applyBorder="1" applyAlignment="1" applyProtection="1">
      <alignment horizontal="center" vertical="center"/>
      <protection hidden="1"/>
    </xf>
    <xf numFmtId="0" fontId="49" fillId="18" borderId="1" xfId="0" applyFont="1" applyFill="1" applyBorder="1" applyAlignment="1" applyProtection="1">
      <alignment horizontal="center" vertical="center" wrapText="1"/>
      <protection hidden="1"/>
    </xf>
    <xf numFmtId="0" fontId="49" fillId="18" borderId="1" xfId="0" applyFont="1" applyFill="1" applyBorder="1" applyAlignment="1" applyProtection="1">
      <alignment horizontal="center" vertical="center"/>
      <protection hidden="1"/>
    </xf>
    <xf numFmtId="165" fontId="49" fillId="18" borderId="1" xfId="0" applyNumberFormat="1" applyFont="1" applyFill="1" applyBorder="1" applyAlignment="1" applyProtection="1">
      <alignment horizontal="center" vertical="center"/>
      <protection hidden="1"/>
    </xf>
    <xf numFmtId="1" fontId="49" fillId="18" borderId="1" xfId="0" applyNumberFormat="1" applyFont="1" applyFill="1" applyBorder="1" applyAlignment="1" applyProtection="1">
      <alignment horizontal="center" vertical="center"/>
      <protection hidden="1"/>
    </xf>
    <xf numFmtId="4" fontId="49" fillId="18" borderId="1" xfId="2" applyNumberFormat="1" applyFont="1" applyFill="1" applyBorder="1" applyAlignment="1" applyProtection="1">
      <alignment horizontal="center" vertical="center"/>
      <protection hidden="1"/>
    </xf>
    <xf numFmtId="10" fontId="49" fillId="18" borderId="1" xfId="0" applyNumberFormat="1" applyFont="1" applyFill="1" applyBorder="1" applyAlignment="1" applyProtection="1">
      <alignment horizontal="center" vertical="center"/>
      <protection hidden="1"/>
    </xf>
    <xf numFmtId="10" fontId="49" fillId="18" borderId="1" xfId="3" applyNumberFormat="1" applyFont="1" applyFill="1" applyBorder="1" applyAlignment="1" applyProtection="1">
      <alignment horizontal="center" vertical="center"/>
      <protection hidden="1"/>
    </xf>
    <xf numFmtId="1" fontId="49" fillId="18" borderId="1" xfId="1" applyNumberFormat="1" applyFont="1" applyFill="1" applyBorder="1" applyAlignment="1" applyProtection="1">
      <alignment horizontal="center" vertical="center"/>
      <protection hidden="1"/>
    </xf>
    <xf numFmtId="14" fontId="49" fillId="18" borderId="1" xfId="0" applyNumberFormat="1" applyFont="1" applyFill="1" applyBorder="1" applyAlignment="1" applyProtection="1">
      <alignment horizontal="center" vertical="center"/>
      <protection hidden="1"/>
    </xf>
    <xf numFmtId="0" fontId="9" fillId="6" borderId="4" xfId="0" applyFont="1" applyFill="1" applyBorder="1" applyAlignment="1" applyProtection="1">
      <alignment horizontal="center" vertical="center"/>
      <protection hidden="1"/>
    </xf>
    <xf numFmtId="168" fontId="49" fillId="18" borderId="1" xfId="0" applyNumberFormat="1" applyFont="1" applyFill="1" applyBorder="1" applyAlignment="1" applyProtection="1">
      <alignment horizontal="center" vertical="center"/>
      <protection locked="0"/>
    </xf>
    <xf numFmtId="0" fontId="0" fillId="6" borderId="0" xfId="0" applyFill="1" applyAlignment="1" applyProtection="1">
      <alignment horizontal="center" vertical="center"/>
      <protection hidden="1"/>
    </xf>
    <xf numFmtId="10" fontId="49" fillId="6" borderId="2" xfId="3" applyNumberFormat="1" applyFont="1" applyFill="1" applyBorder="1" applyAlignment="1" applyProtection="1">
      <alignment horizontal="center" vertical="center"/>
      <protection hidden="1"/>
    </xf>
    <xf numFmtId="0" fontId="0" fillId="6" borderId="0" xfId="0" applyFill="1" applyProtection="1">
      <protection hidden="1"/>
    </xf>
    <xf numFmtId="0" fontId="0" fillId="14" borderId="0" xfId="0" applyFill="1" applyAlignment="1" applyProtection="1">
      <alignment horizontal="center" vertical="center"/>
      <protection hidden="1"/>
    </xf>
    <xf numFmtId="0" fontId="0" fillId="14" borderId="0" xfId="0" applyFill="1" applyProtection="1">
      <protection hidden="1"/>
    </xf>
    <xf numFmtId="0" fontId="36" fillId="14" borderId="0" xfId="0" applyFont="1" applyFill="1" applyAlignment="1" applyProtection="1">
      <alignment horizontal="center" vertical="center"/>
      <protection hidden="1"/>
    </xf>
    <xf numFmtId="0" fontId="36" fillId="14" borderId="0" xfId="0" applyFont="1" applyFill="1" applyProtection="1">
      <protection hidden="1"/>
    </xf>
    <xf numFmtId="0" fontId="36" fillId="6" borderId="0" xfId="0" applyFont="1" applyFill="1" applyAlignment="1" applyProtection="1">
      <alignment horizontal="center" vertical="center"/>
      <protection hidden="1"/>
    </xf>
    <xf numFmtId="0" fontId="36" fillId="6" borderId="0" xfId="0" applyFont="1" applyFill="1" applyProtection="1">
      <protection hidden="1"/>
    </xf>
    <xf numFmtId="0" fontId="9" fillId="6" borderId="0" xfId="0" applyFont="1" applyFill="1" applyAlignment="1">
      <alignment horizontal="center" vertical="center" wrapText="1"/>
    </xf>
    <xf numFmtId="10" fontId="9" fillId="6" borderId="0" xfId="3" applyNumberFormat="1" applyFont="1" applyFill="1" applyBorder="1" applyAlignment="1">
      <alignment horizontal="center" vertical="center" wrapText="1"/>
    </xf>
    <xf numFmtId="10" fontId="9" fillId="6" borderId="0" xfId="0" applyNumberFormat="1" applyFont="1" applyFill="1" applyAlignment="1">
      <alignment horizontal="center" vertical="center" wrapText="1"/>
    </xf>
    <xf numFmtId="10" fontId="37" fillId="6" borderId="0" xfId="0" applyNumberFormat="1" applyFont="1" applyFill="1" applyAlignment="1">
      <alignment horizontal="center" vertical="center" wrapText="1"/>
    </xf>
    <xf numFmtId="0" fontId="9" fillId="0" borderId="0" xfId="0" applyFont="1" applyAlignment="1">
      <alignment horizontal="center" vertical="center" wrapText="1" readingOrder="2"/>
    </xf>
    <xf numFmtId="0" fontId="47" fillId="6" borderId="0" xfId="0" applyFont="1" applyFill="1" applyAlignment="1">
      <alignment horizontal="right" vertical="center" wrapText="1" readingOrder="2"/>
    </xf>
    <xf numFmtId="0" fontId="0" fillId="0" borderId="0" xfId="0" applyAlignment="1">
      <alignment horizontal="right" vertical="center" wrapText="1" readingOrder="2"/>
    </xf>
    <xf numFmtId="0" fontId="9" fillId="6" borderId="0" xfId="0" applyFont="1" applyFill="1" applyAlignment="1">
      <alignment horizontal="center" vertical="center" wrapText="1" readingOrder="2"/>
    </xf>
    <xf numFmtId="0" fontId="35" fillId="14" borderId="4" xfId="0" applyFont="1" applyFill="1" applyBorder="1" applyAlignment="1">
      <alignment horizontal="center" vertical="center" wrapText="1" readingOrder="2"/>
    </xf>
    <xf numFmtId="165" fontId="29" fillId="21" borderId="2" xfId="0" applyNumberFormat="1" applyFont="1" applyFill="1" applyBorder="1" applyAlignment="1">
      <alignment horizontal="center" vertical="center" wrapText="1"/>
    </xf>
    <xf numFmtId="0" fontId="29" fillId="6" borderId="30" xfId="0" applyFont="1" applyFill="1" applyBorder="1" applyAlignment="1">
      <alignment horizontal="center" vertical="center" wrapText="1" readingOrder="2"/>
    </xf>
    <xf numFmtId="0" fontId="29" fillId="6" borderId="23" xfId="0" applyFont="1" applyFill="1" applyBorder="1" applyAlignment="1">
      <alignment horizontal="center" vertical="center" wrapText="1"/>
    </xf>
    <xf numFmtId="0" fontId="29" fillId="14" borderId="23" xfId="0" applyFont="1" applyFill="1" applyBorder="1" applyAlignment="1">
      <alignment horizontal="center" vertical="center" wrapText="1"/>
    </xf>
    <xf numFmtId="165" fontId="29" fillId="20" borderId="2" xfId="0" applyNumberFormat="1" applyFont="1" applyFill="1" applyBorder="1" applyAlignment="1">
      <alignment horizontal="center" vertical="center" wrapText="1"/>
    </xf>
    <xf numFmtId="0" fontId="29" fillId="14" borderId="30" xfId="0" applyFont="1" applyFill="1" applyBorder="1" applyAlignment="1">
      <alignment horizontal="center" vertical="center" wrapText="1" readingOrder="2"/>
    </xf>
    <xf numFmtId="0" fontId="29" fillId="14" borderId="23" xfId="0" applyFont="1" applyFill="1" applyBorder="1" applyAlignment="1">
      <alignment horizontal="center" vertical="center" wrapText="1" readingOrder="2"/>
    </xf>
    <xf numFmtId="0" fontId="4" fillId="0" borderId="0" xfId="0" applyFont="1" applyAlignment="1">
      <alignment horizontal="right" wrapText="1"/>
    </xf>
    <xf numFmtId="0" fontId="0" fillId="0" borderId="0" xfId="0" applyAlignment="1">
      <alignment horizontal="right"/>
    </xf>
    <xf numFmtId="1" fontId="44" fillId="12" borderId="26" xfId="0" applyNumberFormat="1" applyFont="1" applyFill="1" applyBorder="1" applyAlignment="1">
      <alignment horizontal="center" vertical="center" wrapText="1"/>
    </xf>
    <xf numFmtId="10" fontId="48" fillId="6" borderId="1" xfId="3" applyNumberFormat="1" applyFont="1" applyFill="1" applyBorder="1" applyAlignment="1">
      <alignment horizontal="center" vertical="center"/>
    </xf>
    <xf numFmtId="10" fontId="48" fillId="14" borderId="1" xfId="3" applyNumberFormat="1" applyFont="1" applyFill="1" applyBorder="1" applyAlignment="1">
      <alignment horizontal="center" vertical="center"/>
    </xf>
    <xf numFmtId="10" fontId="48" fillId="14" borderId="2" xfId="3" applyNumberFormat="1" applyFont="1" applyFill="1" applyBorder="1" applyAlignment="1">
      <alignment horizontal="center" vertical="center"/>
    </xf>
    <xf numFmtId="10" fontId="48" fillId="6" borderId="2" xfId="3" applyNumberFormat="1" applyFont="1" applyFill="1" applyBorder="1" applyAlignment="1">
      <alignment horizontal="center" vertical="center"/>
    </xf>
    <xf numFmtId="1" fontId="7" fillId="0" borderId="0" xfId="0" applyNumberFormat="1" applyFont="1" applyAlignment="1">
      <alignment horizontal="center" vertical="center"/>
    </xf>
    <xf numFmtId="0" fontId="53" fillId="0" borderId="0" xfId="0" applyFont="1" applyAlignment="1">
      <alignment horizontal="center" vertical="center"/>
    </xf>
    <xf numFmtId="176" fontId="5" fillId="6" borderId="1" xfId="3" applyNumberFormat="1" applyFont="1" applyFill="1" applyBorder="1" applyAlignment="1">
      <alignment horizontal="center" vertical="center"/>
    </xf>
    <xf numFmtId="176" fontId="5" fillId="14" borderId="1" xfId="3" applyNumberFormat="1" applyFont="1" applyFill="1" applyBorder="1" applyAlignment="1">
      <alignment horizontal="center" vertical="center"/>
    </xf>
    <xf numFmtId="176" fontId="5" fillId="14" borderId="2" xfId="3" applyNumberFormat="1" applyFont="1" applyFill="1" applyBorder="1" applyAlignment="1">
      <alignment horizontal="center" vertical="center"/>
    </xf>
    <xf numFmtId="177" fontId="5" fillId="6" borderId="1" xfId="3" applyNumberFormat="1" applyFont="1" applyFill="1" applyBorder="1" applyAlignment="1">
      <alignment horizontal="center" vertical="center"/>
    </xf>
    <xf numFmtId="177" fontId="5" fillId="14" borderId="1" xfId="3" applyNumberFormat="1" applyFont="1" applyFill="1" applyBorder="1" applyAlignment="1">
      <alignment horizontal="center" vertical="center"/>
    </xf>
    <xf numFmtId="177" fontId="5" fillId="14" borderId="2" xfId="3" applyNumberFormat="1" applyFont="1" applyFill="1" applyBorder="1" applyAlignment="1">
      <alignment horizontal="center" vertical="center"/>
    </xf>
    <xf numFmtId="0" fontId="56" fillId="12" borderId="75" xfId="0" applyFont="1" applyFill="1" applyBorder="1" applyAlignment="1">
      <alignment horizontal="center" vertical="center" wrapText="1" readingOrder="2"/>
    </xf>
    <xf numFmtId="0" fontId="57" fillId="12" borderId="75" xfId="0" applyFont="1" applyFill="1" applyBorder="1" applyAlignment="1">
      <alignment horizontal="center" vertical="center" wrapText="1" readingOrder="2"/>
    </xf>
    <xf numFmtId="0" fontId="60" fillId="12" borderId="74" xfId="0" applyFont="1" applyFill="1" applyBorder="1" applyAlignment="1">
      <alignment horizontal="center" vertical="center" wrapText="1" readingOrder="2"/>
    </xf>
    <xf numFmtId="0" fontId="54" fillId="12" borderId="74" xfId="0" applyFont="1" applyFill="1" applyBorder="1" applyAlignment="1">
      <alignment horizontal="center" vertical="center" wrapText="1"/>
    </xf>
    <xf numFmtId="0" fontId="55" fillId="12" borderId="75"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7" fillId="12" borderId="75" xfId="0" applyFont="1" applyFill="1" applyBorder="1" applyAlignment="1">
      <alignment horizontal="center" vertical="center" readingOrder="2"/>
    </xf>
    <xf numFmtId="0" fontId="58" fillId="14" borderId="75" xfId="0" applyFont="1" applyFill="1" applyBorder="1" applyAlignment="1">
      <alignment horizontal="center" vertical="center" wrapText="1" readingOrder="2"/>
    </xf>
    <xf numFmtId="0" fontId="58" fillId="6" borderId="75" xfId="0" applyFont="1" applyFill="1" applyBorder="1" applyAlignment="1">
      <alignment horizontal="center" vertical="center" wrapText="1" readingOrder="2"/>
    </xf>
    <xf numFmtId="0" fontId="9" fillId="14" borderId="35" xfId="0" applyFont="1" applyFill="1" applyBorder="1" applyAlignment="1">
      <alignment horizontal="center" vertical="center"/>
    </xf>
    <xf numFmtId="0" fontId="9" fillId="14" borderId="41" xfId="0" applyFont="1" applyFill="1" applyBorder="1" applyAlignment="1">
      <alignment horizontal="center" vertical="center"/>
    </xf>
    <xf numFmtId="0" fontId="9" fillId="14" borderId="28" xfId="0" applyFont="1" applyFill="1" applyBorder="1" applyAlignment="1">
      <alignment horizontal="center" vertical="center" wrapText="1"/>
    </xf>
    <xf numFmtId="10" fontId="9" fillId="14" borderId="28" xfId="3" applyNumberFormat="1" applyFont="1" applyFill="1" applyBorder="1" applyAlignment="1">
      <alignment horizontal="center" vertical="center" wrapText="1"/>
    </xf>
    <xf numFmtId="10" fontId="9" fillId="14" borderId="28" xfId="0" applyNumberFormat="1" applyFont="1" applyFill="1" applyBorder="1" applyAlignment="1">
      <alignment horizontal="center" vertical="center" wrapText="1"/>
    </xf>
    <xf numFmtId="10" fontId="37" fillId="14" borderId="28" xfId="0" applyNumberFormat="1" applyFont="1" applyFill="1" applyBorder="1" applyAlignment="1">
      <alignment horizontal="center" vertical="center" wrapText="1"/>
    </xf>
    <xf numFmtId="0" fontId="35" fillId="14" borderId="28" xfId="0" applyFont="1" applyFill="1" applyBorder="1" applyAlignment="1">
      <alignment horizontal="center" vertical="center" wrapText="1" readingOrder="2"/>
    </xf>
    <xf numFmtId="0" fontId="35" fillId="14" borderId="55" xfId="0" applyFont="1" applyFill="1" applyBorder="1" applyAlignment="1">
      <alignment horizontal="center" vertical="center" wrapText="1" readingOrder="2"/>
    </xf>
    <xf numFmtId="0" fontId="9" fillId="14" borderId="29" xfId="0" applyFont="1" applyFill="1" applyBorder="1" applyAlignment="1">
      <alignment horizontal="center" vertical="center" wrapText="1" readingOrder="2"/>
    </xf>
    <xf numFmtId="0" fontId="9" fillId="6" borderId="23" xfId="0" applyFont="1" applyFill="1" applyBorder="1" applyAlignment="1">
      <alignment horizontal="center" vertical="center"/>
    </xf>
    <xf numFmtId="0" fontId="9" fillId="6" borderId="38" xfId="0" applyFont="1" applyFill="1" applyBorder="1" applyAlignment="1">
      <alignment horizontal="center" vertical="center"/>
    </xf>
    <xf numFmtId="0" fontId="9" fillId="6" borderId="1" xfId="0" applyFont="1" applyFill="1" applyBorder="1" applyAlignment="1">
      <alignment horizontal="center" vertical="center" wrapText="1"/>
    </xf>
    <xf numFmtId="10" fontId="9" fillId="6" borderId="1" xfId="3" applyNumberFormat="1" applyFont="1" applyFill="1" applyBorder="1" applyAlignment="1">
      <alignment horizontal="center" vertical="center" wrapText="1"/>
    </xf>
    <xf numFmtId="10" fontId="9" fillId="6" borderId="1" xfId="0" applyNumberFormat="1" applyFont="1" applyFill="1" applyBorder="1" applyAlignment="1">
      <alignment horizontal="center" vertical="center" wrapText="1"/>
    </xf>
    <xf numFmtId="10" fontId="37" fillId="6" borderId="1" xfId="0" applyNumberFormat="1" applyFont="1" applyFill="1" applyBorder="1" applyAlignment="1">
      <alignment horizontal="center" vertical="center" wrapText="1"/>
    </xf>
    <xf numFmtId="0" fontId="35" fillId="6" borderId="4" xfId="0" applyFont="1" applyFill="1" applyBorder="1" applyAlignment="1">
      <alignment horizontal="center" vertical="center" wrapText="1" readingOrder="2"/>
    </xf>
    <xf numFmtId="0" fontId="9" fillId="6" borderId="30" xfId="0" applyFont="1" applyFill="1" applyBorder="1" applyAlignment="1">
      <alignment horizontal="center" vertical="center" wrapText="1" readingOrder="2"/>
    </xf>
    <xf numFmtId="0" fontId="55" fillId="12" borderId="74" xfId="0" applyFont="1" applyFill="1" applyBorder="1" applyAlignment="1">
      <alignment horizontal="center" vertical="center" wrapText="1" readingOrder="2"/>
    </xf>
    <xf numFmtId="0" fontId="58" fillId="14" borderId="74" xfId="0" applyFont="1" applyFill="1" applyBorder="1" applyAlignment="1">
      <alignment horizontal="center" vertical="center" wrapText="1" readingOrder="2"/>
    </xf>
    <xf numFmtId="0" fontId="58" fillId="6" borderId="74" xfId="0" applyFont="1" applyFill="1" applyBorder="1" applyAlignment="1">
      <alignment horizontal="center" vertical="center" wrapText="1" readingOrder="2"/>
    </xf>
    <xf numFmtId="0" fontId="9" fillId="14" borderId="38" xfId="0" applyFont="1" applyFill="1" applyBorder="1" applyAlignment="1">
      <alignment horizontal="center" vertical="center" wrapText="1"/>
    </xf>
    <xf numFmtId="0" fontId="9" fillId="6" borderId="38" xfId="0" applyFont="1" applyFill="1" applyBorder="1" applyAlignment="1">
      <alignment horizontal="center" vertical="center" wrapText="1"/>
    </xf>
    <xf numFmtId="0" fontId="9" fillId="14" borderId="41" xfId="0" applyFont="1" applyFill="1" applyBorder="1" applyAlignment="1">
      <alignment horizontal="center" vertical="center" wrapText="1"/>
    </xf>
    <xf numFmtId="1" fontId="40" fillId="6" borderId="1" xfId="0" applyNumberFormat="1" applyFont="1" applyFill="1" applyBorder="1" applyAlignment="1">
      <alignment horizontal="center" vertical="center" wrapText="1"/>
    </xf>
    <xf numFmtId="1" fontId="40" fillId="14" borderId="1" xfId="0" applyNumberFormat="1" applyFont="1" applyFill="1" applyBorder="1" applyAlignment="1">
      <alignment horizontal="center" vertical="center" wrapText="1"/>
    </xf>
    <xf numFmtId="0" fontId="5" fillId="6" borderId="24" xfId="0" applyFont="1" applyFill="1" applyBorder="1" applyAlignment="1">
      <alignment horizontal="center" vertical="center"/>
    </xf>
    <xf numFmtId="1" fontId="5" fillId="16" borderId="1" xfId="0" applyNumberFormat="1" applyFont="1" applyFill="1" applyBorder="1" applyAlignment="1">
      <alignment horizontal="center" vertical="center"/>
    </xf>
    <xf numFmtId="10" fontId="40" fillId="16" borderId="1" xfId="3" applyNumberFormat="1" applyFont="1" applyFill="1" applyBorder="1" applyAlignment="1">
      <alignment horizontal="center" vertical="center"/>
    </xf>
    <xf numFmtId="10" fontId="5" fillId="16" borderId="1" xfId="3" applyNumberFormat="1" applyFont="1" applyFill="1" applyBorder="1" applyAlignment="1">
      <alignment horizontal="center" vertical="center"/>
    </xf>
    <xf numFmtId="176" fontId="5" fillId="16" borderId="1" xfId="3" applyNumberFormat="1" applyFont="1" applyFill="1" applyBorder="1" applyAlignment="1">
      <alignment horizontal="center" vertical="center"/>
    </xf>
    <xf numFmtId="177" fontId="5" fillId="16" borderId="1" xfId="3" applyNumberFormat="1" applyFont="1" applyFill="1" applyBorder="1" applyAlignment="1">
      <alignment horizontal="center" vertical="center"/>
    </xf>
    <xf numFmtId="10" fontId="48" fillId="16" borderId="1" xfId="3" applyNumberFormat="1" applyFont="1" applyFill="1" applyBorder="1" applyAlignment="1">
      <alignment horizontal="center" vertical="center"/>
    </xf>
    <xf numFmtId="0" fontId="23" fillId="6" borderId="1" xfId="0" applyFont="1" applyFill="1" applyBorder="1" applyAlignment="1">
      <alignment horizontal="center" vertical="center" wrapText="1" readingOrder="1"/>
    </xf>
    <xf numFmtId="176" fontId="5" fillId="6" borderId="2" xfId="3" applyNumberFormat="1" applyFont="1" applyFill="1" applyBorder="1" applyAlignment="1">
      <alignment horizontal="center" vertical="center"/>
    </xf>
    <xf numFmtId="177" fontId="5" fillId="6" borderId="2" xfId="3" applyNumberFormat="1" applyFont="1" applyFill="1" applyBorder="1" applyAlignment="1">
      <alignment horizontal="center" vertical="center"/>
    </xf>
    <xf numFmtId="169" fontId="5" fillId="6" borderId="30" xfId="0" applyNumberFormat="1" applyFont="1" applyFill="1" applyBorder="1" applyAlignment="1">
      <alignment horizontal="center" vertical="center"/>
    </xf>
    <xf numFmtId="0" fontId="19" fillId="0" borderId="0" xfId="0" applyFont="1" applyAlignment="1">
      <alignment wrapText="1"/>
    </xf>
    <xf numFmtId="178" fontId="58" fillId="6" borderId="74"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2"/>
    </xf>
    <xf numFmtId="4" fontId="58" fillId="6" borderId="74" xfId="1" applyNumberFormat="1" applyFont="1" applyFill="1" applyBorder="1" applyAlignment="1">
      <alignment horizontal="center" vertical="center" wrapText="1" readingOrder="2"/>
    </xf>
    <xf numFmtId="0" fontId="58" fillId="6" borderId="74" xfId="0" applyFont="1" applyFill="1" applyBorder="1" applyAlignment="1">
      <alignment horizontal="right" vertical="center" wrapText="1" readingOrder="2"/>
    </xf>
    <xf numFmtId="178" fontId="58" fillId="14" borderId="74" xfId="0" applyNumberFormat="1"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2"/>
    </xf>
    <xf numFmtId="4" fontId="58" fillId="14" borderId="74" xfId="1" applyNumberFormat="1" applyFont="1" applyFill="1" applyBorder="1" applyAlignment="1">
      <alignment horizontal="center" vertical="center" wrapText="1" readingOrder="2"/>
    </xf>
    <xf numFmtId="0" fontId="58" fillId="14" borderId="74" xfId="0" applyFont="1" applyFill="1" applyBorder="1" applyAlignment="1">
      <alignment horizontal="right" vertical="center" wrapText="1" readingOrder="2"/>
    </xf>
    <xf numFmtId="2" fontId="55" fillId="12" borderId="74" xfId="0" applyNumberFormat="1" applyFont="1" applyFill="1" applyBorder="1" applyAlignment="1">
      <alignment horizontal="center" vertical="center" wrapText="1" readingOrder="2"/>
    </xf>
    <xf numFmtId="0" fontId="62" fillId="12" borderId="74" xfId="0" applyFont="1" applyFill="1" applyBorder="1" applyAlignment="1">
      <alignment horizontal="center" vertical="center" wrapText="1"/>
    </xf>
    <xf numFmtId="178" fontId="58" fillId="14" borderId="75" xfId="0"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1"/>
    </xf>
    <xf numFmtId="178" fontId="58" fillId="6" borderId="75" xfId="0"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1"/>
    </xf>
    <xf numFmtId="0" fontId="63" fillId="14" borderId="75" xfId="0" applyFont="1" applyFill="1" applyBorder="1" applyAlignment="1">
      <alignment horizontal="center" vertical="center" wrapText="1" readingOrder="2"/>
    </xf>
    <xf numFmtId="180" fontId="64" fillId="14" borderId="75" xfId="3" applyNumberFormat="1" applyFont="1" applyFill="1" applyBorder="1" applyAlignment="1">
      <alignment horizontal="center" vertical="center" wrapText="1" readingOrder="2"/>
    </xf>
    <xf numFmtId="180" fontId="64" fillId="6" borderId="75" xfId="3" applyNumberFormat="1" applyFont="1" applyFill="1" applyBorder="1" applyAlignment="1">
      <alignment horizontal="center" vertical="center" wrapText="1" readingOrder="2"/>
    </xf>
    <xf numFmtId="0" fontId="61" fillId="14" borderId="75" xfId="0" applyFont="1" applyFill="1" applyBorder="1" applyAlignment="1">
      <alignment horizontal="right" vertical="center" wrapText="1" readingOrder="2"/>
    </xf>
    <xf numFmtId="0" fontId="61" fillId="6" borderId="75" xfId="0" applyFont="1" applyFill="1" applyBorder="1" applyAlignment="1">
      <alignment horizontal="right" vertical="center" wrapText="1" readingOrder="2"/>
    </xf>
    <xf numFmtId="0" fontId="0" fillId="6" borderId="0" xfId="0" applyFill="1" applyAlignment="1">
      <alignment horizontal="center"/>
    </xf>
    <xf numFmtId="178" fontId="61" fillId="6" borderId="74" xfId="0" applyNumberFormat="1" applyFont="1" applyFill="1" applyBorder="1" applyAlignment="1">
      <alignment horizontal="center" vertical="center" wrapText="1" readingOrder="2"/>
    </xf>
    <xf numFmtId="0" fontId="61" fillId="14" borderId="74" xfId="0" applyFont="1" applyFill="1" applyBorder="1" applyAlignment="1">
      <alignment horizontal="center" vertical="center" wrapText="1" readingOrder="2"/>
    </xf>
    <xf numFmtId="0" fontId="44" fillId="12" borderId="26" xfId="0" applyFont="1" applyFill="1" applyBorder="1" applyAlignment="1">
      <alignment horizontal="center" vertical="center" wrapText="1"/>
    </xf>
    <xf numFmtId="4" fontId="48" fillId="14" borderId="1" xfId="1" applyNumberFormat="1" applyFont="1" applyFill="1" applyBorder="1" applyAlignment="1">
      <alignment horizontal="center" vertical="center"/>
    </xf>
    <xf numFmtId="4" fontId="48" fillId="6" borderId="1" xfId="1" applyNumberFormat="1" applyFont="1" applyFill="1" applyBorder="1" applyAlignment="1">
      <alignment horizontal="center" vertical="center"/>
    </xf>
    <xf numFmtId="4" fontId="48" fillId="16" borderId="1" xfId="1" applyNumberFormat="1" applyFont="1" applyFill="1" applyBorder="1" applyAlignment="1">
      <alignment horizontal="center" vertical="center"/>
    </xf>
    <xf numFmtId="4" fontId="48" fillId="15" borderId="1" xfId="1" applyNumberFormat="1" applyFont="1" applyFill="1" applyBorder="1" applyAlignment="1">
      <alignment horizontal="center" vertical="center"/>
    </xf>
    <xf numFmtId="4" fontId="48" fillId="6" borderId="2" xfId="1" applyNumberFormat="1" applyFont="1" applyFill="1" applyBorder="1" applyAlignment="1">
      <alignment horizontal="center" vertical="center"/>
    </xf>
    <xf numFmtId="4" fontId="48" fillId="14" borderId="2" xfId="1" applyNumberFormat="1" applyFont="1" applyFill="1" applyBorder="1" applyAlignment="1">
      <alignment horizontal="center" vertical="center"/>
    </xf>
    <xf numFmtId="168" fontId="49" fillId="20" borderId="1" xfId="0" applyNumberFormat="1" applyFont="1" applyFill="1" applyBorder="1" applyAlignment="1">
      <alignment horizontal="center" vertical="center"/>
    </xf>
    <xf numFmtId="1" fontId="40" fillId="8" borderId="1" xfId="0" applyNumberFormat="1" applyFont="1" applyFill="1" applyBorder="1" applyAlignment="1">
      <alignment horizontal="center" vertical="center" wrapText="1"/>
    </xf>
    <xf numFmtId="0" fontId="61" fillId="6" borderId="74" xfId="0" applyFont="1" applyFill="1" applyBorder="1" applyAlignment="1">
      <alignment horizontal="center" vertical="center" wrapText="1" readingOrder="2"/>
    </xf>
    <xf numFmtId="2" fontId="58" fillId="14" borderId="75" xfId="0" applyNumberFormat="1" applyFont="1" applyFill="1" applyBorder="1" applyAlignment="1">
      <alignment horizontal="center" vertical="center" wrapText="1" readingOrder="2"/>
    </xf>
    <xf numFmtId="2" fontId="58" fillId="6" borderId="75" xfId="0" applyNumberFormat="1" applyFont="1" applyFill="1" applyBorder="1" applyAlignment="1">
      <alignment horizontal="center" vertical="center" wrapText="1" readingOrder="2"/>
    </xf>
    <xf numFmtId="4" fontId="61" fillId="6" borderId="74" xfId="1" applyNumberFormat="1" applyFont="1" applyFill="1" applyBorder="1" applyAlignment="1">
      <alignment horizontal="center" vertical="center" wrapText="1" readingOrder="2"/>
    </xf>
    <xf numFmtId="0" fontId="61" fillId="6" borderId="74" xfId="0" applyFont="1" applyFill="1" applyBorder="1" applyAlignment="1">
      <alignment horizontal="right" vertical="center" wrapText="1" readingOrder="2"/>
    </xf>
    <xf numFmtId="179" fontId="61" fillId="6" borderId="74" xfId="0" applyNumberFormat="1" applyFont="1" applyFill="1" applyBorder="1" applyAlignment="1">
      <alignment horizontal="center" vertical="center" wrapText="1" readingOrder="2"/>
    </xf>
    <xf numFmtId="178" fontId="61" fillId="14" borderId="74" xfId="0" applyNumberFormat="1" applyFont="1" applyFill="1" applyBorder="1" applyAlignment="1">
      <alignment horizontal="center" vertical="center" wrapText="1" readingOrder="2"/>
    </xf>
    <xf numFmtId="4" fontId="61" fillId="14" borderId="74" xfId="1" applyNumberFormat="1" applyFont="1" applyFill="1" applyBorder="1" applyAlignment="1">
      <alignment horizontal="center" vertical="center" wrapText="1" readingOrder="2"/>
    </xf>
    <xf numFmtId="0" fontId="61" fillId="14" borderId="74" xfId="0" applyFont="1" applyFill="1" applyBorder="1" applyAlignment="1">
      <alignment horizontal="right" vertical="center" wrapText="1" readingOrder="2"/>
    </xf>
    <xf numFmtId="179" fontId="61" fillId="14" borderId="74" xfId="0" applyNumberFormat="1" applyFont="1" applyFill="1" applyBorder="1" applyAlignment="1">
      <alignment horizontal="center" vertical="center" wrapText="1" readingOrder="2"/>
    </xf>
    <xf numFmtId="10" fontId="66" fillId="14" borderId="75" xfId="3" applyNumberFormat="1" applyFont="1" applyFill="1" applyBorder="1" applyAlignment="1">
      <alignment horizontal="center" vertical="center" wrapText="1" readingOrder="1"/>
    </xf>
    <xf numFmtId="10" fontId="66" fillId="6" borderId="75" xfId="3" applyNumberFormat="1" applyFont="1" applyFill="1" applyBorder="1" applyAlignment="1">
      <alignment horizontal="center" vertical="center" wrapText="1" readingOrder="1"/>
    </xf>
    <xf numFmtId="10" fontId="65" fillId="14" borderId="75" xfId="3" applyNumberFormat="1" applyFont="1" applyFill="1" applyBorder="1" applyAlignment="1">
      <alignment horizontal="center" vertical="center" wrapText="1" readingOrder="2"/>
    </xf>
    <xf numFmtId="10" fontId="65" fillId="6" borderId="75" xfId="3" applyNumberFormat="1" applyFont="1" applyFill="1" applyBorder="1" applyAlignment="1">
      <alignment horizontal="center" vertical="center" wrapText="1" readingOrder="2"/>
    </xf>
    <xf numFmtId="10" fontId="67" fillId="6" borderId="74" xfId="3" applyNumberFormat="1" applyFont="1" applyFill="1" applyBorder="1" applyAlignment="1">
      <alignment horizontal="center" vertical="center" wrapText="1" readingOrder="1"/>
    </xf>
    <xf numFmtId="0" fontId="63" fillId="6" borderId="75" xfId="0" applyFont="1" applyFill="1" applyBorder="1" applyAlignment="1">
      <alignment horizontal="center" vertical="center" wrapText="1" readingOrder="2"/>
    </xf>
    <xf numFmtId="10" fontId="5" fillId="14" borderId="2" xfId="0" applyNumberFormat="1" applyFont="1" applyFill="1" applyBorder="1" applyAlignment="1">
      <alignment horizontal="center" vertical="center"/>
    </xf>
    <xf numFmtId="1" fontId="5" fillId="14" borderId="2" xfId="0" applyNumberFormat="1" applyFont="1" applyFill="1" applyBorder="1" applyAlignment="1">
      <alignment horizontal="center" vertical="center"/>
    </xf>
    <xf numFmtId="4" fontId="45" fillId="0" borderId="1" xfId="0" applyNumberFormat="1" applyFont="1" applyBorder="1" applyAlignment="1">
      <alignment horizontal="center" vertical="center"/>
    </xf>
    <xf numFmtId="10" fontId="45" fillId="0" borderId="1" xfId="0" applyNumberFormat="1" applyFont="1" applyBorder="1" applyAlignment="1">
      <alignment horizontal="center" vertical="center"/>
    </xf>
    <xf numFmtId="10" fontId="49" fillId="0" borderId="2" xfId="0" applyNumberFormat="1" applyFont="1" applyBorder="1" applyAlignment="1" applyProtection="1">
      <alignment horizontal="center" vertical="center"/>
      <protection hidden="1"/>
    </xf>
    <xf numFmtId="10" fontId="5" fillId="6" borderId="2" xfId="0" applyNumberFormat="1" applyFont="1" applyFill="1" applyBorder="1" applyAlignment="1">
      <alignment horizontal="center" vertical="center" wrapText="1"/>
    </xf>
    <xf numFmtId="0" fontId="5" fillId="6" borderId="33" xfId="0" applyFont="1" applyFill="1" applyBorder="1" applyAlignment="1">
      <alignment horizontal="center" vertical="center"/>
    </xf>
    <xf numFmtId="0" fontId="33" fillId="6" borderId="2" xfId="0" applyFont="1" applyFill="1" applyBorder="1" applyAlignment="1">
      <alignment horizontal="center" vertical="center" wrapText="1" readingOrder="1"/>
    </xf>
    <xf numFmtId="10" fontId="5" fillId="14" borderId="2" xfId="0" applyNumberFormat="1" applyFont="1" applyFill="1" applyBorder="1" applyAlignment="1">
      <alignment horizontal="center" vertical="center" wrapText="1"/>
    </xf>
    <xf numFmtId="169" fontId="5" fillId="14" borderId="36" xfId="0" applyNumberFormat="1" applyFont="1" applyFill="1" applyBorder="1" applyAlignment="1">
      <alignment horizontal="center" vertical="center"/>
    </xf>
    <xf numFmtId="4" fontId="39" fillId="14" borderId="72" xfId="1" applyNumberFormat="1" applyFont="1" applyFill="1" applyBorder="1" applyAlignment="1">
      <alignment horizontal="center" vertical="center"/>
    </xf>
    <xf numFmtId="4" fontId="39" fillId="14" borderId="28" xfId="1" applyNumberFormat="1" applyFont="1" applyFill="1" applyBorder="1" applyAlignment="1">
      <alignment horizontal="center" vertical="center"/>
    </xf>
    <xf numFmtId="4" fontId="39" fillId="14" borderId="40" xfId="1" applyNumberFormat="1" applyFont="1" applyFill="1" applyBorder="1" applyAlignment="1">
      <alignment horizontal="center" vertical="center"/>
    </xf>
    <xf numFmtId="4" fontId="45" fillId="14" borderId="2" xfId="1" applyNumberFormat="1" applyFont="1" applyFill="1" applyBorder="1" applyAlignment="1">
      <alignment horizontal="center" vertical="center"/>
    </xf>
    <xf numFmtId="10" fontId="45" fillId="14" borderId="2" xfId="1" applyNumberFormat="1" applyFont="1" applyFill="1" applyBorder="1" applyAlignment="1">
      <alignment horizontal="center" vertical="center"/>
    </xf>
    <xf numFmtId="169" fontId="5" fillId="6" borderId="36" xfId="0" applyNumberFormat="1" applyFont="1" applyFill="1" applyBorder="1" applyAlignment="1">
      <alignment horizontal="center" vertical="center"/>
    </xf>
    <xf numFmtId="0" fontId="61" fillId="14" borderId="75" xfId="0" applyFont="1" applyFill="1" applyBorder="1" applyAlignment="1">
      <alignment horizontal="center" vertical="center" wrapText="1" readingOrder="2"/>
    </xf>
    <xf numFmtId="178" fontId="68" fillId="14" borderId="75" xfId="0" applyNumberFormat="1" applyFont="1" applyFill="1" applyBorder="1" applyAlignment="1">
      <alignment horizontal="center" vertical="center" wrapText="1" readingOrder="2"/>
    </xf>
    <xf numFmtId="178" fontId="68" fillId="6" borderId="75" xfId="0" applyNumberFormat="1" applyFont="1" applyFill="1" applyBorder="1" applyAlignment="1">
      <alignment horizontal="center" vertical="center" wrapText="1" readingOrder="2"/>
    </xf>
    <xf numFmtId="0" fontId="35" fillId="0" borderId="0" xfId="0" applyFont="1" applyAlignment="1">
      <alignment horizontal="center"/>
    </xf>
    <xf numFmtId="0" fontId="67" fillId="12" borderId="74" xfId="0" applyFont="1" applyFill="1" applyBorder="1" applyAlignment="1">
      <alignment horizontal="center" vertical="center" wrapText="1" readingOrder="2"/>
    </xf>
    <xf numFmtId="0" fontId="17" fillId="0" borderId="0" xfId="0" applyFont="1" applyAlignment="1">
      <alignment horizontal="right" wrapText="1" readingOrder="2"/>
    </xf>
    <xf numFmtId="0" fontId="64" fillId="6" borderId="74" xfId="0" applyFont="1" applyFill="1" applyBorder="1" applyAlignment="1">
      <alignment horizontal="center" vertical="center" wrapText="1" readingOrder="2"/>
    </xf>
    <xf numFmtId="10" fontId="64" fillId="6" borderId="74" xfId="3" applyNumberFormat="1" applyFont="1" applyFill="1" applyBorder="1" applyAlignment="1">
      <alignment horizontal="center" vertical="center" wrapText="1" readingOrder="2"/>
    </xf>
    <xf numFmtId="176" fontId="64" fillId="6" borderId="74" xfId="3" applyNumberFormat="1" applyFont="1" applyFill="1" applyBorder="1" applyAlignment="1">
      <alignment horizontal="center" vertical="center" wrapText="1" readingOrder="2"/>
    </xf>
    <xf numFmtId="178" fontId="64" fillId="6" borderId="74" xfId="0" applyNumberFormat="1" applyFont="1" applyFill="1" applyBorder="1" applyAlignment="1">
      <alignment horizontal="center" vertical="center" wrapText="1" readingOrder="2"/>
    </xf>
    <xf numFmtId="179" fontId="64" fillId="6" borderId="74" xfId="0" applyNumberFormat="1" applyFont="1" applyFill="1" applyBorder="1" applyAlignment="1">
      <alignment horizontal="center" vertical="center" wrapText="1" readingOrder="2"/>
    </xf>
    <xf numFmtId="2" fontId="67" fillId="12" borderId="74" xfId="0" applyNumberFormat="1" applyFont="1" applyFill="1" applyBorder="1" applyAlignment="1">
      <alignment horizontal="center" vertical="center" wrapText="1" readingOrder="2"/>
    </xf>
    <xf numFmtId="0" fontId="9" fillId="0" borderId="0" xfId="0" applyFont="1" applyAlignment="1">
      <alignment horizontal="center"/>
    </xf>
    <xf numFmtId="0" fontId="69" fillId="12" borderId="74" xfId="0" applyFont="1" applyFill="1" applyBorder="1" applyAlignment="1">
      <alignment horizontal="center" vertical="center" wrapText="1"/>
    </xf>
    <xf numFmtId="170" fontId="64" fillId="6" borderId="74" xfId="1" applyNumberFormat="1" applyFont="1" applyFill="1" applyBorder="1" applyAlignment="1">
      <alignment horizontal="center" vertical="center" wrapText="1" readingOrder="2"/>
    </xf>
    <xf numFmtId="170" fontId="64" fillId="6" borderId="74" xfId="0" applyNumberFormat="1" applyFont="1" applyFill="1" applyBorder="1" applyAlignment="1">
      <alignment horizontal="center" vertical="center" wrapText="1" readingOrder="2"/>
    </xf>
    <xf numFmtId="179" fontId="64" fillId="6" borderId="78" xfId="0" applyNumberFormat="1" applyFont="1" applyFill="1" applyBorder="1" applyAlignment="1">
      <alignment horizontal="center" vertical="center" wrapText="1" readingOrder="2"/>
    </xf>
    <xf numFmtId="179" fontId="64" fillId="14" borderId="78"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1"/>
    </xf>
    <xf numFmtId="9" fontId="67" fillId="12" borderId="74" xfId="3" applyFont="1" applyFill="1" applyBorder="1" applyAlignment="1">
      <alignment horizontal="center" vertical="center" wrapText="1" readingOrder="2"/>
    </xf>
    <xf numFmtId="9" fontId="35" fillId="0" borderId="0" xfId="3" applyFont="1" applyAlignment="1">
      <alignment horizontal="center"/>
    </xf>
    <xf numFmtId="0" fontId="55" fillId="12" borderId="74" xfId="0" applyFont="1" applyFill="1" applyBorder="1" applyAlignment="1">
      <alignment vertical="center" wrapText="1" readingOrder="2"/>
    </xf>
    <xf numFmtId="3" fontId="55" fillId="12" borderId="74" xfId="0" applyNumberFormat="1" applyFont="1" applyFill="1" applyBorder="1" applyAlignment="1">
      <alignment horizontal="center" vertical="center" wrapText="1" readingOrder="2"/>
    </xf>
    <xf numFmtId="10" fontId="67" fillId="12" borderId="74" xfId="3" applyNumberFormat="1" applyFont="1" applyFill="1" applyBorder="1" applyAlignment="1">
      <alignment horizontal="center" vertical="center" wrapText="1" readingOrder="2"/>
    </xf>
    <xf numFmtId="10" fontId="35" fillId="0" borderId="0" xfId="3" applyNumberFormat="1" applyFont="1" applyAlignment="1">
      <alignment horizontal="center"/>
    </xf>
    <xf numFmtId="9" fontId="61" fillId="6" borderId="74" xfId="3" applyFont="1" applyFill="1" applyBorder="1" applyAlignment="1">
      <alignment horizontal="center" vertical="center" wrapText="1" readingOrder="2"/>
    </xf>
    <xf numFmtId="9" fontId="61" fillId="6" borderId="74" xfId="3" applyFont="1" applyFill="1" applyBorder="1" applyAlignment="1">
      <alignment horizontal="center" vertical="center" wrapText="1" readingOrder="1"/>
    </xf>
    <xf numFmtId="9" fontId="61" fillId="6" borderId="74" xfId="3" applyFont="1" applyFill="1" applyBorder="1" applyAlignment="1">
      <alignment horizontal="right" vertical="center" wrapText="1" readingOrder="2"/>
    </xf>
    <xf numFmtId="9" fontId="67" fillId="12" borderId="74" xfId="3" applyFont="1" applyFill="1" applyBorder="1" applyAlignment="1">
      <alignment horizontal="right" vertical="center" wrapText="1" readingOrder="2"/>
    </xf>
    <xf numFmtId="9" fontId="35" fillId="0" borderId="0" xfId="3" applyFont="1" applyAlignment="1">
      <alignment horizontal="right"/>
    </xf>
    <xf numFmtId="0" fontId="71" fillId="12" borderId="26" xfId="0" applyFont="1" applyFill="1" applyBorder="1" applyAlignment="1">
      <alignment horizontal="center" vertical="center" wrapText="1"/>
    </xf>
    <xf numFmtId="0" fontId="48" fillId="14" borderId="1" xfId="0" applyFont="1" applyFill="1" applyBorder="1" applyAlignment="1">
      <alignment horizontal="center" vertical="center"/>
    </xf>
    <xf numFmtId="0" fontId="48" fillId="6" borderId="1" xfId="0" applyFont="1" applyFill="1" applyBorder="1" applyAlignment="1">
      <alignment horizontal="center" vertical="center"/>
    </xf>
    <xf numFmtId="0" fontId="48" fillId="6" borderId="2" xfId="0" applyFont="1" applyFill="1" applyBorder="1" applyAlignment="1">
      <alignment horizontal="center" vertical="center"/>
    </xf>
    <xf numFmtId="0" fontId="48" fillId="14" borderId="2" xfId="0" applyFont="1" applyFill="1" applyBorder="1" applyAlignment="1">
      <alignment horizontal="center" vertical="center"/>
    </xf>
    <xf numFmtId="0" fontId="10" fillId="0" borderId="0" xfId="0" applyFont="1" applyAlignment="1">
      <alignment horizontal="center" vertical="center"/>
    </xf>
    <xf numFmtId="0" fontId="15" fillId="6" borderId="0" xfId="0" applyFont="1" applyFill="1" applyProtection="1">
      <protection hidden="1"/>
    </xf>
    <xf numFmtId="0" fontId="17" fillId="6" borderId="4" xfId="0" applyFont="1" applyFill="1" applyBorder="1" applyAlignment="1" applyProtection="1">
      <alignment horizontal="center" vertical="center"/>
      <protection hidden="1"/>
    </xf>
    <xf numFmtId="0" fontId="4" fillId="6" borderId="0" xfId="0" applyFont="1" applyFill="1" applyProtection="1">
      <protection hidden="1"/>
    </xf>
    <xf numFmtId="0" fontId="16" fillId="6" borderId="0" xfId="0" applyFont="1" applyFill="1" applyProtection="1">
      <protection hidden="1"/>
    </xf>
    <xf numFmtId="0" fontId="5" fillId="6" borderId="1" xfId="0" applyFont="1" applyFill="1" applyBorder="1" applyAlignment="1">
      <alignment horizontal="center" vertical="center" wrapText="1" readingOrder="1"/>
    </xf>
    <xf numFmtId="10" fontId="66" fillId="14" borderId="74" xfId="3" applyNumberFormat="1" applyFont="1" applyFill="1" applyBorder="1" applyAlignment="1">
      <alignment horizontal="center" vertical="center" wrapText="1" readingOrder="1"/>
    </xf>
    <xf numFmtId="10" fontId="66" fillId="6" borderId="74" xfId="3" applyNumberFormat="1" applyFont="1" applyFill="1" applyBorder="1" applyAlignment="1">
      <alignment horizontal="center" vertical="center" wrapText="1" readingOrder="1"/>
    </xf>
    <xf numFmtId="0" fontId="66" fillId="12" borderId="74" xfId="0"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1"/>
    </xf>
    <xf numFmtId="176" fontId="61" fillId="14" borderId="74" xfId="3" applyNumberFormat="1" applyFont="1" applyFill="1" applyBorder="1" applyAlignment="1">
      <alignment horizontal="center" vertical="center" wrapText="1" readingOrder="2"/>
    </xf>
    <xf numFmtId="176" fontId="61" fillId="6" borderId="74" xfId="3" applyNumberFormat="1" applyFont="1" applyFill="1" applyBorder="1" applyAlignment="1">
      <alignment horizontal="center" vertical="center" wrapText="1" readingOrder="2"/>
    </xf>
    <xf numFmtId="2" fontId="66" fillId="12" borderId="74" xfId="0" applyNumberFormat="1" applyFont="1" applyFill="1" applyBorder="1" applyAlignment="1">
      <alignment horizontal="center" vertical="center" wrapText="1" readingOrder="2"/>
    </xf>
    <xf numFmtId="0" fontId="70" fillId="12" borderId="74" xfId="0" applyFont="1" applyFill="1" applyBorder="1" applyAlignment="1">
      <alignment horizontal="center" vertical="center" wrapText="1" readingOrder="2"/>
    </xf>
    <xf numFmtId="0" fontId="76" fillId="12" borderId="74" xfId="0" applyFont="1" applyFill="1" applyBorder="1" applyAlignment="1">
      <alignment horizontal="center" vertical="center" wrapText="1" readingOrder="2"/>
    </xf>
    <xf numFmtId="0" fontId="70" fillId="12" borderId="75" xfId="0" applyFont="1" applyFill="1" applyBorder="1" applyAlignment="1">
      <alignment horizontal="center" vertical="center" wrapText="1" readingOrder="2"/>
    </xf>
    <xf numFmtId="0" fontId="43" fillId="0" borderId="0" xfId="0" applyFont="1" applyAlignment="1">
      <alignment horizontal="center"/>
    </xf>
    <xf numFmtId="0" fontId="61" fillId="6" borderId="75" xfId="0" applyFont="1" applyFill="1" applyBorder="1" applyAlignment="1">
      <alignment horizontal="center" vertical="center" wrapText="1" readingOrder="2"/>
    </xf>
    <xf numFmtId="180" fontId="61" fillId="14" borderId="75" xfId="3" applyNumberFormat="1" applyFont="1" applyFill="1" applyBorder="1" applyAlignment="1">
      <alignment horizontal="center" vertical="center" wrapText="1" readingOrder="2"/>
    </xf>
    <xf numFmtId="180" fontId="61" fillId="6" borderId="75" xfId="3" applyNumberFormat="1" applyFont="1" applyFill="1" applyBorder="1" applyAlignment="1">
      <alignment horizontal="center" vertical="center" wrapText="1" readingOrder="2"/>
    </xf>
    <xf numFmtId="0" fontId="66" fillId="12" borderId="78" xfId="0" applyFont="1" applyFill="1" applyBorder="1" applyAlignment="1">
      <alignment horizontal="center" vertical="center" wrapText="1" readingOrder="2"/>
    </xf>
    <xf numFmtId="178" fontId="61" fillId="14" borderId="75" xfId="0" applyNumberFormat="1" applyFont="1" applyFill="1" applyBorder="1" applyAlignment="1">
      <alignment horizontal="center" vertical="center" wrapText="1" readingOrder="2"/>
    </xf>
    <xf numFmtId="178" fontId="61" fillId="6" borderId="75" xfId="0" applyNumberFormat="1" applyFont="1" applyFill="1" applyBorder="1" applyAlignment="1">
      <alignment horizontal="center" vertical="center" wrapText="1" readingOrder="2"/>
    </xf>
    <xf numFmtId="0" fontId="76" fillId="12" borderId="75" xfId="0" applyFont="1" applyFill="1" applyBorder="1" applyAlignment="1">
      <alignment horizontal="center" vertical="center" wrapText="1" readingOrder="2"/>
    </xf>
    <xf numFmtId="169" fontId="5" fillId="14" borderId="30" xfId="0" applyNumberFormat="1" applyFont="1" applyFill="1" applyBorder="1" applyAlignment="1">
      <alignment horizontal="center" vertical="center"/>
    </xf>
    <xf numFmtId="165" fontId="40"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wrapText="1"/>
    </xf>
    <xf numFmtId="165" fontId="40" fillId="14" borderId="1" xfId="1" applyNumberFormat="1" applyFont="1" applyFill="1" applyBorder="1" applyAlignment="1">
      <alignment horizontal="center" vertical="center" wrapText="1"/>
    </xf>
    <xf numFmtId="165" fontId="5" fillId="14" borderId="1" xfId="1" applyNumberFormat="1" applyFont="1" applyFill="1" applyBorder="1" applyAlignment="1">
      <alignment horizontal="center" vertical="center" wrapText="1"/>
    </xf>
    <xf numFmtId="10" fontId="48" fillId="6" borderId="1" xfId="1" applyNumberFormat="1" applyFont="1" applyFill="1" applyBorder="1" applyAlignment="1">
      <alignment horizontal="center" vertical="center"/>
    </xf>
    <xf numFmtId="10" fontId="48" fillId="14" borderId="1" xfId="1" applyNumberFormat="1" applyFont="1" applyFill="1" applyBorder="1" applyAlignment="1">
      <alignment horizontal="center" vertical="center"/>
    </xf>
    <xf numFmtId="10" fontId="48" fillId="14" borderId="1" xfId="0" applyNumberFormat="1" applyFont="1" applyFill="1" applyBorder="1" applyAlignment="1">
      <alignment horizontal="center" vertical="center"/>
    </xf>
    <xf numFmtId="10" fontId="48" fillId="6" borderId="1" xfId="0" applyNumberFormat="1" applyFont="1" applyFill="1" applyBorder="1" applyAlignment="1">
      <alignment horizontal="center" vertical="center"/>
    </xf>
    <xf numFmtId="10" fontId="48" fillId="16" borderId="1" xfId="0" applyNumberFormat="1" applyFont="1" applyFill="1" applyBorder="1" applyAlignment="1">
      <alignment horizontal="center" vertical="center"/>
    </xf>
    <xf numFmtId="10" fontId="48" fillId="15" borderId="1" xfId="0" applyNumberFormat="1" applyFont="1" applyFill="1" applyBorder="1" applyAlignment="1">
      <alignment horizontal="center" vertical="center"/>
    </xf>
    <xf numFmtId="10" fontId="48" fillId="6" borderId="2" xfId="0" applyNumberFormat="1" applyFont="1" applyFill="1" applyBorder="1" applyAlignment="1">
      <alignment horizontal="center" vertical="center"/>
    </xf>
    <xf numFmtId="10" fontId="40" fillId="6" borderId="81" xfId="0" applyNumberFormat="1" applyFont="1" applyFill="1" applyBorder="1" applyAlignment="1">
      <alignment horizontal="center" vertical="center"/>
    </xf>
    <xf numFmtId="10" fontId="40" fillId="14" borderId="81" xfId="1" applyNumberFormat="1" applyFont="1" applyFill="1" applyBorder="1" applyAlignment="1">
      <alignment horizontal="center" vertical="center"/>
    </xf>
    <xf numFmtId="10" fontId="40" fillId="14" borderId="81" xfId="0" applyNumberFormat="1" applyFont="1" applyFill="1" applyBorder="1" applyAlignment="1">
      <alignment horizontal="center" vertical="center"/>
    </xf>
    <xf numFmtId="10" fontId="40" fillId="16" borderId="81" xfId="0" applyNumberFormat="1" applyFont="1" applyFill="1" applyBorder="1" applyAlignment="1">
      <alignment horizontal="center" vertical="center"/>
    </xf>
    <xf numFmtId="10" fontId="40" fillId="15" borderId="81" xfId="0" applyNumberFormat="1" applyFont="1" applyFill="1" applyBorder="1" applyAlignment="1">
      <alignment horizontal="center" vertical="center"/>
    </xf>
    <xf numFmtId="10" fontId="40" fillId="14" borderId="80" xfId="0" applyNumberFormat="1" applyFont="1" applyFill="1" applyBorder="1" applyAlignment="1">
      <alignment horizontal="center" vertical="center"/>
    </xf>
    <xf numFmtId="10" fontId="40" fillId="6" borderId="80" xfId="0" applyNumberFormat="1" applyFont="1" applyFill="1" applyBorder="1" applyAlignment="1">
      <alignment horizontal="center" vertical="center"/>
    </xf>
    <xf numFmtId="10" fontId="48" fillId="6" borderId="2" xfId="1" applyNumberFormat="1" applyFont="1" applyFill="1" applyBorder="1" applyAlignment="1">
      <alignment horizontal="center" vertical="center"/>
    </xf>
    <xf numFmtId="0" fontId="61" fillId="12" borderId="74" xfId="0" applyFont="1" applyFill="1" applyBorder="1" applyAlignment="1">
      <alignment horizontal="center" vertical="center" wrapText="1"/>
    </xf>
    <xf numFmtId="4" fontId="0" fillId="6" borderId="0" xfId="0" applyNumberFormat="1" applyFill="1" applyAlignment="1">
      <alignment horizontal="center"/>
    </xf>
    <xf numFmtId="4" fontId="0" fillId="0" borderId="0" xfId="0" applyNumberFormat="1" applyAlignment="1">
      <alignment horizontal="center"/>
    </xf>
    <xf numFmtId="0" fontId="0" fillId="14" borderId="0" xfId="0" applyFill="1" applyAlignment="1">
      <alignment horizontal="center"/>
    </xf>
    <xf numFmtId="9" fontId="6" fillId="0" borderId="0" xfId="3" applyFont="1" applyAlignment="1">
      <alignment horizontal="center" vertical="center"/>
    </xf>
    <xf numFmtId="4" fontId="41" fillId="12" borderId="37" xfId="1" applyNumberFormat="1" applyFont="1" applyFill="1" applyBorder="1" applyAlignment="1">
      <alignment horizontal="center" vertical="center" wrapText="1"/>
    </xf>
    <xf numFmtId="4" fontId="39" fillId="6" borderId="38" xfId="1" applyNumberFormat="1" applyFont="1" applyFill="1" applyBorder="1" applyAlignment="1">
      <alignment horizontal="center" vertical="center"/>
    </xf>
    <xf numFmtId="4" fontId="40" fillId="6" borderId="38" xfId="1" applyNumberFormat="1" applyFont="1" applyFill="1" applyBorder="1" applyAlignment="1">
      <alignment horizontal="center" vertical="center"/>
    </xf>
    <xf numFmtId="4" fontId="40" fillId="14" borderId="38" xfId="1" applyNumberFormat="1" applyFont="1" applyFill="1" applyBorder="1" applyAlignment="1">
      <alignment horizontal="center" vertical="center"/>
    </xf>
    <xf numFmtId="4" fontId="39" fillId="14" borderId="38" xfId="1" applyNumberFormat="1" applyFont="1" applyFill="1" applyBorder="1" applyAlignment="1">
      <alignment horizontal="center" vertical="center"/>
    </xf>
    <xf numFmtId="4" fontId="39" fillId="14" borderId="24" xfId="1" applyNumberFormat="1" applyFont="1" applyFill="1" applyBorder="1" applyAlignment="1">
      <alignment horizontal="center" vertical="center"/>
    </xf>
    <xf numFmtId="4" fontId="39" fillId="14" borderId="41" xfId="1" applyNumberFormat="1" applyFont="1" applyFill="1" applyBorder="1" applyAlignment="1">
      <alignment horizontal="center" vertical="center"/>
    </xf>
    <xf numFmtId="4" fontId="39" fillId="6" borderId="24" xfId="1" applyNumberFormat="1" applyFont="1" applyFill="1" applyBorder="1" applyAlignment="1">
      <alignment horizontal="center" vertical="center"/>
    </xf>
    <xf numFmtId="0" fontId="14" fillId="12" borderId="34" xfId="0" applyFont="1" applyFill="1" applyBorder="1" applyAlignment="1">
      <alignment horizontal="center" vertical="center" wrapText="1"/>
    </xf>
    <xf numFmtId="1" fontId="49" fillId="0" borderId="1" xfId="0" applyNumberFormat="1" applyFont="1" applyBorder="1" applyAlignment="1" applyProtection="1">
      <alignment horizontal="center" vertical="center" readingOrder="2"/>
      <protection hidden="1"/>
    </xf>
    <xf numFmtId="4" fontId="39" fillId="0" borderId="72" xfId="0" applyNumberFormat="1" applyFont="1" applyBorder="1" applyAlignment="1">
      <alignment horizontal="center" vertical="center"/>
    </xf>
    <xf numFmtId="4" fontId="39" fillId="0" borderId="40" xfId="0" applyNumberFormat="1" applyFont="1" applyBorder="1" applyAlignment="1">
      <alignment horizontal="center" vertical="center"/>
    </xf>
    <xf numFmtId="4" fontId="45" fillId="0" borderId="2" xfId="0" applyNumberFormat="1" applyFont="1" applyBorder="1" applyAlignment="1">
      <alignment horizontal="center" vertical="center"/>
    </xf>
    <xf numFmtId="10" fontId="45" fillId="0" borderId="2" xfId="0" applyNumberFormat="1" applyFont="1" applyBorder="1" applyAlignment="1">
      <alignment horizontal="center" vertical="center"/>
    </xf>
    <xf numFmtId="169" fontId="8" fillId="19" borderId="30" xfId="0" applyNumberFormat="1" applyFont="1" applyFill="1" applyBorder="1" applyAlignment="1">
      <alignment horizontal="center" vertical="center"/>
    </xf>
    <xf numFmtId="10" fontId="5" fillId="6" borderId="81" xfId="0" applyNumberFormat="1" applyFont="1" applyFill="1" applyBorder="1" applyAlignment="1">
      <alignment horizontal="center" vertical="center"/>
    </xf>
    <xf numFmtId="0" fontId="24" fillId="14" borderId="1" xfId="0" applyFont="1" applyFill="1" applyBorder="1" applyAlignment="1">
      <alignment horizontal="center" vertical="center" wrapText="1"/>
    </xf>
    <xf numFmtId="0" fontId="33" fillId="14" borderId="2" xfId="0" applyFont="1" applyFill="1" applyBorder="1" applyAlignment="1">
      <alignment horizontal="center" vertical="center" wrapText="1" readingOrder="1"/>
    </xf>
    <xf numFmtId="0" fontId="33" fillId="14" borderId="2" xfId="0" applyFont="1" applyFill="1" applyBorder="1" applyAlignment="1">
      <alignment horizontal="center" vertical="center" wrapText="1"/>
    </xf>
    <xf numFmtId="1" fontId="72" fillId="6" borderId="1" xfId="3" applyNumberFormat="1" applyFont="1" applyFill="1" applyBorder="1" applyAlignment="1">
      <alignment horizontal="right" vertical="center" wrapText="1" readingOrder="2"/>
    </xf>
    <xf numFmtId="1" fontId="72" fillId="14" borderId="1" xfId="3" applyNumberFormat="1" applyFont="1" applyFill="1" applyBorder="1" applyAlignment="1">
      <alignment horizontal="right" vertical="center" wrapText="1" readingOrder="2"/>
    </xf>
    <xf numFmtId="0" fontId="55" fillId="12" borderId="78" xfId="0" applyFont="1" applyFill="1" applyBorder="1" applyAlignment="1">
      <alignment horizontal="center" vertical="center" wrapText="1" readingOrder="2"/>
    </xf>
    <xf numFmtId="0" fontId="64" fillId="14" borderId="75" xfId="0" applyFont="1" applyFill="1" applyBorder="1" applyAlignment="1">
      <alignment horizontal="right" vertical="center" wrapText="1" readingOrder="2"/>
    </xf>
    <xf numFmtId="0" fontId="64" fillId="6" borderId="75" xfId="0" applyFont="1" applyFill="1" applyBorder="1" applyAlignment="1">
      <alignment horizontal="right" vertical="center" wrapText="1" readingOrder="2"/>
    </xf>
    <xf numFmtId="4" fontId="64" fillId="14" borderId="74" xfId="1" applyNumberFormat="1" applyFont="1" applyFill="1" applyBorder="1" applyAlignment="1">
      <alignment horizontal="right" vertical="center" wrapText="1" readingOrder="2"/>
    </xf>
    <xf numFmtId="4" fontId="64" fillId="6" borderId="74" xfId="1" applyNumberFormat="1" applyFont="1" applyFill="1" applyBorder="1" applyAlignment="1">
      <alignment horizontal="right" vertical="center" wrapText="1" readingOrder="2"/>
    </xf>
    <xf numFmtId="10" fontId="40" fillId="14" borderId="1" xfId="0" applyNumberFormat="1" applyFont="1" applyFill="1" applyBorder="1" applyAlignment="1">
      <alignment horizontal="center" vertical="center"/>
    </xf>
    <xf numFmtId="10" fontId="40" fillId="6" borderId="1" xfId="0" applyNumberFormat="1" applyFont="1" applyFill="1" applyBorder="1" applyAlignment="1">
      <alignment horizontal="center" vertical="center"/>
    </xf>
    <xf numFmtId="10" fontId="40" fillId="16" borderId="1" xfId="0" applyNumberFormat="1" applyFont="1" applyFill="1" applyBorder="1" applyAlignment="1">
      <alignment horizontal="center" vertical="center"/>
    </xf>
    <xf numFmtId="10" fontId="40" fillId="15" borderId="1" xfId="0" applyNumberFormat="1" applyFont="1" applyFill="1" applyBorder="1" applyAlignment="1">
      <alignment horizontal="center" vertical="center"/>
    </xf>
    <xf numFmtId="10" fontId="40" fillId="14" borderId="2" xfId="0" applyNumberFormat="1" applyFont="1" applyFill="1" applyBorder="1" applyAlignment="1">
      <alignment horizontal="center" vertical="center"/>
    </xf>
    <xf numFmtId="10" fontId="40" fillId="6" borderId="2" xfId="0" applyNumberFormat="1" applyFont="1" applyFill="1" applyBorder="1" applyAlignment="1">
      <alignment horizontal="center" vertical="center"/>
    </xf>
    <xf numFmtId="0" fontId="55" fillId="12" borderId="74" xfId="0" applyFont="1" applyFill="1" applyBorder="1" applyAlignment="1">
      <alignment vertical="distributed" wrapText="1" readingOrder="2"/>
    </xf>
    <xf numFmtId="0" fontId="55" fillId="12" borderId="77" xfId="0" applyFont="1" applyFill="1" applyBorder="1" applyAlignment="1">
      <alignment vertical="center" wrapText="1" readingOrder="2"/>
    </xf>
    <xf numFmtId="0" fontId="55" fillId="12" borderId="78" xfId="0" applyFont="1" applyFill="1" applyBorder="1" applyAlignment="1">
      <alignment vertical="center" wrapText="1" readingOrder="2"/>
    </xf>
    <xf numFmtId="1" fontId="72" fillId="14" borderId="1" xfId="3" applyNumberFormat="1" applyFont="1" applyFill="1" applyBorder="1" applyAlignment="1">
      <alignment horizontal="right" vertical="center" wrapText="1"/>
    </xf>
    <xf numFmtId="1" fontId="72" fillId="6" borderId="1" xfId="3" applyNumberFormat="1" applyFont="1" applyFill="1" applyBorder="1" applyAlignment="1">
      <alignment horizontal="right" vertical="center" wrapText="1"/>
    </xf>
    <xf numFmtId="10" fontId="4" fillId="0" borderId="0" xfId="3" applyNumberFormat="1" applyFont="1" applyAlignment="1" applyProtection="1">
      <alignment horizontal="center" vertical="center"/>
      <protection hidden="1"/>
    </xf>
    <xf numFmtId="10" fontId="0" fillId="0" borderId="0" xfId="3" applyNumberFormat="1" applyFont="1" applyAlignment="1" applyProtection="1">
      <alignment horizontal="center" vertical="center"/>
      <protection hidden="1"/>
    </xf>
    <xf numFmtId="10" fontId="4" fillId="0" borderId="0" xfId="3" applyNumberFormat="1" applyFont="1" applyAlignment="1" applyProtection="1">
      <alignment vertical="center"/>
      <protection hidden="1"/>
    </xf>
    <xf numFmtId="10" fontId="0" fillId="0" borderId="0" xfId="3" applyNumberFormat="1" applyFont="1" applyAlignment="1" applyProtection="1">
      <alignment vertical="center"/>
      <protection hidden="1"/>
    </xf>
    <xf numFmtId="1" fontId="72" fillId="6" borderId="1" xfId="0" applyNumberFormat="1" applyFont="1" applyFill="1" applyBorder="1" applyAlignment="1">
      <alignment horizontal="right" vertical="center" wrapText="1" readingOrder="2"/>
    </xf>
    <xf numFmtId="178" fontId="64" fillId="14" borderId="74" xfId="0" applyNumberFormat="1" applyFont="1" applyFill="1" applyBorder="1" applyAlignment="1">
      <alignment horizontal="center" vertical="center" wrapText="1" readingOrder="2"/>
    </xf>
    <xf numFmtId="10" fontId="64" fillId="14" borderId="74" xfId="3" applyNumberFormat="1" applyFont="1" applyFill="1" applyBorder="1" applyAlignment="1">
      <alignment horizontal="center" vertical="center" wrapText="1" readingOrder="2"/>
    </xf>
    <xf numFmtId="10" fontId="67" fillId="14" borderId="74" xfId="3" applyNumberFormat="1" applyFont="1" applyFill="1" applyBorder="1" applyAlignment="1">
      <alignment horizontal="center" vertical="center" wrapText="1" readingOrder="1"/>
    </xf>
    <xf numFmtId="176" fontId="64" fillId="14" borderId="74" xfId="3" applyNumberFormat="1" applyFont="1" applyFill="1" applyBorder="1" applyAlignment="1">
      <alignment horizontal="center" vertical="center" wrapText="1" readingOrder="2"/>
    </xf>
    <xf numFmtId="170" fontId="64" fillId="14" borderId="74" xfId="0"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2"/>
    </xf>
    <xf numFmtId="9" fontId="61" fillId="14" borderId="74" xfId="3" applyFont="1" applyFill="1" applyBorder="1" applyAlignment="1">
      <alignment horizontal="right" vertical="center" wrapText="1" readingOrder="2"/>
    </xf>
    <xf numFmtId="0" fontId="64" fillId="14" borderId="74" xfId="0" applyFont="1" applyFill="1" applyBorder="1" applyAlignment="1">
      <alignment horizontal="center" vertical="center" wrapText="1" readingOrder="2"/>
    </xf>
    <xf numFmtId="9" fontId="61" fillId="6" borderId="74" xfId="3" applyFont="1" applyFill="1" applyBorder="1" applyAlignment="1">
      <alignment horizontal="center" vertical="center" wrapText="1"/>
    </xf>
    <xf numFmtId="170" fontId="64" fillId="14" borderId="74" xfId="1"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1"/>
    </xf>
    <xf numFmtId="0" fontId="0" fillId="14" borderId="0" xfId="0" applyFill="1" applyAlignment="1">
      <alignment horizontal="center" vertical="center"/>
    </xf>
    <xf numFmtId="0" fontId="8" fillId="10" borderId="1" xfId="1" applyNumberFormat="1" applyFont="1" applyFill="1" applyBorder="1" applyAlignment="1">
      <alignment horizontal="center" vertical="center"/>
    </xf>
    <xf numFmtId="10" fontId="5" fillId="0" borderId="1" xfId="1" applyNumberFormat="1" applyFont="1" applyFill="1" applyBorder="1" applyAlignment="1">
      <alignment horizontal="center" vertical="center" wrapText="1"/>
    </xf>
    <xf numFmtId="10" fontId="40" fillId="14" borderId="4" xfId="3" applyNumberFormat="1" applyFont="1" applyFill="1" applyBorder="1" applyAlignment="1">
      <alignment horizontal="center" vertical="center"/>
    </xf>
    <xf numFmtId="10" fontId="5" fillId="14" borderId="4" xfId="3" applyNumberFormat="1" applyFont="1" applyFill="1" applyBorder="1" applyAlignment="1">
      <alignment horizontal="center" vertical="center"/>
    </xf>
    <xf numFmtId="10" fontId="5" fillId="14" borderId="38" xfId="3" applyNumberFormat="1" applyFont="1" applyFill="1" applyBorder="1" applyAlignment="1">
      <alignment horizontal="center" vertical="center"/>
    </xf>
    <xf numFmtId="176" fontId="5" fillId="14" borderId="82" xfId="3" applyNumberFormat="1" applyFont="1" applyFill="1" applyBorder="1" applyAlignment="1">
      <alignment horizontal="center" vertical="center"/>
    </xf>
    <xf numFmtId="177" fontId="5" fillId="14" borderId="38" xfId="3" applyNumberFormat="1" applyFont="1" applyFill="1" applyBorder="1" applyAlignment="1">
      <alignment horizontal="center" vertical="center"/>
    </xf>
    <xf numFmtId="10" fontId="48" fillId="14" borderId="38" xfId="3" applyNumberFormat="1" applyFont="1" applyFill="1" applyBorder="1" applyAlignment="1">
      <alignment horizontal="center" vertical="center"/>
    </xf>
    <xf numFmtId="171" fontId="48" fillId="0" borderId="1" xfId="1" applyNumberFormat="1" applyFont="1" applyFill="1" applyBorder="1" applyAlignment="1">
      <alignment horizontal="center" vertical="center" wrapText="1"/>
    </xf>
    <xf numFmtId="2" fontId="48" fillId="0" borderId="1" xfId="1" applyNumberFormat="1" applyFont="1" applyFill="1" applyBorder="1" applyAlignment="1">
      <alignment horizontal="center" vertical="center" wrapText="1"/>
    </xf>
    <xf numFmtId="2" fontId="40" fillId="0" borderId="1" xfId="3" applyNumberFormat="1" applyFont="1" applyFill="1" applyBorder="1" applyAlignment="1">
      <alignment horizontal="center" vertical="center"/>
    </xf>
    <xf numFmtId="0" fontId="8" fillId="24" borderId="1" xfId="0" applyFont="1" applyFill="1" applyBorder="1" applyAlignment="1">
      <alignment horizontal="center" vertical="center"/>
    </xf>
    <xf numFmtId="0" fontId="64" fillId="6" borderId="75" xfId="0" applyFont="1" applyFill="1" applyBorder="1" applyAlignment="1">
      <alignment horizontal="center" vertical="center" wrapText="1" readingOrder="2"/>
    </xf>
    <xf numFmtId="0" fontId="64" fillId="14" borderId="75" xfId="0" applyFont="1" applyFill="1" applyBorder="1" applyAlignment="1">
      <alignment horizontal="center" vertical="center" wrapText="1" readingOrder="2"/>
    </xf>
    <xf numFmtId="181" fontId="5" fillId="14" borderId="1" xfId="1" applyNumberFormat="1" applyFont="1" applyFill="1" applyBorder="1" applyAlignment="1">
      <alignment horizontal="center" vertical="center"/>
    </xf>
    <xf numFmtId="181" fontId="5" fillId="6" borderId="1" xfId="0" applyNumberFormat="1" applyFont="1" applyFill="1" applyBorder="1" applyAlignment="1">
      <alignment horizontal="center" vertical="center"/>
    </xf>
    <xf numFmtId="181" fontId="5" fillId="14" borderId="1" xfId="1" applyNumberFormat="1" applyFont="1" applyFill="1" applyBorder="1" applyAlignment="1">
      <alignment horizontal="center" vertical="center" wrapText="1"/>
    </xf>
    <xf numFmtId="181" fontId="23" fillId="6" borderId="1" xfId="0" applyNumberFormat="1" applyFont="1" applyFill="1" applyBorder="1" applyAlignment="1">
      <alignment horizontal="center" vertical="center"/>
    </xf>
    <xf numFmtId="181" fontId="5" fillId="14" borderId="1" xfId="0" applyNumberFormat="1" applyFont="1" applyFill="1" applyBorder="1" applyAlignment="1">
      <alignment horizontal="center" vertical="center"/>
    </xf>
    <xf numFmtId="181" fontId="5" fillId="6" borderId="1" xfId="1" applyNumberFormat="1" applyFont="1" applyFill="1" applyBorder="1" applyAlignment="1">
      <alignment horizontal="center" vertical="center"/>
    </xf>
    <xf numFmtId="181" fontId="5" fillId="16" borderId="1" xfId="0" applyNumberFormat="1" applyFont="1" applyFill="1" applyBorder="1" applyAlignment="1">
      <alignment horizontal="center" vertical="center"/>
    </xf>
    <xf numFmtId="181" fontId="5" fillId="15" borderId="1" xfId="0" applyNumberFormat="1" applyFont="1" applyFill="1" applyBorder="1" applyAlignment="1">
      <alignment horizontal="center" vertical="center"/>
    </xf>
    <xf numFmtId="181" fontId="5" fillId="14" borderId="2" xfId="0" applyNumberFormat="1" applyFont="1" applyFill="1" applyBorder="1" applyAlignment="1">
      <alignment horizontal="center" vertical="center"/>
    </xf>
    <xf numFmtId="181" fontId="5" fillId="6" borderId="2" xfId="0" applyNumberFormat="1" applyFont="1" applyFill="1" applyBorder="1" applyAlignment="1">
      <alignment horizontal="center" vertical="center"/>
    </xf>
    <xf numFmtId="10" fontId="4" fillId="6" borderId="0" xfId="3" applyNumberFormat="1" applyFont="1" applyFill="1" applyAlignment="1" applyProtection="1">
      <alignment horizontal="center" vertical="center"/>
      <protection hidden="1"/>
    </xf>
    <xf numFmtId="10" fontId="4" fillId="6" borderId="0" xfId="3" applyNumberFormat="1" applyFont="1" applyFill="1" applyAlignment="1" applyProtection="1">
      <alignment vertical="center"/>
      <protection hidden="1"/>
    </xf>
    <xf numFmtId="0" fontId="49" fillId="0" borderId="2" xfId="0" applyFont="1" applyBorder="1" applyAlignment="1" applyProtection="1">
      <alignment horizontal="center" vertical="center" wrapText="1"/>
      <protection hidden="1"/>
    </xf>
    <xf numFmtId="0" fontId="49" fillId="0" borderId="2" xfId="0" applyFont="1" applyBorder="1" applyAlignment="1" applyProtection="1">
      <alignment horizontal="center" vertical="center"/>
      <protection hidden="1"/>
    </xf>
    <xf numFmtId="165" fontId="49" fillId="0" borderId="2" xfId="0" applyNumberFormat="1" applyFont="1" applyBorder="1" applyAlignment="1" applyProtection="1">
      <alignment horizontal="center" vertical="center"/>
      <protection hidden="1"/>
    </xf>
    <xf numFmtId="168" fontId="49" fillId="0" borderId="2" xfId="0" applyNumberFormat="1" applyFont="1" applyBorder="1" applyAlignment="1" applyProtection="1">
      <alignment horizontal="center" vertical="center"/>
      <protection locked="0"/>
    </xf>
    <xf numFmtId="1" fontId="49" fillId="0" borderId="2" xfId="0" applyNumberFormat="1" applyFont="1" applyBorder="1" applyAlignment="1" applyProtection="1">
      <alignment horizontal="center" vertical="center"/>
      <protection hidden="1"/>
    </xf>
    <xf numFmtId="1" fontId="49" fillId="0" borderId="2" xfId="1" applyNumberFormat="1" applyFont="1" applyFill="1" applyBorder="1" applyAlignment="1" applyProtection="1">
      <alignment horizontal="center" vertical="center"/>
      <protection hidden="1"/>
    </xf>
    <xf numFmtId="4" fontId="49" fillId="0" borderId="2" xfId="2" applyNumberFormat="1" applyFont="1" applyFill="1" applyBorder="1" applyAlignment="1" applyProtection="1">
      <alignment horizontal="center" vertical="center"/>
      <protection hidden="1"/>
    </xf>
    <xf numFmtId="0" fontId="49" fillId="18" borderId="20"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protection hidden="1"/>
    </xf>
    <xf numFmtId="165" fontId="49" fillId="18" borderId="83" xfId="0" applyNumberFormat="1" applyFont="1" applyFill="1" applyBorder="1" applyAlignment="1" applyProtection="1">
      <alignment horizontal="center" vertical="center"/>
      <protection hidden="1"/>
    </xf>
    <xf numFmtId="168" fontId="49" fillId="18" borderId="83" xfId="0" applyNumberFormat="1" applyFont="1" applyFill="1" applyBorder="1" applyAlignment="1" applyProtection="1">
      <alignment horizontal="center" vertical="center"/>
      <protection locked="0"/>
    </xf>
    <xf numFmtId="1" fontId="49" fillId="18" borderId="83" xfId="0" applyNumberFormat="1" applyFont="1" applyFill="1" applyBorder="1" applyAlignment="1" applyProtection="1">
      <alignment horizontal="center" vertical="center"/>
      <protection hidden="1"/>
    </xf>
    <xf numFmtId="4" fontId="49" fillId="18" borderId="83" xfId="2" applyNumberFormat="1" applyFont="1" applyFill="1" applyBorder="1" applyAlignment="1" applyProtection="1">
      <alignment horizontal="center" vertical="center"/>
      <protection hidden="1"/>
    </xf>
    <xf numFmtId="10" fontId="49" fillId="18" borderId="83" xfId="0" applyNumberFormat="1" applyFont="1" applyFill="1" applyBorder="1" applyAlignment="1" applyProtection="1">
      <alignment horizontal="center" vertical="center"/>
      <protection hidden="1"/>
    </xf>
    <xf numFmtId="10" fontId="49" fillId="18" borderId="83" xfId="3" applyNumberFormat="1" applyFont="1" applyFill="1" applyBorder="1" applyAlignment="1" applyProtection="1">
      <alignment horizontal="center" vertical="center"/>
      <protection hidden="1"/>
    </xf>
    <xf numFmtId="1" fontId="4" fillId="18" borderId="84" xfId="0" applyNumberFormat="1" applyFont="1" applyFill="1" applyBorder="1" applyAlignment="1" applyProtection="1">
      <alignment horizontal="center" vertical="center"/>
      <protection hidden="1"/>
    </xf>
    <xf numFmtId="0" fontId="49" fillId="6" borderId="19" xfId="0" applyFont="1" applyFill="1" applyBorder="1" applyAlignment="1" applyProtection="1">
      <alignment horizontal="center" vertical="center" wrapText="1"/>
      <protection hidden="1"/>
    </xf>
    <xf numFmtId="1" fontId="15" fillId="6" borderId="85" xfId="0" applyNumberFormat="1" applyFont="1" applyFill="1" applyBorder="1" applyAlignment="1" applyProtection="1">
      <alignment horizontal="center" vertical="center"/>
      <protection hidden="1"/>
    </xf>
    <xf numFmtId="0" fontId="49" fillId="18" borderId="19" xfId="0" applyFont="1" applyFill="1" applyBorder="1" applyAlignment="1" applyProtection="1">
      <alignment horizontal="center" vertical="center" wrapText="1"/>
      <protection hidden="1"/>
    </xf>
    <xf numFmtId="1" fontId="16" fillId="18" borderId="85" xfId="0" applyNumberFormat="1" applyFont="1" applyFill="1" applyBorder="1" applyAlignment="1" applyProtection="1">
      <alignment horizontal="center" vertical="center"/>
      <protection hidden="1"/>
    </xf>
    <xf numFmtId="1" fontId="4" fillId="6" borderId="85" xfId="0" applyNumberFormat="1" applyFont="1" applyFill="1" applyBorder="1" applyAlignment="1" applyProtection="1">
      <alignment horizontal="center" vertical="center"/>
      <protection hidden="1"/>
    </xf>
    <xf numFmtId="1" fontId="0" fillId="18" borderId="85" xfId="0" applyNumberFormat="1" applyFill="1" applyBorder="1" applyAlignment="1" applyProtection="1">
      <alignment horizontal="center" vertical="center"/>
      <protection hidden="1"/>
    </xf>
    <xf numFmtId="0" fontId="49" fillId="6" borderId="86"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protection hidden="1"/>
    </xf>
    <xf numFmtId="165" fontId="49" fillId="6" borderId="87" xfId="0" applyNumberFormat="1" applyFont="1" applyFill="1" applyBorder="1" applyAlignment="1" applyProtection="1">
      <alignment horizontal="center" vertical="center"/>
      <protection hidden="1"/>
    </xf>
    <xf numFmtId="168" fontId="49" fillId="6" borderId="87" xfId="0" applyNumberFormat="1" applyFont="1" applyFill="1" applyBorder="1" applyAlignment="1" applyProtection="1">
      <alignment horizontal="center" vertical="center"/>
      <protection locked="0"/>
    </xf>
    <xf numFmtId="1" fontId="49" fillId="6" borderId="87" xfId="0" applyNumberFormat="1" applyFont="1" applyFill="1" applyBorder="1" applyAlignment="1" applyProtection="1">
      <alignment horizontal="center" vertical="center"/>
      <protection hidden="1"/>
    </xf>
    <xf numFmtId="1" fontId="49" fillId="6" borderId="87" xfId="1" applyNumberFormat="1" applyFont="1" applyFill="1" applyBorder="1" applyAlignment="1" applyProtection="1">
      <alignment horizontal="center" vertical="center"/>
      <protection hidden="1"/>
    </xf>
    <xf numFmtId="4" fontId="49" fillId="6" borderId="87" xfId="2" applyNumberFormat="1" applyFont="1" applyFill="1" applyBorder="1" applyAlignment="1" applyProtection="1">
      <alignment horizontal="center" vertical="center"/>
      <protection hidden="1"/>
    </xf>
    <xf numFmtId="10" fontId="49" fillId="6" borderId="87" xfId="0" applyNumberFormat="1" applyFont="1" applyFill="1" applyBorder="1" applyAlignment="1" applyProtection="1">
      <alignment horizontal="center" vertical="center"/>
      <protection hidden="1"/>
    </xf>
    <xf numFmtId="10" fontId="49" fillId="6" borderId="87" xfId="3" applyNumberFormat="1" applyFont="1" applyFill="1" applyBorder="1" applyAlignment="1" applyProtection="1">
      <alignment horizontal="center" vertical="center"/>
      <protection hidden="1"/>
    </xf>
    <xf numFmtId="1" fontId="16" fillId="6" borderId="89" xfId="0" applyNumberFormat="1" applyFont="1" applyFill="1" applyBorder="1" applyAlignment="1" applyProtection="1">
      <alignment horizontal="center" vertical="center"/>
      <protection hidden="1"/>
    </xf>
    <xf numFmtId="0" fontId="49" fillId="0" borderId="19" xfId="0" applyFont="1" applyBorder="1" applyAlignment="1" applyProtection="1">
      <alignment horizontal="center" vertical="center"/>
      <protection hidden="1"/>
    </xf>
    <xf numFmtId="172" fontId="20" fillId="14" borderId="1" xfId="0" applyNumberFormat="1" applyFont="1" applyFill="1" applyBorder="1" applyAlignment="1" applyProtection="1">
      <alignment horizontal="center" vertical="center" wrapText="1"/>
      <protection locked="0"/>
    </xf>
    <xf numFmtId="1" fontId="4" fillId="14" borderId="85" xfId="0" applyNumberFormat="1" applyFont="1" applyFill="1" applyBorder="1" applyAlignment="1" applyProtection="1">
      <alignment horizontal="center" vertical="center"/>
      <protection hidden="1"/>
    </xf>
    <xf numFmtId="172" fontId="20" fillId="0" borderId="1" xfId="0" applyNumberFormat="1" applyFont="1" applyBorder="1" applyAlignment="1" applyProtection="1">
      <alignment horizontal="center" vertical="center" wrapText="1"/>
      <protection locked="0"/>
    </xf>
    <xf numFmtId="1" fontId="4" fillId="0" borderId="85" xfId="0" applyNumberFormat="1" applyFont="1" applyBorder="1" applyAlignment="1" applyProtection="1">
      <alignment horizontal="center" vertical="center"/>
      <protection hidden="1"/>
    </xf>
    <xf numFmtId="167" fontId="49" fillId="0" borderId="19" xfId="0" applyNumberFormat="1" applyFont="1" applyBorder="1" applyAlignment="1" applyProtection="1">
      <alignment horizontal="center" vertical="center" wrapText="1"/>
      <protection hidden="1"/>
    </xf>
    <xf numFmtId="0" fontId="49" fillId="0" borderId="19" xfId="0" applyFont="1" applyBorder="1" applyAlignment="1" applyProtection="1">
      <alignment horizontal="center" vertical="center" wrapText="1"/>
      <protection hidden="1"/>
    </xf>
    <xf numFmtId="167" fontId="49" fillId="0" borderId="19" xfId="0" applyNumberFormat="1" applyFont="1" applyBorder="1" applyAlignment="1" applyProtection="1">
      <alignment horizontal="center" vertical="center"/>
      <protection hidden="1"/>
    </xf>
    <xf numFmtId="0" fontId="49" fillId="0" borderId="19" xfId="0" applyFont="1" applyBorder="1" applyAlignment="1">
      <alignment horizontal="center" vertical="center"/>
    </xf>
    <xf numFmtId="2" fontId="49" fillId="6" borderId="1" xfId="0" applyNumberFormat="1" applyFont="1" applyFill="1" applyBorder="1" applyAlignment="1" applyProtection="1">
      <alignment horizontal="center" vertical="center" wrapText="1"/>
      <protection locked="0"/>
    </xf>
    <xf numFmtId="1" fontId="16" fillId="14" borderId="85" xfId="0" applyNumberFormat="1" applyFont="1" applyFill="1" applyBorder="1" applyAlignment="1" applyProtection="1">
      <alignment horizontal="center" vertical="center"/>
      <protection hidden="1"/>
    </xf>
    <xf numFmtId="1" fontId="16" fillId="0" borderId="85" xfId="0" applyNumberFormat="1" applyFont="1" applyBorder="1" applyAlignment="1" applyProtection="1">
      <alignment horizontal="center" vertical="center"/>
      <protection hidden="1"/>
    </xf>
    <xf numFmtId="0" fontId="49" fillId="14" borderId="19" xfId="0" applyFont="1" applyFill="1" applyBorder="1" applyAlignment="1" applyProtection="1">
      <alignment horizontal="center" vertical="center" wrapText="1"/>
      <protection hidden="1"/>
    </xf>
    <xf numFmtId="2" fontId="49" fillId="14" borderId="1" xfId="0" applyNumberFormat="1" applyFont="1" applyFill="1" applyBorder="1" applyAlignment="1" applyProtection="1">
      <alignment horizontal="center" vertical="center" wrapText="1"/>
      <protection locked="0"/>
    </xf>
    <xf numFmtId="172" fontId="20" fillId="6" borderId="1" xfId="0" applyNumberFormat="1" applyFont="1" applyFill="1" applyBorder="1" applyAlignment="1" applyProtection="1">
      <alignment horizontal="center" vertical="center" wrapText="1"/>
      <protection locked="0"/>
    </xf>
    <xf numFmtId="1" fontId="16" fillId="6" borderId="85" xfId="0" applyNumberFormat="1" applyFont="1" applyFill="1" applyBorder="1" applyAlignment="1" applyProtection="1">
      <alignment horizontal="center" vertical="center"/>
      <protection hidden="1"/>
    </xf>
    <xf numFmtId="1" fontId="0" fillId="14" borderId="85" xfId="0" applyNumberFormat="1" applyFill="1" applyBorder="1" applyAlignment="1" applyProtection="1">
      <alignment horizontal="center" vertical="center"/>
      <protection hidden="1"/>
    </xf>
    <xf numFmtId="10" fontId="49" fillId="0" borderId="19" xfId="0" applyNumberFormat="1" applyFont="1" applyBorder="1" applyAlignment="1" applyProtection="1">
      <alignment horizontal="center" vertical="center"/>
      <protection hidden="1"/>
    </xf>
    <xf numFmtId="1" fontId="0" fillId="6" borderId="85" xfId="0" applyNumberFormat="1" applyFill="1" applyBorder="1" applyAlignment="1" applyProtection="1">
      <alignment horizontal="center" vertical="center"/>
      <protection hidden="1"/>
    </xf>
    <xf numFmtId="1" fontId="36" fillId="6" borderId="85" xfId="0" applyNumberFormat="1" applyFont="1" applyFill="1" applyBorder="1" applyAlignment="1" applyProtection="1">
      <alignment horizontal="center" vertical="center"/>
      <protection hidden="1"/>
    </xf>
    <xf numFmtId="1" fontId="36" fillId="14" borderId="85"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protection hidden="1"/>
    </xf>
    <xf numFmtId="172" fontId="20" fillId="18" borderId="1" xfId="0" applyNumberFormat="1" applyFont="1" applyFill="1" applyBorder="1" applyAlignment="1" applyProtection="1">
      <alignment horizontal="center" vertical="center" wrapText="1"/>
      <protection locked="0"/>
    </xf>
    <xf numFmtId="2" fontId="49" fillId="6" borderId="1"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wrapText="1"/>
      <protection locked="0"/>
    </xf>
    <xf numFmtId="2" fontId="49" fillId="6" borderId="87" xfId="0" applyNumberFormat="1" applyFont="1" applyFill="1" applyBorder="1" applyAlignment="1" applyProtection="1">
      <alignment horizontal="center" vertical="center" wrapText="1"/>
      <protection locked="0"/>
    </xf>
    <xf numFmtId="172" fontId="20" fillId="6" borderId="87" xfId="0" applyNumberFormat="1" applyFont="1" applyFill="1" applyBorder="1" applyAlignment="1" applyProtection="1">
      <alignment horizontal="center" vertical="center" wrapText="1"/>
      <protection locked="0"/>
    </xf>
    <xf numFmtId="0" fontId="49" fillId="0" borderId="88" xfId="0" applyFont="1" applyBorder="1" applyAlignment="1" applyProtection="1">
      <alignment horizontal="center" vertical="center" wrapText="1"/>
      <protection hidden="1"/>
    </xf>
    <xf numFmtId="2" fontId="49" fillId="0" borderId="2" xfId="0" applyNumberFormat="1" applyFont="1" applyBorder="1" applyAlignment="1" applyProtection="1">
      <alignment horizontal="center" vertical="center" wrapText="1"/>
      <protection locked="0"/>
    </xf>
    <xf numFmtId="172" fontId="20" fillId="0" borderId="2" xfId="0" applyNumberFormat="1" applyFont="1" applyBorder="1" applyAlignment="1" applyProtection="1">
      <alignment horizontal="center" vertical="center" wrapText="1"/>
      <protection locked="0"/>
    </xf>
    <xf numFmtId="1" fontId="0" fillId="0" borderId="90" xfId="0" applyNumberFormat="1" applyBorder="1" applyAlignment="1" applyProtection="1">
      <alignment horizontal="center" vertical="center"/>
      <protection hidden="1"/>
    </xf>
    <xf numFmtId="2" fontId="49" fillId="18" borderId="83" xfId="0" applyNumberFormat="1" applyFont="1" applyFill="1" applyBorder="1" applyAlignment="1" applyProtection="1">
      <alignment horizontal="center" vertical="center"/>
      <protection hidden="1"/>
    </xf>
    <xf numFmtId="172" fontId="20" fillId="18" borderId="83" xfId="0" applyNumberFormat="1" applyFont="1" applyFill="1" applyBorder="1" applyAlignment="1" applyProtection="1">
      <alignment horizontal="center" vertical="center" wrapText="1"/>
      <protection locked="0"/>
    </xf>
    <xf numFmtId="0" fontId="78" fillId="5" borderId="4" xfId="0" applyFont="1" applyFill="1" applyBorder="1" applyAlignment="1">
      <alignment horizontal="center" vertical="center" wrapText="1"/>
    </xf>
    <xf numFmtId="0" fontId="78" fillId="5" borderId="20" xfId="0" applyFont="1" applyFill="1" applyBorder="1" applyAlignment="1" applyProtection="1">
      <alignment horizontal="center" vertical="center" wrapText="1"/>
      <protection hidden="1"/>
    </xf>
    <xf numFmtId="1" fontId="78" fillId="5" borderId="83" xfId="0" applyNumberFormat="1" applyFont="1" applyFill="1" applyBorder="1" applyAlignment="1" applyProtection="1">
      <alignment horizontal="center" vertical="center" wrapText="1"/>
      <protection hidden="1"/>
    </xf>
    <xf numFmtId="0" fontId="78" fillId="5" borderId="83" xfId="0" applyFont="1" applyFill="1" applyBorder="1" applyAlignment="1" applyProtection="1">
      <alignment horizontal="center" vertical="center" wrapText="1"/>
      <protection hidden="1"/>
    </xf>
    <xf numFmtId="14" fontId="78" fillId="5" borderId="83" xfId="0" applyNumberFormat="1" applyFont="1" applyFill="1" applyBorder="1" applyAlignment="1" applyProtection="1">
      <alignment horizontal="center" vertical="center" wrapText="1"/>
      <protection hidden="1"/>
    </xf>
    <xf numFmtId="43" fontId="78" fillId="5" borderId="83" xfId="2" applyFont="1" applyFill="1" applyBorder="1" applyAlignment="1" applyProtection="1">
      <alignment horizontal="center" vertical="center" wrapText="1"/>
      <protection hidden="1"/>
    </xf>
    <xf numFmtId="4" fontId="78" fillId="5" borderId="83" xfId="2" applyNumberFormat="1" applyFont="1" applyFill="1" applyBorder="1" applyAlignment="1" applyProtection="1">
      <alignment horizontal="center" vertical="center" wrapText="1"/>
      <protection hidden="1"/>
    </xf>
    <xf numFmtId="172" fontId="79" fillId="17" borderId="83" xfId="0" applyNumberFormat="1" applyFont="1" applyFill="1" applyBorder="1" applyAlignment="1" applyProtection="1">
      <alignment horizontal="center" vertical="center" wrapText="1"/>
      <protection hidden="1"/>
    </xf>
    <xf numFmtId="0" fontId="80" fillId="17" borderId="84" xfId="0" applyFont="1" applyFill="1" applyBorder="1" applyAlignment="1" applyProtection="1">
      <alignment horizontal="center" vertical="center" wrapText="1"/>
      <protection hidden="1"/>
    </xf>
    <xf numFmtId="1" fontId="81" fillId="5" borderId="83" xfId="0" applyNumberFormat="1" applyFont="1" applyFill="1" applyBorder="1" applyAlignment="1" applyProtection="1">
      <alignment horizontal="center" vertical="center" wrapText="1"/>
      <protection hidden="1"/>
    </xf>
    <xf numFmtId="0" fontId="81" fillId="5" borderId="83" xfId="0" applyFont="1" applyFill="1" applyBorder="1" applyAlignment="1" applyProtection="1">
      <alignment horizontal="center" vertical="center" wrapText="1"/>
      <protection hidden="1"/>
    </xf>
    <xf numFmtId="170" fontId="81" fillId="5" borderId="83" xfId="0" applyNumberFormat="1" applyFont="1" applyFill="1" applyBorder="1" applyAlignment="1" applyProtection="1">
      <alignment horizontal="center" vertical="center" wrapText="1"/>
      <protection hidden="1"/>
    </xf>
    <xf numFmtId="10" fontId="78" fillId="6" borderId="0" xfId="3" applyNumberFormat="1" applyFont="1" applyFill="1" applyAlignment="1" applyProtection="1">
      <alignment horizontal="center" vertical="center" wrapText="1"/>
      <protection hidden="1"/>
    </xf>
    <xf numFmtId="10" fontId="78" fillId="6" borderId="0" xfId="3" applyNumberFormat="1" applyFont="1" applyFill="1" applyAlignment="1" applyProtection="1">
      <alignment vertical="center" wrapText="1"/>
      <protection hidden="1"/>
    </xf>
    <xf numFmtId="0" fontId="78" fillId="6" borderId="0" xfId="0" applyFont="1" applyFill="1" applyAlignment="1" applyProtection="1">
      <alignment wrapText="1"/>
      <protection hidden="1"/>
    </xf>
    <xf numFmtId="165" fontId="5" fillId="6" borderId="2" xfId="1" applyNumberFormat="1" applyFont="1" applyFill="1" applyBorder="1" applyAlignment="1">
      <alignment horizontal="center" vertical="center"/>
    </xf>
    <xf numFmtId="181" fontId="5" fillId="6" borderId="2" xfId="1" applyNumberFormat="1" applyFont="1" applyFill="1" applyBorder="1" applyAlignment="1">
      <alignment horizontal="center" vertical="center"/>
    </xf>
    <xf numFmtId="1" fontId="5" fillId="6" borderId="2" xfId="1" applyNumberFormat="1" applyFont="1" applyFill="1" applyBorder="1" applyAlignment="1">
      <alignment horizontal="center" vertical="center"/>
    </xf>
    <xf numFmtId="1" fontId="72" fillId="6" borderId="1" xfId="0" applyNumberFormat="1" applyFont="1" applyFill="1" applyBorder="1" applyAlignment="1">
      <alignment horizontal="right" vertical="center" wrapText="1"/>
    </xf>
    <xf numFmtId="1" fontId="72" fillId="15" borderId="1" xfId="0" applyNumberFormat="1" applyFont="1" applyFill="1" applyBorder="1" applyAlignment="1">
      <alignment horizontal="right" vertical="center" wrapText="1" readingOrder="2"/>
    </xf>
    <xf numFmtId="1" fontId="72" fillId="16" borderId="1" xfId="0" applyNumberFormat="1" applyFont="1" applyFill="1" applyBorder="1" applyAlignment="1">
      <alignment horizontal="right" vertical="center" wrapText="1" readingOrder="2"/>
    </xf>
    <xf numFmtId="1" fontId="72" fillId="14" borderId="1" xfId="0" applyNumberFormat="1" applyFont="1" applyFill="1" applyBorder="1" applyAlignment="1">
      <alignment horizontal="right" vertical="center" wrapText="1"/>
    </xf>
    <xf numFmtId="0" fontId="69" fillId="12" borderId="74" xfId="0" applyFont="1" applyFill="1" applyBorder="1" applyAlignment="1">
      <alignment horizontal="right" vertical="center" wrapText="1"/>
    </xf>
    <xf numFmtId="0" fontId="35" fillId="0" borderId="0" xfId="0" applyFont="1" applyAlignment="1">
      <alignment horizontal="right"/>
    </xf>
    <xf numFmtId="2" fontId="67" fillId="12" borderId="74" xfId="0" applyNumberFormat="1" applyFont="1" applyFill="1" applyBorder="1" applyAlignment="1">
      <alignment horizontal="right" vertical="center" wrapText="1" readingOrder="2"/>
    </xf>
    <xf numFmtId="0" fontId="72" fillId="14" borderId="40" xfId="0" applyFont="1" applyFill="1" applyBorder="1" applyAlignment="1">
      <alignment horizontal="center" vertical="center"/>
    </xf>
    <xf numFmtId="0" fontId="72" fillId="14" borderId="40" xfId="0" applyFont="1" applyFill="1" applyBorder="1" applyAlignment="1">
      <alignment horizontal="center" vertical="center" wrapText="1"/>
    </xf>
    <xf numFmtId="165" fontId="72" fillId="14" borderId="40" xfId="0" applyNumberFormat="1" applyFont="1" applyFill="1" applyBorder="1" applyAlignment="1">
      <alignment horizontal="center" vertical="center"/>
    </xf>
    <xf numFmtId="2" fontId="72" fillId="14" borderId="40" xfId="0" applyNumberFormat="1" applyFont="1" applyFill="1" applyBorder="1" applyAlignment="1">
      <alignment horizontal="center" vertical="center"/>
    </xf>
    <xf numFmtId="164" fontId="72" fillId="14" borderId="40" xfId="0" applyNumberFormat="1" applyFont="1" applyFill="1" applyBorder="1" applyAlignment="1">
      <alignment horizontal="center" vertical="center"/>
    </xf>
    <xf numFmtId="1" fontId="72" fillId="14" borderId="40" xfId="0" applyNumberFormat="1" applyFont="1" applyFill="1" applyBorder="1" applyAlignment="1">
      <alignment horizontal="center" vertical="center"/>
    </xf>
    <xf numFmtId="10" fontId="72" fillId="14" borderId="40" xfId="0" applyNumberFormat="1" applyFont="1" applyFill="1" applyBorder="1" applyAlignment="1">
      <alignment horizontal="center" vertical="center"/>
    </xf>
    <xf numFmtId="169" fontId="73" fillId="14" borderId="40" xfId="0" applyNumberFormat="1" applyFont="1" applyFill="1" applyBorder="1" applyAlignment="1">
      <alignment horizontal="center" vertical="center"/>
    </xf>
    <xf numFmtId="169" fontId="72" fillId="17" borderId="40" xfId="0" applyNumberFormat="1" applyFont="1" applyFill="1" applyBorder="1" applyAlignment="1">
      <alignment horizontal="center" vertical="center"/>
    </xf>
    <xf numFmtId="169" fontId="73" fillId="19" borderId="40" xfId="0" applyNumberFormat="1" applyFont="1" applyFill="1" applyBorder="1" applyAlignment="1">
      <alignment horizontal="center" vertical="center" wrapText="1"/>
    </xf>
    <xf numFmtId="10" fontId="72" fillId="14" borderId="40" xfId="0" applyNumberFormat="1" applyFont="1" applyFill="1" applyBorder="1" applyAlignment="1">
      <alignment horizontal="center" vertical="center" wrapText="1"/>
    </xf>
    <xf numFmtId="176" fontId="72" fillId="14" borderId="40" xfId="0" applyNumberFormat="1" applyFont="1" applyFill="1" applyBorder="1" applyAlignment="1">
      <alignment horizontal="center" vertical="center" wrapText="1"/>
    </xf>
    <xf numFmtId="10" fontId="73" fillId="14" borderId="40" xfId="0" applyNumberFormat="1" applyFont="1" applyFill="1" applyBorder="1" applyAlignment="1">
      <alignment horizontal="center" vertical="center"/>
    </xf>
    <xf numFmtId="177" fontId="73" fillId="14" borderId="40" xfId="0" applyNumberFormat="1" applyFont="1" applyFill="1" applyBorder="1" applyAlignment="1">
      <alignment horizontal="center" vertical="center"/>
    </xf>
    <xf numFmtId="0" fontId="74" fillId="14" borderId="40" xfId="0" applyFont="1" applyFill="1" applyBorder="1" applyAlignment="1">
      <alignment wrapText="1"/>
    </xf>
    <xf numFmtId="10" fontId="72" fillId="0" borderId="40" xfId="0" applyNumberFormat="1" applyFont="1" applyBorder="1" applyAlignment="1">
      <alignment horizontal="center" vertical="center"/>
    </xf>
    <xf numFmtId="49" fontId="72" fillId="14" borderId="40" xfId="0" applyNumberFormat="1" applyFont="1" applyFill="1" applyBorder="1" applyAlignment="1">
      <alignment horizontal="right" vertical="center" wrapText="1" readingOrder="2"/>
    </xf>
    <xf numFmtId="1" fontId="72" fillId="14" borderId="40" xfId="0" applyNumberFormat="1" applyFont="1" applyFill="1" applyBorder="1" applyAlignment="1">
      <alignment horizontal="right" vertical="center" wrapText="1"/>
    </xf>
    <xf numFmtId="49" fontId="74" fillId="14" borderId="40" xfId="0" applyNumberFormat="1" applyFont="1" applyFill="1" applyBorder="1" applyAlignment="1">
      <alignment horizontal="right" vertical="center" wrapText="1"/>
    </xf>
    <xf numFmtId="1" fontId="74" fillId="14" borderId="52" xfId="0" applyNumberFormat="1" applyFont="1" applyFill="1" applyBorder="1" applyAlignment="1">
      <alignment horizontal="right" vertical="center" wrapText="1"/>
    </xf>
    <xf numFmtId="0" fontId="14" fillId="12" borderId="26" xfId="0" applyFont="1" applyFill="1" applyBorder="1" applyAlignment="1">
      <alignment horizontal="center" vertical="center" wrapText="1" readingOrder="2"/>
    </xf>
    <xf numFmtId="1" fontId="72" fillId="6" borderId="30" xfId="3" applyNumberFormat="1" applyFont="1" applyFill="1" applyBorder="1" applyAlignment="1">
      <alignment horizontal="right" vertical="center" wrapText="1"/>
    </xf>
    <xf numFmtId="1" fontId="72" fillId="14" borderId="30" xfId="0" applyNumberFormat="1" applyFont="1" applyFill="1" applyBorder="1" applyAlignment="1">
      <alignment horizontal="right" vertical="center" wrapText="1" readingOrder="2"/>
    </xf>
    <xf numFmtId="1" fontId="72" fillId="6" borderId="30" xfId="0" applyNumberFormat="1" applyFont="1" applyFill="1" applyBorder="1" applyAlignment="1">
      <alignment horizontal="right" vertical="center" wrapText="1" readingOrder="2"/>
    </xf>
    <xf numFmtId="10" fontId="72" fillId="6" borderId="30" xfId="3" applyNumberFormat="1" applyFont="1" applyFill="1" applyBorder="1" applyAlignment="1">
      <alignment horizontal="right" vertical="center" wrapText="1" readingOrder="2"/>
    </xf>
    <xf numFmtId="10" fontId="72" fillId="14"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readingOrder="2"/>
    </xf>
    <xf numFmtId="1" fontId="72" fillId="6"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xf>
    <xf numFmtId="1" fontId="72" fillId="6" borderId="30" xfId="0" applyNumberFormat="1" applyFont="1" applyFill="1" applyBorder="1" applyAlignment="1">
      <alignment horizontal="right" vertical="center" wrapText="1"/>
    </xf>
    <xf numFmtId="1" fontId="72" fillId="14" borderId="30" xfId="0" applyNumberFormat="1" applyFont="1" applyFill="1" applyBorder="1" applyAlignment="1">
      <alignment horizontal="right" vertical="center" wrapText="1"/>
    </xf>
    <xf numFmtId="4" fontId="82" fillId="0" borderId="0" xfId="0" applyNumberFormat="1" applyFont="1" applyAlignment="1">
      <alignment horizontal="center"/>
    </xf>
    <xf numFmtId="10" fontId="48" fillId="14" borderId="2" xfId="0" applyNumberFormat="1" applyFont="1" applyFill="1" applyBorder="1" applyAlignment="1">
      <alignment horizontal="center" vertical="center"/>
    </xf>
    <xf numFmtId="1" fontId="72" fillId="8" borderId="30" xfId="0" applyNumberFormat="1" applyFont="1" applyFill="1" applyBorder="1" applyAlignment="1">
      <alignment horizontal="right" vertical="center" wrapText="1" readingOrder="2"/>
    </xf>
    <xf numFmtId="1" fontId="72" fillId="14" borderId="29" xfId="0" applyNumberFormat="1" applyFont="1" applyFill="1" applyBorder="1" applyAlignment="1">
      <alignment horizontal="right" vertical="center" wrapText="1" readingOrder="2"/>
    </xf>
    <xf numFmtId="1" fontId="72" fillId="8" borderId="1" xfId="3" applyNumberFormat="1" applyFont="1" applyFill="1" applyBorder="1" applyAlignment="1">
      <alignment horizontal="right" vertical="center" wrapText="1" readingOrder="2"/>
    </xf>
    <xf numFmtId="0" fontId="4" fillId="0" borderId="0" xfId="0" applyFont="1" applyAlignment="1">
      <alignment vertical="center" wrapText="1"/>
    </xf>
    <xf numFmtId="0" fontId="19" fillId="0" borderId="0" xfId="0" applyFont="1" applyAlignment="1">
      <alignment vertical="center" wrapText="1"/>
    </xf>
    <xf numFmtId="0" fontId="19" fillId="0" borderId="0" xfId="0" applyFont="1" applyAlignment="1">
      <alignment vertical="center"/>
    </xf>
    <xf numFmtId="182" fontId="72" fillId="14" borderId="40" xfId="0" applyNumberFormat="1" applyFont="1" applyFill="1" applyBorder="1" applyAlignment="1">
      <alignment horizontal="center" vertical="center"/>
    </xf>
    <xf numFmtId="16" fontId="0" fillId="0" borderId="1" xfId="0" applyNumberFormat="1" applyBorder="1" applyAlignment="1">
      <alignment horizontal="center" vertical="center"/>
    </xf>
    <xf numFmtId="2" fontId="0" fillId="0" borderId="1" xfId="0" applyNumberFormat="1" applyBorder="1" applyAlignment="1">
      <alignment horizontal="center" vertical="center"/>
    </xf>
    <xf numFmtId="16" fontId="0" fillId="0" borderId="19" xfId="0" applyNumberFormat="1" applyBorder="1" applyAlignment="1">
      <alignment horizontal="center" vertical="center"/>
    </xf>
    <xf numFmtId="0" fontId="47" fillId="0" borderId="85" xfId="0" applyFont="1" applyBorder="1" applyAlignment="1">
      <alignment horizontal="center" vertical="center"/>
    </xf>
    <xf numFmtId="0" fontId="0" fillId="0" borderId="85" xfId="0" applyBorder="1" applyAlignment="1">
      <alignment horizontal="center" vertical="center"/>
    </xf>
    <xf numFmtId="0" fontId="4" fillId="0" borderId="86" xfId="0" applyFont="1" applyBorder="1" applyAlignment="1">
      <alignment horizontal="center" vertical="center"/>
    </xf>
    <xf numFmtId="0" fontId="4" fillId="14" borderId="20" xfId="0" applyFont="1" applyFill="1" applyBorder="1" applyAlignment="1">
      <alignment horizontal="center" vertical="center"/>
    </xf>
    <xf numFmtId="0" fontId="4" fillId="14" borderId="83" xfId="0" applyFont="1" applyFill="1" applyBorder="1" applyAlignment="1">
      <alignment horizontal="center" vertical="center"/>
    </xf>
    <xf numFmtId="0" fontId="4" fillId="14" borderId="83" xfId="0" applyFont="1" applyFill="1" applyBorder="1" applyAlignment="1">
      <alignment horizontal="center" vertical="center" wrapText="1"/>
    </xf>
    <xf numFmtId="0" fontId="19" fillId="14" borderId="84" xfId="0" applyFont="1" applyFill="1" applyBorder="1" applyAlignment="1">
      <alignment horizontal="center" vertical="center" wrapText="1"/>
    </xf>
    <xf numFmtId="2" fontId="6" fillId="0" borderId="0" xfId="3" applyNumberFormat="1" applyFont="1" applyAlignment="1">
      <alignment horizontal="center" vertical="center"/>
    </xf>
    <xf numFmtId="1" fontId="40" fillId="26" borderId="1" xfId="0" applyNumberFormat="1" applyFont="1" applyFill="1" applyBorder="1" applyAlignment="1">
      <alignment horizontal="center" vertical="center" wrapText="1"/>
    </xf>
    <xf numFmtId="1" fontId="48" fillId="26" borderId="1" xfId="0" applyNumberFormat="1"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10" fontId="19" fillId="0" borderId="1" xfId="0" applyNumberFormat="1" applyFont="1" applyBorder="1" applyAlignment="1" applyProtection="1">
      <alignment horizontal="center" vertical="center"/>
      <protection hidden="1"/>
    </xf>
    <xf numFmtId="0" fontId="47" fillId="0" borderId="57" xfId="0" applyFont="1" applyBorder="1" applyAlignment="1" applyProtection="1">
      <alignment horizontal="center" vertical="center"/>
      <protection hidden="1"/>
    </xf>
    <xf numFmtId="0" fontId="19" fillId="0" borderId="19"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protection hidden="1"/>
    </xf>
    <xf numFmtId="14" fontId="19" fillId="0" borderId="1" xfId="0" applyNumberFormat="1" applyFont="1" applyBorder="1" applyAlignment="1" applyProtection="1">
      <alignment horizontal="center" vertical="center"/>
      <protection hidden="1"/>
    </xf>
    <xf numFmtId="165" fontId="19" fillId="0" borderId="1" xfId="0" applyNumberFormat="1" applyFont="1" applyBorder="1" applyAlignment="1" applyProtection="1">
      <alignment horizontal="center" vertical="center"/>
      <protection hidden="1"/>
    </xf>
    <xf numFmtId="168" fontId="19" fillId="6" borderId="1" xfId="0" applyNumberFormat="1" applyFont="1" applyFill="1" applyBorder="1" applyAlignment="1" applyProtection="1">
      <alignment horizontal="center" vertical="center"/>
      <protection locked="0"/>
    </xf>
    <xf numFmtId="168" fontId="19" fillId="0" borderId="1" xfId="0" applyNumberFormat="1" applyFont="1" applyBorder="1" applyAlignment="1" applyProtection="1">
      <alignment horizontal="center" vertical="center"/>
      <protection locked="0"/>
    </xf>
    <xf numFmtId="1" fontId="19" fillId="0" borderId="1" xfId="0" applyNumberFormat="1" applyFont="1" applyBorder="1" applyAlignment="1" applyProtection="1">
      <alignment horizontal="center" vertical="center"/>
      <protection hidden="1"/>
    </xf>
    <xf numFmtId="1" fontId="19" fillId="0" borderId="1" xfId="1" applyNumberFormat="1" applyFont="1" applyFill="1" applyBorder="1" applyAlignment="1" applyProtection="1">
      <alignment horizontal="center" vertical="center"/>
      <protection hidden="1"/>
    </xf>
    <xf numFmtId="4" fontId="19" fillId="0" borderId="1" xfId="2" applyNumberFormat="1" applyFont="1" applyFill="1" applyBorder="1" applyAlignment="1" applyProtection="1">
      <alignment horizontal="center" vertical="center"/>
      <protection hidden="1"/>
    </xf>
    <xf numFmtId="10" fontId="19" fillId="14" borderId="1" xfId="3" applyNumberFormat="1" applyFont="1" applyFill="1" applyBorder="1" applyAlignment="1" applyProtection="1">
      <alignment horizontal="center" vertical="center"/>
      <protection hidden="1"/>
    </xf>
    <xf numFmtId="2" fontId="19" fillId="14" borderId="1" xfId="0" applyNumberFormat="1" applyFont="1" applyFill="1" applyBorder="1" applyAlignment="1" applyProtection="1">
      <alignment horizontal="center" vertical="center" wrapText="1"/>
      <protection locked="0"/>
    </xf>
    <xf numFmtId="172" fontId="83" fillId="0" borderId="1" xfId="0" applyNumberFormat="1" applyFont="1" applyBorder="1" applyAlignment="1" applyProtection="1">
      <alignment horizontal="center" vertical="center" wrapText="1"/>
      <protection locked="0"/>
    </xf>
    <xf numFmtId="1" fontId="47" fillId="0" borderId="85" xfId="0" applyNumberFormat="1" applyFont="1" applyBorder="1" applyAlignment="1" applyProtection="1">
      <alignment horizontal="center" vertical="center"/>
      <protection hidden="1"/>
    </xf>
    <xf numFmtId="0" fontId="47" fillId="6" borderId="4" xfId="0" applyFont="1" applyFill="1" applyBorder="1" applyAlignment="1" applyProtection="1">
      <alignment horizontal="center" vertical="center"/>
      <protection hidden="1"/>
    </xf>
    <xf numFmtId="165" fontId="19" fillId="6" borderId="1" xfId="0" applyNumberFormat="1" applyFont="1" applyFill="1" applyBorder="1" applyAlignment="1" applyProtection="1">
      <alignment horizontal="center" vertical="center"/>
      <protection hidden="1"/>
    </xf>
    <xf numFmtId="10" fontId="19" fillId="6" borderId="1" xfId="3" applyNumberFormat="1" applyFont="1" applyFill="1" applyBorder="1" applyAlignment="1" applyProtection="1">
      <alignment horizontal="center" vertical="center"/>
      <protection hidden="1"/>
    </xf>
    <xf numFmtId="2" fontId="19" fillId="0" borderId="1" xfId="0" applyNumberFormat="1" applyFont="1" applyBorder="1" applyAlignment="1" applyProtection="1">
      <alignment horizontal="center" vertical="center" wrapText="1"/>
      <protection locked="0"/>
    </xf>
    <xf numFmtId="172" fontId="83" fillId="6" borderId="1" xfId="0" applyNumberFormat="1" applyFont="1" applyFill="1" applyBorder="1" applyAlignment="1" applyProtection="1">
      <alignment horizontal="center" vertical="center" wrapText="1"/>
      <protection locked="0"/>
    </xf>
    <xf numFmtId="1" fontId="47" fillId="6" borderId="85" xfId="0" applyNumberFormat="1" applyFont="1" applyFill="1" applyBorder="1" applyAlignment="1" applyProtection="1">
      <alignment horizontal="center" vertical="center"/>
      <protection hidden="1"/>
    </xf>
    <xf numFmtId="171" fontId="5" fillId="14" borderId="2" xfId="0" applyNumberFormat="1" applyFont="1" applyFill="1" applyBorder="1" applyAlignment="1">
      <alignment horizontal="center" vertical="center" wrapText="1"/>
    </xf>
    <xf numFmtId="171" fontId="48" fillId="6" borderId="2" xfId="0" applyNumberFormat="1" applyFont="1" applyFill="1" applyBorder="1" applyAlignment="1">
      <alignment horizontal="center" vertical="center" wrapText="1"/>
    </xf>
    <xf numFmtId="4" fontId="39" fillId="6" borderId="72" xfId="1" applyNumberFormat="1" applyFont="1" applyFill="1" applyBorder="1" applyAlignment="1">
      <alignment horizontal="center" vertical="center"/>
    </xf>
    <xf numFmtId="4" fontId="39" fillId="0" borderId="24" xfId="0" applyNumberFormat="1" applyFont="1" applyBorder="1" applyAlignment="1">
      <alignment horizontal="center" vertical="center"/>
    </xf>
    <xf numFmtId="4" fontId="39" fillId="6" borderId="40" xfId="1" applyNumberFormat="1" applyFont="1" applyFill="1" applyBorder="1" applyAlignment="1">
      <alignment horizontal="center" vertical="center"/>
    </xf>
    <xf numFmtId="4" fontId="39" fillId="0" borderId="2" xfId="0" applyNumberFormat="1" applyFont="1" applyBorder="1" applyAlignment="1">
      <alignment horizontal="center" vertical="center"/>
    </xf>
    <xf numFmtId="10" fontId="7" fillId="0" borderId="0" xfId="3" applyNumberFormat="1" applyFont="1" applyAlignment="1">
      <alignment horizontal="center" vertical="center"/>
    </xf>
    <xf numFmtId="10" fontId="4" fillId="0" borderId="0" xfId="3" applyNumberFormat="1" applyFont="1" applyAlignment="1">
      <alignment horizontal="center" vertical="center"/>
    </xf>
    <xf numFmtId="10" fontId="29" fillId="8" borderId="0" xfId="3" applyNumberFormat="1" applyFont="1" applyFill="1" applyAlignment="1">
      <alignment horizontal="center" vertical="center"/>
    </xf>
    <xf numFmtId="10" fontId="29" fillId="0" borderId="0" xfId="0" applyNumberFormat="1" applyFont="1" applyAlignment="1">
      <alignment horizontal="center" vertical="center"/>
    </xf>
    <xf numFmtId="9" fontId="78" fillId="6" borderId="0" xfId="3" applyFont="1" applyFill="1" applyAlignment="1" applyProtection="1">
      <alignment wrapText="1"/>
      <protection hidden="1"/>
    </xf>
    <xf numFmtId="9" fontId="4" fillId="0" borderId="0" xfId="3" applyFont="1" applyProtection="1">
      <protection hidden="1"/>
    </xf>
    <xf numFmtId="9" fontId="4" fillId="0" borderId="0" xfId="3" applyFont="1" applyAlignment="1" applyProtection="1">
      <alignment horizontal="center" vertical="center"/>
      <protection hidden="1"/>
    </xf>
    <xf numFmtId="9" fontId="16" fillId="0" borderId="0" xfId="3" applyFont="1" applyProtection="1">
      <protection hidden="1"/>
    </xf>
    <xf numFmtId="9" fontId="16" fillId="6" borderId="0" xfId="3" applyFont="1" applyFill="1" applyProtection="1">
      <protection hidden="1"/>
    </xf>
    <xf numFmtId="9" fontId="0" fillId="0" borderId="0" xfId="3" applyFont="1" applyProtection="1">
      <protection hidden="1"/>
    </xf>
    <xf numFmtId="9" fontId="0" fillId="6" borderId="0" xfId="3" applyFont="1" applyFill="1" applyProtection="1">
      <protection hidden="1"/>
    </xf>
    <xf numFmtId="9" fontId="0" fillId="14" borderId="0" xfId="3" applyFont="1" applyFill="1" applyProtection="1">
      <protection hidden="1"/>
    </xf>
    <xf numFmtId="9" fontId="36" fillId="6" borderId="0" xfId="3" applyFont="1" applyFill="1" applyProtection="1">
      <protection hidden="1"/>
    </xf>
    <xf numFmtId="9" fontId="36" fillId="14" borderId="0" xfId="3" applyFont="1" applyFill="1" applyProtection="1">
      <protection hidden="1"/>
    </xf>
    <xf numFmtId="9" fontId="15" fillId="6" borderId="0" xfId="3" applyFont="1" applyFill="1" applyProtection="1">
      <protection hidden="1"/>
    </xf>
    <xf numFmtId="9" fontId="4" fillId="6" borderId="0" xfId="3" applyFont="1" applyFill="1" applyProtection="1">
      <protection hidden="1"/>
    </xf>
    <xf numFmtId="10" fontId="10" fillId="8" borderId="0" xfId="0" applyNumberFormat="1" applyFont="1" applyFill="1" applyAlignment="1">
      <alignment horizontal="center" vertical="center"/>
    </xf>
    <xf numFmtId="10" fontId="10" fillId="0" borderId="0" xfId="0" applyNumberFormat="1" applyFont="1" applyAlignment="1">
      <alignment horizontal="center" vertical="center"/>
    </xf>
    <xf numFmtId="1" fontId="72" fillId="14" borderId="28" xfId="0" applyNumberFormat="1" applyFont="1" applyFill="1" applyBorder="1" applyAlignment="1">
      <alignment horizontal="right" vertical="center" wrapText="1"/>
    </xf>
    <xf numFmtId="1" fontId="72" fillId="14" borderId="29" xfId="0" applyNumberFormat="1" applyFont="1" applyFill="1" applyBorder="1" applyAlignment="1">
      <alignment horizontal="right" vertical="center" wrapText="1"/>
    </xf>
    <xf numFmtId="0" fontId="70" fillId="12" borderId="77" xfId="0" applyFont="1" applyFill="1" applyBorder="1" applyAlignment="1">
      <alignment horizontal="center" vertical="center" wrapText="1" readingOrder="2"/>
    </xf>
    <xf numFmtId="0" fontId="66" fillId="12" borderId="77" xfId="0" applyFont="1" applyFill="1" applyBorder="1" applyAlignment="1">
      <alignment vertical="center" wrapText="1" readingOrder="2"/>
    </xf>
    <xf numFmtId="3" fontId="70" fillId="12" borderId="77" xfId="0" applyNumberFormat="1" applyFont="1" applyFill="1" applyBorder="1" applyAlignment="1">
      <alignment horizontal="center" vertical="center" wrapText="1" readingOrder="2"/>
    </xf>
    <xf numFmtId="178" fontId="66" fillId="12" borderId="77" xfId="0" applyNumberFormat="1" applyFont="1" applyFill="1" applyBorder="1" applyAlignment="1">
      <alignment horizontal="center" vertical="center" wrapText="1" readingOrder="2"/>
    </xf>
    <xf numFmtId="4" fontId="70" fillId="12" borderId="77" xfId="1" applyNumberFormat="1" applyFont="1" applyFill="1" applyBorder="1" applyAlignment="1">
      <alignment horizontal="center" vertical="center" wrapText="1" readingOrder="2"/>
    </xf>
    <xf numFmtId="0" fontId="70" fillId="12" borderId="77" xfId="0" applyFont="1" applyFill="1" applyBorder="1" applyAlignment="1">
      <alignment horizontal="right" vertical="center" wrapText="1" readingOrder="2"/>
    </xf>
    <xf numFmtId="178" fontId="70" fillId="12" borderId="78" xfId="0" applyNumberFormat="1" applyFont="1" applyFill="1" applyBorder="1" applyAlignment="1">
      <alignment horizontal="center" vertical="center" wrapText="1" readingOrder="2"/>
    </xf>
    <xf numFmtId="179" fontId="67" fillId="6" borderId="79" xfId="0" applyNumberFormat="1" applyFont="1" applyFill="1" applyBorder="1" applyAlignment="1">
      <alignment horizontal="center" vertical="center" wrapText="1" readingOrder="2"/>
    </xf>
    <xf numFmtId="0" fontId="55" fillId="12" borderId="76" xfId="0" applyFont="1" applyFill="1" applyBorder="1" applyAlignment="1">
      <alignment horizontal="centerContinuous" vertical="center" wrapText="1" readingOrder="2"/>
    </xf>
    <xf numFmtId="0" fontId="55" fillId="12" borderId="77" xfId="0" applyFont="1" applyFill="1" applyBorder="1" applyAlignment="1">
      <alignment horizontal="centerContinuous" vertical="center" wrapText="1" readingOrder="2"/>
    </xf>
    <xf numFmtId="0" fontId="58" fillId="14" borderId="76" xfId="0" applyFont="1" applyFill="1" applyBorder="1" applyAlignment="1">
      <alignment horizontal="center" vertical="center" wrapText="1" readingOrder="2"/>
    </xf>
    <xf numFmtId="0" fontId="58" fillId="6" borderId="76" xfId="0" applyFont="1" applyFill="1" applyBorder="1" applyAlignment="1">
      <alignment horizontal="center" vertical="center" wrapText="1" readingOrder="2"/>
    </xf>
    <xf numFmtId="179" fontId="58" fillId="14" borderId="78" xfId="0" applyNumberFormat="1" applyFont="1" applyFill="1" applyBorder="1" applyAlignment="1">
      <alignment horizontal="center" vertical="center" wrapText="1" readingOrder="2"/>
    </xf>
    <xf numFmtId="179" fontId="61" fillId="6" borderId="78" xfId="0" applyNumberFormat="1" applyFont="1" applyFill="1" applyBorder="1" applyAlignment="1">
      <alignment horizontal="center" vertical="center" wrapText="1" readingOrder="2"/>
    </xf>
    <xf numFmtId="179" fontId="58" fillId="6" borderId="78" xfId="0" applyNumberFormat="1" applyFont="1" applyFill="1" applyBorder="1" applyAlignment="1">
      <alignment horizontal="center" vertical="center" wrapText="1" readingOrder="2"/>
    </xf>
    <xf numFmtId="179" fontId="61" fillId="14" borderId="78" xfId="0" applyNumberFormat="1" applyFont="1" applyFill="1" applyBorder="1" applyAlignment="1">
      <alignment horizontal="center" vertical="center" wrapText="1" readingOrder="2"/>
    </xf>
    <xf numFmtId="0" fontId="55" fillId="23" borderId="94" xfId="0" applyFont="1" applyFill="1" applyBorder="1" applyAlignment="1">
      <alignment horizontal="center" vertical="center" wrapText="1" readingOrder="2"/>
    </xf>
    <xf numFmtId="0" fontId="76"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readingOrder="2"/>
    </xf>
    <xf numFmtId="0" fontId="67" fillId="23" borderId="95" xfId="0" applyFont="1" applyFill="1" applyBorder="1" applyAlignment="1">
      <alignment horizontal="center" vertical="center" wrapText="1" readingOrder="2"/>
    </xf>
    <xf numFmtId="10" fontId="70" fillId="23" borderId="95" xfId="3" applyNumberFormat="1" applyFont="1" applyFill="1" applyBorder="1" applyAlignment="1">
      <alignment horizontal="center" vertical="center" wrapText="1" readingOrder="2"/>
    </xf>
    <xf numFmtId="9" fontId="70" fillId="23" borderId="95" xfId="3" applyFont="1" applyFill="1" applyBorder="1" applyAlignment="1">
      <alignment horizontal="center" vertical="center" wrapText="1" readingOrder="2"/>
    </xf>
    <xf numFmtId="0" fontId="70" fillId="23" borderId="95" xfId="0" applyFont="1" applyFill="1" applyBorder="1" applyAlignment="1">
      <alignment horizontal="center" vertical="center" wrapText="1" readingOrder="2"/>
    </xf>
    <xf numFmtId="0" fontId="55" fillId="23" borderId="96" xfId="0" applyFont="1" applyFill="1" applyBorder="1" applyAlignment="1">
      <alignment horizontal="center" vertical="center" wrapText="1" readingOrder="2"/>
    </xf>
    <xf numFmtId="4" fontId="58" fillId="14" borderId="75" xfId="1" applyNumberFormat="1" applyFont="1" applyFill="1" applyBorder="1" applyAlignment="1">
      <alignment horizontal="center" vertical="center" wrapText="1" readingOrder="2"/>
    </xf>
    <xf numFmtId="178" fontId="64" fillId="14" borderId="75" xfId="0" applyNumberFormat="1" applyFont="1" applyFill="1" applyBorder="1" applyAlignment="1">
      <alignment horizontal="center" vertical="center" wrapText="1" readingOrder="2"/>
    </xf>
    <xf numFmtId="10" fontId="64" fillId="14" borderId="75" xfId="3" applyNumberFormat="1" applyFont="1" applyFill="1" applyBorder="1" applyAlignment="1">
      <alignment horizontal="center" vertical="center" wrapText="1" readingOrder="2"/>
    </xf>
    <xf numFmtId="10" fontId="67" fillId="14" borderId="75" xfId="3" applyNumberFormat="1" applyFont="1" applyFill="1" applyBorder="1" applyAlignment="1">
      <alignment horizontal="center" vertical="center" wrapText="1" readingOrder="1"/>
    </xf>
    <xf numFmtId="176" fontId="64" fillId="14" borderId="75" xfId="3" applyNumberFormat="1" applyFont="1" applyFill="1" applyBorder="1" applyAlignment="1">
      <alignment horizontal="center" vertical="center" wrapText="1" readingOrder="2"/>
    </xf>
    <xf numFmtId="170" fontId="64" fillId="14" borderId="75" xfId="1" applyNumberFormat="1" applyFont="1" applyFill="1" applyBorder="1" applyAlignment="1">
      <alignment horizontal="center" vertical="center" wrapText="1" readingOrder="2"/>
    </xf>
    <xf numFmtId="9" fontId="61" fillId="14" borderId="75" xfId="3" applyFont="1" applyFill="1" applyBorder="1" applyAlignment="1">
      <alignment horizontal="center" vertical="center" wrapText="1" readingOrder="2"/>
    </xf>
    <xf numFmtId="0" fontId="61" fillId="14" borderId="75" xfId="3" applyNumberFormat="1" applyFont="1" applyFill="1" applyBorder="1" applyAlignment="1">
      <alignment horizontal="right" vertical="center" wrapText="1" readingOrder="2"/>
    </xf>
    <xf numFmtId="4" fontId="64" fillId="14" borderId="75" xfId="1" applyNumberFormat="1" applyFont="1" applyFill="1" applyBorder="1" applyAlignment="1">
      <alignment horizontal="right" vertical="center" wrapText="1" readingOrder="2"/>
    </xf>
    <xf numFmtId="179" fontId="58" fillId="14" borderId="98" xfId="0" applyNumberFormat="1" applyFont="1" applyFill="1" applyBorder="1" applyAlignment="1">
      <alignment horizontal="center" vertical="center" wrapText="1" readingOrder="2"/>
    </xf>
    <xf numFmtId="1" fontId="55" fillId="12" borderId="74" xfId="0" applyNumberFormat="1" applyFont="1" applyFill="1" applyBorder="1" applyAlignment="1">
      <alignment horizontal="center" vertical="center" wrapText="1" readingOrder="2"/>
    </xf>
    <xf numFmtId="0" fontId="0" fillId="14" borderId="97" xfId="0" applyFill="1" applyBorder="1" applyAlignment="1">
      <alignment horizontal="center" vertical="center" wrapText="1" readingOrder="2"/>
    </xf>
    <xf numFmtId="0" fontId="0" fillId="6" borderId="97" xfId="0" applyFill="1" applyBorder="1" applyAlignment="1">
      <alignment horizontal="center" vertical="center" wrapText="1" readingOrder="2"/>
    </xf>
    <xf numFmtId="4" fontId="58" fillId="6" borderId="75" xfId="1" applyNumberFormat="1" applyFont="1" applyFill="1" applyBorder="1" applyAlignment="1">
      <alignment horizontal="center" vertical="center" wrapText="1" readingOrder="2"/>
    </xf>
    <xf numFmtId="178" fontId="64" fillId="6" borderId="75" xfId="0" applyNumberFormat="1" applyFont="1" applyFill="1" applyBorder="1" applyAlignment="1">
      <alignment horizontal="center" vertical="center" wrapText="1" readingOrder="2"/>
    </xf>
    <xf numFmtId="10" fontId="64" fillId="6" borderId="75" xfId="3" applyNumberFormat="1" applyFont="1" applyFill="1" applyBorder="1" applyAlignment="1">
      <alignment horizontal="center" vertical="center" wrapText="1" readingOrder="2"/>
    </xf>
    <xf numFmtId="10" fontId="67" fillId="6" borderId="75" xfId="3" applyNumberFormat="1" applyFont="1" applyFill="1" applyBorder="1" applyAlignment="1">
      <alignment horizontal="center" vertical="center" wrapText="1" readingOrder="1"/>
    </xf>
    <xf numFmtId="176" fontId="64" fillId="6" borderId="75" xfId="3" applyNumberFormat="1" applyFont="1" applyFill="1" applyBorder="1" applyAlignment="1">
      <alignment horizontal="center" vertical="center" wrapText="1" readingOrder="2"/>
    </xf>
    <xf numFmtId="170" fontId="64" fillId="6" borderId="75" xfId="1" applyNumberFormat="1" applyFont="1" applyFill="1" applyBorder="1" applyAlignment="1">
      <alignment horizontal="center" vertical="center" wrapText="1" readingOrder="2"/>
    </xf>
    <xf numFmtId="9" fontId="61" fillId="6" borderId="75" xfId="3" applyFont="1" applyFill="1" applyBorder="1" applyAlignment="1">
      <alignment horizontal="center" vertical="center" wrapText="1" readingOrder="2"/>
    </xf>
    <xf numFmtId="0" fontId="61" fillId="6" borderId="75" xfId="3" applyNumberFormat="1" applyFont="1" applyFill="1" applyBorder="1" applyAlignment="1">
      <alignment horizontal="right" vertical="center" wrapText="1" readingOrder="2"/>
    </xf>
    <xf numFmtId="4" fontId="64" fillId="6" borderId="75" xfId="1" applyNumberFormat="1" applyFont="1" applyFill="1" applyBorder="1" applyAlignment="1">
      <alignment horizontal="right" vertical="center" wrapText="1" readingOrder="2"/>
    </xf>
    <xf numFmtId="179" fontId="58" fillId="6" borderId="98" xfId="0" applyNumberFormat="1" applyFont="1" applyFill="1" applyBorder="1" applyAlignment="1">
      <alignment horizontal="center" vertical="center" wrapText="1" readingOrder="2"/>
    </xf>
    <xf numFmtId="0" fontId="61" fillId="14" borderId="74" xfId="3" applyNumberFormat="1" applyFont="1" applyFill="1" applyBorder="1" applyAlignment="1">
      <alignment horizontal="right" vertical="center" wrapText="1" readingOrder="2"/>
    </xf>
    <xf numFmtId="49" fontId="61" fillId="14" borderId="74" xfId="3" applyNumberFormat="1" applyFont="1" applyFill="1" applyBorder="1" applyAlignment="1">
      <alignment horizontal="right" vertical="center" wrapText="1" readingOrder="2"/>
    </xf>
    <xf numFmtId="0" fontId="74" fillId="14" borderId="40" xfId="0" applyFont="1" applyFill="1" applyBorder="1" applyAlignment="1">
      <alignment horizontal="center" wrapText="1" readingOrder="2"/>
    </xf>
    <xf numFmtId="0" fontId="4" fillId="0" borderId="0" xfId="0" applyFont="1" applyAlignment="1">
      <alignment horizontal="center" wrapText="1" readingOrder="2"/>
    </xf>
    <xf numFmtId="0" fontId="75" fillId="14" borderId="40" xfId="0" applyFont="1" applyFill="1" applyBorder="1" applyAlignment="1">
      <alignment horizontal="center" vertical="center"/>
    </xf>
    <xf numFmtId="0" fontId="19" fillId="0" borderId="0" xfId="0" applyFont="1" applyAlignment="1">
      <alignment horizontal="center" vertical="center"/>
    </xf>
    <xf numFmtId="10" fontId="65" fillId="14" borderId="74" xfId="3" applyNumberFormat="1" applyFont="1" applyFill="1" applyBorder="1" applyAlignment="1">
      <alignment horizontal="center" vertical="center" wrapText="1" readingOrder="2"/>
    </xf>
    <xf numFmtId="10" fontId="65" fillId="6" borderId="74" xfId="3" applyNumberFormat="1" applyFont="1" applyFill="1" applyBorder="1" applyAlignment="1">
      <alignment horizontal="center" vertical="center" wrapText="1" readingOrder="2"/>
    </xf>
    <xf numFmtId="0" fontId="47" fillId="0" borderId="0" xfId="0" applyFont="1" applyAlignment="1">
      <alignment horizontal="center"/>
    </xf>
    <xf numFmtId="0" fontId="84" fillId="12" borderId="77" xfId="0" applyFont="1" applyFill="1" applyBorder="1" applyAlignment="1">
      <alignment vertical="center" wrapText="1" readingOrder="2"/>
    </xf>
    <xf numFmtId="10" fontId="19" fillId="6" borderId="1" xfId="0" applyNumberFormat="1" applyFont="1" applyFill="1" applyBorder="1" applyAlignment="1" applyProtection="1">
      <alignment horizontal="center" vertical="center"/>
      <protection hidden="1"/>
    </xf>
    <xf numFmtId="4" fontId="5" fillId="6" borderId="1" xfId="1" applyNumberFormat="1" applyFont="1" applyFill="1" applyBorder="1" applyAlignment="1">
      <alignment horizontal="center" vertical="center"/>
    </xf>
    <xf numFmtId="10" fontId="7" fillId="8" borderId="0" xfId="3" applyNumberFormat="1" applyFont="1" applyFill="1" applyAlignment="1">
      <alignment horizontal="center" vertical="center"/>
    </xf>
    <xf numFmtId="10" fontId="7" fillId="0" borderId="0" xfId="0" applyNumberFormat="1" applyFont="1" applyAlignment="1">
      <alignment horizontal="center" vertical="center"/>
    </xf>
    <xf numFmtId="0" fontId="85" fillId="14" borderId="0" xfId="0" applyFont="1" applyFill="1" applyAlignment="1">
      <alignment horizontal="center" vertical="center"/>
    </xf>
    <xf numFmtId="1" fontId="75" fillId="6" borderId="30" xfId="3" applyNumberFormat="1" applyFont="1" applyFill="1" applyBorder="1" applyAlignment="1">
      <alignment horizontal="right" vertical="center" wrapText="1" readingOrder="2"/>
    </xf>
    <xf numFmtId="0" fontId="19" fillId="14" borderId="4" xfId="0" applyFont="1" applyFill="1" applyBorder="1" applyAlignment="1" applyProtection="1">
      <alignment horizontal="center" vertical="center"/>
      <protection hidden="1"/>
    </xf>
    <xf numFmtId="0" fontId="19" fillId="0" borderId="19" xfId="0" applyFont="1" applyBorder="1" applyAlignment="1" applyProtection="1">
      <alignment horizontal="center" vertical="center"/>
      <protection hidden="1"/>
    </xf>
    <xf numFmtId="168" fontId="19" fillId="14" borderId="1" xfId="0" applyNumberFormat="1" applyFont="1" applyFill="1" applyBorder="1" applyAlignment="1" applyProtection="1">
      <alignment horizontal="center" vertical="center"/>
      <protection locked="0"/>
    </xf>
    <xf numFmtId="2" fontId="19" fillId="0" borderId="1" xfId="0" applyNumberFormat="1" applyFont="1" applyBorder="1" applyAlignment="1" applyProtection="1">
      <alignment horizontal="center" vertical="center"/>
      <protection hidden="1"/>
    </xf>
    <xf numFmtId="172" fontId="83" fillId="14" borderId="1" xfId="0" applyNumberFormat="1" applyFont="1" applyFill="1" applyBorder="1" applyAlignment="1" applyProtection="1">
      <alignment horizontal="center" vertical="center" wrapText="1"/>
      <protection locked="0"/>
    </xf>
    <xf numFmtId="1" fontId="19" fillId="14" borderId="85" xfId="0" applyNumberFormat="1" applyFont="1" applyFill="1" applyBorder="1" applyAlignment="1" applyProtection="1">
      <alignment horizontal="center" vertical="center"/>
      <protection hidden="1"/>
    </xf>
    <xf numFmtId="10" fontId="19" fillId="0" borderId="0" xfId="3" applyNumberFormat="1" applyFont="1" applyAlignment="1" applyProtection="1">
      <alignment horizontal="center" vertical="center"/>
      <protection hidden="1"/>
    </xf>
    <xf numFmtId="10" fontId="19" fillId="0" borderId="0" xfId="3" applyNumberFormat="1" applyFont="1" applyAlignment="1" applyProtection="1">
      <alignment vertical="center"/>
      <protection hidden="1"/>
    </xf>
    <xf numFmtId="9" fontId="19" fillId="0" borderId="0" xfId="3" applyFont="1" applyProtection="1">
      <protection hidden="1"/>
    </xf>
    <xf numFmtId="0" fontId="19" fillId="0" borderId="0" xfId="0" applyFont="1" applyProtection="1">
      <protection hidden="1"/>
    </xf>
    <xf numFmtId="169" fontId="72" fillId="14" borderId="40" xfId="0" applyNumberFormat="1" applyFont="1" applyFill="1" applyBorder="1" applyAlignment="1">
      <alignment horizontal="center" vertical="center"/>
    </xf>
    <xf numFmtId="1" fontId="86" fillId="7" borderId="1" xfId="0" applyNumberFormat="1" applyFont="1" applyFill="1" applyBorder="1" applyAlignment="1">
      <alignment horizontal="right" vertical="center" wrapText="1"/>
    </xf>
    <xf numFmtId="1" fontId="86" fillId="7" borderId="30" xfId="0" applyNumberFormat="1" applyFont="1" applyFill="1" applyBorder="1" applyAlignment="1">
      <alignment horizontal="right" vertical="center" wrapText="1"/>
    </xf>
    <xf numFmtId="1" fontId="86" fillId="7" borderId="2" xfId="0" applyNumberFormat="1" applyFont="1" applyFill="1" applyBorder="1" applyAlignment="1">
      <alignment horizontal="right" vertical="center" wrapText="1"/>
    </xf>
    <xf numFmtId="1" fontId="86" fillId="7" borderId="36" xfId="0" applyNumberFormat="1" applyFont="1" applyFill="1" applyBorder="1" applyAlignment="1">
      <alignment horizontal="right" vertical="center" wrapText="1"/>
    </xf>
    <xf numFmtId="169" fontId="73" fillId="14" borderId="40" xfId="0" applyNumberFormat="1" applyFont="1" applyFill="1" applyBorder="1" applyAlignment="1">
      <alignment horizontal="center" vertical="center" wrapText="1"/>
    </xf>
    <xf numFmtId="2" fontId="4" fillId="0" borderId="0" xfId="3" applyNumberFormat="1" applyFont="1" applyAlignment="1">
      <alignment horizontal="center" vertical="center"/>
    </xf>
    <xf numFmtId="2" fontId="19" fillId="0" borderId="0" xfId="3" applyNumberFormat="1" applyFont="1" applyAlignment="1">
      <alignment horizontal="center" vertical="center"/>
    </xf>
    <xf numFmtId="0" fontId="19" fillId="0" borderId="4" xfId="0" applyFont="1" applyBorder="1" applyAlignment="1" applyProtection="1">
      <alignment horizontal="center" vertical="center"/>
      <protection hidden="1"/>
    </xf>
    <xf numFmtId="10" fontId="19" fillId="0" borderId="1" xfId="3" applyNumberFormat="1" applyFont="1" applyFill="1" applyBorder="1" applyAlignment="1" applyProtection="1">
      <alignment horizontal="center" vertical="center"/>
      <protection hidden="1"/>
    </xf>
    <xf numFmtId="10" fontId="19" fillId="8" borderId="1" xfId="0" applyNumberFormat="1" applyFont="1" applyFill="1" applyBorder="1" applyAlignment="1" applyProtection="1">
      <alignment horizontal="center" vertical="center"/>
      <protection hidden="1"/>
    </xf>
    <xf numFmtId="14" fontId="4" fillId="0" borderId="0" xfId="0" applyNumberFormat="1" applyFont="1"/>
    <xf numFmtId="0" fontId="55" fillId="12" borderId="74" xfId="0" applyFont="1" applyFill="1" applyBorder="1" applyAlignment="1">
      <alignment vertical="center" readingOrder="2"/>
    </xf>
    <xf numFmtId="0" fontId="55" fillId="12" borderId="74" xfId="0" applyFont="1" applyFill="1" applyBorder="1" applyAlignment="1">
      <alignment horizontal="centerContinuous" vertical="distributed" wrapText="1" readingOrder="2"/>
    </xf>
    <xf numFmtId="0" fontId="55" fillId="12" borderId="76" xfId="0" applyFont="1" applyFill="1" applyBorder="1" applyAlignment="1">
      <alignment vertical="center" wrapText="1" readingOrder="2"/>
    </xf>
    <xf numFmtId="0" fontId="5" fillId="8" borderId="1" xfId="0" applyFont="1" applyFill="1" applyBorder="1" applyAlignment="1">
      <alignment horizontal="center" vertical="center"/>
    </xf>
    <xf numFmtId="10" fontId="40" fillId="6" borderId="81" xfId="1" applyNumberFormat="1" applyFont="1" applyFill="1" applyBorder="1" applyAlignment="1">
      <alignment horizontal="center" vertical="center"/>
    </xf>
    <xf numFmtId="171" fontId="5" fillId="14" borderId="1" xfId="0" applyNumberFormat="1" applyFont="1" applyFill="1" applyBorder="1" applyAlignment="1">
      <alignment horizontal="center" vertical="center" wrapText="1"/>
    </xf>
    <xf numFmtId="171" fontId="48" fillId="6" borderId="1" xfId="0" applyNumberFormat="1" applyFont="1" applyFill="1" applyBorder="1" applyAlignment="1">
      <alignment horizontal="center" vertical="center" wrapText="1"/>
    </xf>
    <xf numFmtId="4" fontId="39" fillId="0" borderId="38" xfId="0" applyNumberFormat="1" applyFont="1" applyBorder="1" applyAlignment="1">
      <alignment horizontal="center" vertical="center"/>
    </xf>
    <xf numFmtId="4" fontId="39" fillId="0" borderId="1" xfId="0" applyNumberFormat="1" applyFont="1" applyBorder="1" applyAlignment="1">
      <alignment horizontal="center" vertical="center"/>
    </xf>
    <xf numFmtId="0" fontId="58" fillId="14" borderId="74" xfId="0" applyFont="1" applyFill="1" applyBorder="1" applyAlignment="1">
      <alignment vertical="center" wrapText="1" readingOrder="2"/>
    </xf>
    <xf numFmtId="0" fontId="58" fillId="6" borderId="74" xfId="0" applyFont="1" applyFill="1" applyBorder="1" applyAlignment="1">
      <alignment vertical="center" wrapText="1" readingOrder="2"/>
    </xf>
    <xf numFmtId="4" fontId="61" fillId="14" borderId="74" xfId="1" applyNumberFormat="1" applyFont="1" applyFill="1" applyBorder="1" applyAlignment="1">
      <alignment horizontal="right" vertical="center" wrapText="1" readingOrder="2"/>
    </xf>
    <xf numFmtId="4" fontId="61" fillId="6" borderId="74" xfId="1" applyNumberFormat="1" applyFont="1" applyFill="1" applyBorder="1" applyAlignment="1">
      <alignment horizontal="right" vertical="center" wrapText="1" readingOrder="2"/>
    </xf>
    <xf numFmtId="2" fontId="55" fillId="12" borderId="74" xfId="0" applyNumberFormat="1" applyFont="1" applyFill="1" applyBorder="1" applyAlignment="1">
      <alignment horizontal="right" vertical="center" wrapText="1" readingOrder="2"/>
    </xf>
    <xf numFmtId="0" fontId="62" fillId="12" borderId="74" xfId="0" applyFont="1" applyFill="1" applyBorder="1" applyAlignment="1">
      <alignment horizontal="right" vertical="center" wrapText="1"/>
    </xf>
    <xf numFmtId="1" fontId="74" fillId="14" borderId="72" xfId="0" applyNumberFormat="1" applyFont="1" applyFill="1" applyBorder="1" applyAlignment="1">
      <alignment horizontal="right" vertical="center" wrapText="1"/>
    </xf>
    <xf numFmtId="10" fontId="23" fillId="14" borderId="1" xfId="0" applyNumberFormat="1" applyFont="1" applyFill="1" applyBorder="1" applyAlignment="1">
      <alignment horizontal="center" vertical="center"/>
    </xf>
    <xf numFmtId="10" fontId="23" fillId="6" borderId="1" xfId="1" applyNumberFormat="1" applyFont="1" applyFill="1" applyBorder="1" applyAlignment="1">
      <alignment horizontal="center" vertical="center"/>
    </xf>
    <xf numFmtId="10" fontId="5" fillId="14" borderId="81" xfId="0" applyNumberFormat="1" applyFont="1" applyFill="1" applyBorder="1" applyAlignment="1">
      <alignment horizontal="center" vertical="center"/>
    </xf>
    <xf numFmtId="0" fontId="49" fillId="8" borderId="1" xfId="0" applyFont="1" applyFill="1" applyBorder="1" applyAlignment="1" applyProtection="1">
      <alignment horizontal="center" vertical="center"/>
      <protection hidden="1"/>
    </xf>
    <xf numFmtId="10" fontId="87" fillId="6" borderId="1" xfId="3" applyNumberFormat="1" applyFont="1" applyFill="1" applyBorder="1" applyAlignment="1">
      <alignment horizontal="right" vertical="center" wrapText="1" readingOrder="2"/>
    </xf>
    <xf numFmtId="0" fontId="88" fillId="12" borderId="26" xfId="0" applyFont="1" applyFill="1" applyBorder="1" applyAlignment="1">
      <alignment horizontal="center" vertical="center" wrapText="1"/>
    </xf>
    <xf numFmtId="0" fontId="89" fillId="12" borderId="26" xfId="0" applyFont="1" applyFill="1" applyBorder="1" applyAlignment="1">
      <alignment horizontal="center" vertical="center" wrapText="1"/>
    </xf>
    <xf numFmtId="0" fontId="87" fillId="6" borderId="23" xfId="0" applyFont="1" applyFill="1" applyBorder="1" applyAlignment="1">
      <alignment horizontal="center" vertical="center"/>
    </xf>
    <xf numFmtId="0" fontId="87" fillId="6" borderId="1" xfId="0" applyFont="1" applyFill="1" applyBorder="1" applyAlignment="1">
      <alignment horizontal="center" vertical="center"/>
    </xf>
    <xf numFmtId="0" fontId="87" fillId="6" borderId="1" xfId="0" applyFont="1" applyFill="1" applyBorder="1" applyAlignment="1">
      <alignment horizontal="center" vertical="center" wrapText="1"/>
    </xf>
    <xf numFmtId="0" fontId="87" fillId="6" borderId="1" xfId="0" applyFont="1" applyFill="1" applyBorder="1" applyAlignment="1">
      <alignment horizontal="center" vertical="center" wrapText="1" readingOrder="2"/>
    </xf>
    <xf numFmtId="0" fontId="90" fillId="6" borderId="1" xfId="0" applyFont="1" applyFill="1" applyBorder="1" applyAlignment="1">
      <alignment horizontal="center" vertical="center"/>
    </xf>
    <xf numFmtId="165" fontId="87" fillId="6" borderId="1" xfId="0" applyNumberFormat="1" applyFont="1" applyFill="1" applyBorder="1" applyAlignment="1">
      <alignment horizontal="center" vertical="center"/>
    </xf>
    <xf numFmtId="2" fontId="87" fillId="6" borderId="1" xfId="0" applyNumberFormat="1" applyFont="1" applyFill="1" applyBorder="1" applyAlignment="1">
      <alignment horizontal="center" vertical="center"/>
    </xf>
    <xf numFmtId="1" fontId="87" fillId="6" borderId="1" xfId="0" applyNumberFormat="1" applyFont="1" applyFill="1" applyBorder="1" applyAlignment="1">
      <alignment horizontal="center" vertical="center"/>
    </xf>
    <xf numFmtId="10" fontId="87" fillId="6" borderId="1" xfId="3" applyNumberFormat="1" applyFont="1" applyFill="1" applyBorder="1" applyAlignment="1">
      <alignment horizontal="center" vertical="center"/>
    </xf>
    <xf numFmtId="10" fontId="87" fillId="6" borderId="1" xfId="0" applyNumberFormat="1" applyFont="1" applyFill="1" applyBorder="1" applyAlignment="1">
      <alignment horizontal="center" vertical="center"/>
    </xf>
    <xf numFmtId="169" fontId="91" fillId="4" borderId="1" xfId="0" applyNumberFormat="1" applyFont="1" applyFill="1" applyBorder="1" applyAlignment="1">
      <alignment horizontal="center" vertical="center"/>
    </xf>
    <xf numFmtId="169" fontId="87" fillId="17" borderId="1" xfId="0" applyNumberFormat="1" applyFont="1" applyFill="1" applyBorder="1" applyAlignment="1">
      <alignment horizontal="center" vertical="center"/>
    </xf>
    <xf numFmtId="169" fontId="91" fillId="19" borderId="1" xfId="0" applyNumberFormat="1" applyFont="1" applyFill="1" applyBorder="1" applyAlignment="1">
      <alignment horizontal="center" vertical="center" wrapText="1"/>
    </xf>
    <xf numFmtId="10" fontId="87" fillId="6" borderId="1" xfId="3" applyNumberFormat="1" applyFont="1" applyFill="1" applyBorder="1" applyAlignment="1">
      <alignment horizontal="center" vertical="center" wrapText="1"/>
    </xf>
    <xf numFmtId="176" fontId="87" fillId="6" borderId="1" xfId="3" applyNumberFormat="1" applyFont="1" applyFill="1" applyBorder="1" applyAlignment="1">
      <alignment horizontal="center" vertical="center" wrapText="1"/>
    </xf>
    <xf numFmtId="177" fontId="91" fillId="6" borderId="1" xfId="3" applyNumberFormat="1" applyFont="1" applyFill="1" applyBorder="1" applyAlignment="1">
      <alignment horizontal="center" vertical="center"/>
    </xf>
    <xf numFmtId="10" fontId="87" fillId="6" borderId="1" xfId="3" applyNumberFormat="1" applyFont="1" applyFill="1" applyBorder="1" applyAlignment="1">
      <alignment horizontal="center" vertical="center" wrapText="1" readingOrder="2"/>
    </xf>
    <xf numFmtId="49" fontId="87" fillId="6" borderId="1" xfId="3" applyNumberFormat="1" applyFont="1" applyFill="1" applyBorder="1" applyAlignment="1">
      <alignment horizontal="right" vertical="center" wrapText="1" readingOrder="2"/>
    </xf>
    <xf numFmtId="1" fontId="87" fillId="6" borderId="1" xfId="3" applyNumberFormat="1" applyFont="1" applyFill="1" applyBorder="1" applyAlignment="1">
      <alignment horizontal="right" vertical="center" wrapText="1"/>
    </xf>
    <xf numFmtId="49" fontId="87" fillId="6" borderId="1" xfId="3" applyNumberFormat="1" applyFont="1" applyFill="1" applyBorder="1" applyAlignment="1">
      <alignment horizontal="right" vertical="center" wrapText="1"/>
    </xf>
    <xf numFmtId="1" fontId="87" fillId="6" borderId="30" xfId="3" applyNumberFormat="1" applyFont="1" applyFill="1" applyBorder="1" applyAlignment="1">
      <alignment horizontal="right" vertical="center" wrapText="1"/>
    </xf>
    <xf numFmtId="0" fontId="87" fillId="14" borderId="23" xfId="0" applyFont="1" applyFill="1" applyBorder="1" applyAlignment="1">
      <alignment horizontal="center" vertical="center"/>
    </xf>
    <xf numFmtId="0" fontId="87" fillId="14" borderId="1" xfId="0" applyFont="1" applyFill="1" applyBorder="1" applyAlignment="1">
      <alignment horizontal="center" vertical="center"/>
    </xf>
    <xf numFmtId="0" fontId="87" fillId="14" borderId="1" xfId="0" applyFont="1" applyFill="1" applyBorder="1" applyAlignment="1">
      <alignment horizontal="center" vertical="center" wrapText="1"/>
    </xf>
    <xf numFmtId="0" fontId="90" fillId="14" borderId="1" xfId="0" applyFont="1" applyFill="1" applyBorder="1" applyAlignment="1">
      <alignment horizontal="center" vertical="center"/>
    </xf>
    <xf numFmtId="165" fontId="87" fillId="14" borderId="1" xfId="0" applyNumberFormat="1" applyFont="1" applyFill="1" applyBorder="1" applyAlignment="1">
      <alignment horizontal="center" vertical="center"/>
    </xf>
    <xf numFmtId="2" fontId="87" fillId="14" borderId="1" xfId="0" applyNumberFormat="1" applyFont="1" applyFill="1" applyBorder="1" applyAlignment="1">
      <alignment horizontal="center" vertical="center"/>
    </xf>
    <xf numFmtId="1" fontId="87" fillId="14" borderId="1" xfId="0" applyNumberFormat="1" applyFont="1" applyFill="1" applyBorder="1" applyAlignment="1">
      <alignment horizontal="center" vertical="center"/>
    </xf>
    <xf numFmtId="10" fontId="87" fillId="14" borderId="1" xfId="3" applyNumberFormat="1" applyFont="1" applyFill="1" applyBorder="1" applyAlignment="1">
      <alignment horizontal="center" vertical="center"/>
    </xf>
    <xf numFmtId="10" fontId="87" fillId="14" borderId="1" xfId="0" applyNumberFormat="1" applyFont="1" applyFill="1" applyBorder="1" applyAlignment="1">
      <alignment horizontal="center" vertical="center"/>
    </xf>
    <xf numFmtId="176" fontId="87" fillId="14" borderId="1" xfId="3" applyNumberFormat="1" applyFont="1" applyFill="1" applyBorder="1" applyAlignment="1">
      <alignment horizontal="center" vertical="center"/>
    </xf>
    <xf numFmtId="177" fontId="87" fillId="14" borderId="1" xfId="3" applyNumberFormat="1" applyFont="1" applyFill="1" applyBorder="1" applyAlignment="1">
      <alignment horizontal="center" vertical="center"/>
    </xf>
    <xf numFmtId="0" fontId="92" fillId="14" borderId="1" xfId="0" applyFont="1" applyFill="1" applyBorder="1" applyAlignment="1">
      <alignment horizontal="center" vertical="center" wrapText="1"/>
    </xf>
    <xf numFmtId="0" fontId="92" fillId="14" borderId="1" xfId="0" applyFont="1" applyFill="1" applyBorder="1" applyAlignment="1">
      <alignment horizontal="center" vertical="center" wrapText="1" readingOrder="2"/>
    </xf>
    <xf numFmtId="10" fontId="87" fillId="14" borderId="1" xfId="3" applyNumberFormat="1" applyFont="1" applyFill="1" applyBorder="1" applyAlignment="1">
      <alignment horizontal="right" vertical="center" wrapText="1" readingOrder="2"/>
    </xf>
    <xf numFmtId="1" fontId="87" fillId="14" borderId="1" xfId="3" applyNumberFormat="1" applyFont="1" applyFill="1" applyBorder="1" applyAlignment="1">
      <alignment horizontal="right" vertical="center" wrapText="1" readingOrder="2"/>
    </xf>
    <xf numFmtId="49" fontId="87" fillId="14" borderId="1" xfId="0" applyNumberFormat="1" applyFont="1" applyFill="1" applyBorder="1" applyAlignment="1">
      <alignment horizontal="right" vertical="center" wrapText="1"/>
    </xf>
    <xf numFmtId="1" fontId="87" fillId="14" borderId="30" xfId="0" applyNumberFormat="1" applyFont="1" applyFill="1" applyBorder="1" applyAlignment="1">
      <alignment horizontal="right" vertical="center" wrapText="1" readingOrder="2"/>
    </xf>
    <xf numFmtId="169" fontId="87" fillId="6" borderId="1" xfId="0" applyNumberFormat="1" applyFont="1" applyFill="1" applyBorder="1" applyAlignment="1">
      <alignment horizontal="center" vertical="center"/>
    </xf>
    <xf numFmtId="176" fontId="87" fillId="6" borderId="1" xfId="3" applyNumberFormat="1" applyFont="1" applyFill="1" applyBorder="1" applyAlignment="1">
      <alignment horizontal="center" vertical="center"/>
    </xf>
    <xf numFmtId="177" fontId="87" fillId="6" borderId="1" xfId="3" applyNumberFormat="1" applyFont="1" applyFill="1" applyBorder="1" applyAlignment="1">
      <alignment horizontal="center" vertical="center"/>
    </xf>
    <xf numFmtId="0" fontId="92" fillId="6" borderId="1" xfId="0" applyFont="1" applyFill="1" applyBorder="1" applyAlignment="1">
      <alignment horizontal="center" vertical="center" wrapText="1"/>
    </xf>
    <xf numFmtId="0" fontId="92" fillId="6" borderId="1" xfId="0" applyFont="1" applyFill="1" applyBorder="1" applyAlignment="1">
      <alignment horizontal="center" vertical="center" wrapText="1" readingOrder="2"/>
    </xf>
    <xf numFmtId="0" fontId="87" fillId="6" borderId="1" xfId="0" applyFont="1" applyFill="1" applyBorder="1" applyAlignment="1">
      <alignment horizontal="right" vertical="center" wrapText="1" readingOrder="2"/>
    </xf>
    <xf numFmtId="1" fontId="87" fillId="6" borderId="1" xfId="3" applyNumberFormat="1" applyFont="1" applyFill="1" applyBorder="1" applyAlignment="1">
      <alignment horizontal="right" vertical="center" wrapText="1" readingOrder="2"/>
    </xf>
    <xf numFmtId="1" fontId="87" fillId="6" borderId="30" xfId="0" applyNumberFormat="1" applyFont="1" applyFill="1" applyBorder="1" applyAlignment="1">
      <alignment horizontal="right" vertical="center" wrapText="1" readingOrder="2"/>
    </xf>
    <xf numFmtId="169" fontId="87" fillId="14" borderId="1" xfId="0" applyNumberFormat="1" applyFont="1" applyFill="1" applyBorder="1" applyAlignment="1">
      <alignment horizontal="center" vertical="center"/>
    </xf>
    <xf numFmtId="0" fontId="87" fillId="15" borderId="1" xfId="0" applyFont="1" applyFill="1" applyBorder="1" applyAlignment="1">
      <alignment horizontal="center" vertical="center"/>
    </xf>
    <xf numFmtId="0" fontId="87" fillId="15" borderId="1" xfId="0" applyFont="1" applyFill="1" applyBorder="1" applyAlignment="1">
      <alignment horizontal="center" vertical="center" wrapText="1"/>
    </xf>
    <xf numFmtId="169" fontId="87" fillId="17" borderId="1" xfId="0" applyNumberFormat="1" applyFont="1" applyFill="1" applyBorder="1" applyAlignment="1">
      <alignment horizontal="center" vertical="center" wrapText="1"/>
    </xf>
    <xf numFmtId="169" fontId="91" fillId="19" borderId="1" xfId="0" applyNumberFormat="1" applyFont="1" applyFill="1" applyBorder="1" applyAlignment="1">
      <alignment horizontal="center" vertical="center"/>
    </xf>
    <xf numFmtId="177" fontId="87" fillId="6" borderId="1" xfId="3" applyNumberFormat="1" applyFont="1" applyFill="1" applyBorder="1" applyAlignment="1">
      <alignment horizontal="center" vertical="center" wrapText="1"/>
    </xf>
    <xf numFmtId="10" fontId="87" fillId="6" borderId="30" xfId="3" applyNumberFormat="1" applyFont="1" applyFill="1" applyBorder="1" applyAlignment="1">
      <alignment horizontal="right" vertical="center" wrapText="1" readingOrder="2"/>
    </xf>
    <xf numFmtId="0" fontId="87" fillId="16" borderId="1" xfId="0" applyFont="1" applyFill="1" applyBorder="1" applyAlignment="1">
      <alignment horizontal="center" vertical="center"/>
    </xf>
    <xf numFmtId="0" fontId="87" fillId="16" borderId="1" xfId="0" applyFont="1" applyFill="1" applyBorder="1" applyAlignment="1">
      <alignment horizontal="center" vertical="center" wrapText="1"/>
    </xf>
    <xf numFmtId="10" fontId="87" fillId="14" borderId="1" xfId="3" applyNumberFormat="1" applyFont="1" applyFill="1" applyBorder="1" applyAlignment="1">
      <alignment horizontal="center" vertical="center" wrapText="1"/>
    </xf>
    <xf numFmtId="176" fontId="87" fillId="14" borderId="1" xfId="3" applyNumberFormat="1" applyFont="1" applyFill="1" applyBorder="1" applyAlignment="1">
      <alignment horizontal="center" vertical="center" wrapText="1"/>
    </xf>
    <xf numFmtId="177" fontId="87" fillId="14" borderId="1" xfId="3" applyNumberFormat="1" applyFont="1" applyFill="1" applyBorder="1" applyAlignment="1">
      <alignment horizontal="center" vertical="center" wrapText="1"/>
    </xf>
    <xf numFmtId="10" fontId="87" fillId="14" borderId="1" xfId="3" applyNumberFormat="1" applyFont="1" applyFill="1" applyBorder="1" applyAlignment="1">
      <alignment horizontal="center" vertical="center" wrapText="1" readingOrder="2"/>
    </xf>
    <xf numFmtId="49" fontId="87" fillId="14" borderId="1" xfId="3" applyNumberFormat="1" applyFont="1" applyFill="1" applyBorder="1" applyAlignment="1">
      <alignment horizontal="right" vertical="center" wrapText="1" readingOrder="2"/>
    </xf>
    <xf numFmtId="49" fontId="87" fillId="14" borderId="1" xfId="3" applyNumberFormat="1" applyFont="1" applyFill="1" applyBorder="1" applyAlignment="1">
      <alignment horizontal="right" vertical="center" wrapText="1"/>
    </xf>
    <xf numFmtId="10" fontId="87" fillId="14" borderId="30" xfId="3" applyNumberFormat="1" applyFont="1" applyFill="1" applyBorder="1" applyAlignment="1">
      <alignment horizontal="right" vertical="center" wrapText="1" readingOrder="2"/>
    </xf>
    <xf numFmtId="1" fontId="87" fillId="14" borderId="30" xfId="3" applyNumberFormat="1" applyFont="1" applyFill="1" applyBorder="1" applyAlignment="1">
      <alignment horizontal="right" vertical="center" wrapText="1" readingOrder="2"/>
    </xf>
    <xf numFmtId="0" fontId="87" fillId="6" borderId="1" xfId="3" applyNumberFormat="1" applyFont="1" applyFill="1" applyBorder="1" applyAlignment="1">
      <alignment horizontal="right" vertical="center" wrapText="1" readingOrder="2"/>
    </xf>
    <xf numFmtId="1" fontId="87" fillId="6" borderId="30" xfId="3" applyNumberFormat="1" applyFont="1" applyFill="1" applyBorder="1" applyAlignment="1">
      <alignment horizontal="right" vertical="center" wrapText="1" readingOrder="2"/>
    </xf>
    <xf numFmtId="0" fontId="87" fillId="14" borderId="1" xfId="3" applyNumberFormat="1" applyFont="1" applyFill="1" applyBorder="1" applyAlignment="1">
      <alignment horizontal="center" vertical="center" wrapText="1" readingOrder="2"/>
    </xf>
    <xf numFmtId="0" fontId="87" fillId="14" borderId="1" xfId="0" applyFont="1" applyFill="1" applyBorder="1" applyAlignment="1">
      <alignment horizontal="right" vertical="center" wrapText="1" readingOrder="2"/>
    </xf>
    <xf numFmtId="1" fontId="87" fillId="14" borderId="1" xfId="3" applyNumberFormat="1" applyFont="1" applyFill="1" applyBorder="1" applyAlignment="1">
      <alignment horizontal="right" vertical="center" wrapText="1"/>
    </xf>
    <xf numFmtId="1" fontId="87" fillId="14" borderId="30" xfId="3" applyNumberFormat="1" applyFont="1" applyFill="1" applyBorder="1" applyAlignment="1">
      <alignment horizontal="right" vertical="center" wrapText="1"/>
    </xf>
    <xf numFmtId="0" fontId="87" fillId="6" borderId="1" xfId="3" applyNumberFormat="1" applyFont="1" applyFill="1" applyBorder="1" applyAlignment="1">
      <alignment horizontal="center" vertical="center" wrapText="1" readingOrder="2"/>
    </xf>
    <xf numFmtId="169" fontId="87" fillId="9" borderId="1" xfId="0" applyNumberFormat="1" applyFont="1" applyFill="1" applyBorder="1" applyAlignment="1">
      <alignment horizontal="center" vertical="center"/>
    </xf>
    <xf numFmtId="10" fontId="87" fillId="14" borderId="1" xfId="0" applyNumberFormat="1" applyFont="1" applyFill="1" applyBorder="1" applyAlignment="1">
      <alignment horizontal="center" vertical="center" wrapText="1"/>
    </xf>
    <xf numFmtId="10" fontId="87" fillId="6" borderId="1" xfId="0" applyNumberFormat="1" applyFont="1" applyFill="1" applyBorder="1" applyAlignment="1">
      <alignment horizontal="center" vertical="center" wrapText="1"/>
    </xf>
    <xf numFmtId="49" fontId="87" fillId="14" borderId="1" xfId="3" applyNumberFormat="1" applyFont="1" applyFill="1" applyBorder="1" applyAlignment="1">
      <alignment horizontal="right" vertical="center" wrapText="1" indent="1" readingOrder="2"/>
    </xf>
    <xf numFmtId="10" fontId="87" fillId="14" borderId="1" xfId="1" applyNumberFormat="1" applyFont="1" applyFill="1" applyBorder="1" applyAlignment="1">
      <alignment horizontal="center" vertical="center"/>
    </xf>
    <xf numFmtId="0" fontId="87" fillId="6" borderId="1" xfId="1" applyNumberFormat="1" applyFont="1" applyFill="1" applyBorder="1" applyAlignment="1">
      <alignment horizontal="center" vertical="center"/>
    </xf>
    <xf numFmtId="10" fontId="87" fillId="6" borderId="1" xfId="1" applyNumberFormat="1" applyFont="1" applyFill="1" applyBorder="1" applyAlignment="1">
      <alignment horizontal="center" vertical="center"/>
    </xf>
    <xf numFmtId="0" fontId="87" fillId="14" borderId="1" xfId="1" applyNumberFormat="1" applyFont="1" applyFill="1" applyBorder="1" applyAlignment="1">
      <alignment horizontal="center" vertical="center"/>
    </xf>
    <xf numFmtId="0" fontId="87" fillId="15" borderId="23" xfId="0" applyFont="1" applyFill="1" applyBorder="1" applyAlignment="1">
      <alignment horizontal="center" vertical="center"/>
    </xf>
    <xf numFmtId="177" fontId="87" fillId="14" borderId="1" xfId="0" applyNumberFormat="1" applyFont="1" applyFill="1" applyBorder="1" applyAlignment="1">
      <alignment horizontal="center" vertical="center"/>
    </xf>
    <xf numFmtId="49" fontId="87" fillId="14" borderId="1" xfId="0" applyNumberFormat="1" applyFont="1" applyFill="1" applyBorder="1" applyAlignment="1">
      <alignment horizontal="right" vertical="center" wrapText="1" readingOrder="2"/>
    </xf>
    <xf numFmtId="1" fontId="87" fillId="16" borderId="1" xfId="0" applyNumberFormat="1" applyFont="1" applyFill="1" applyBorder="1" applyAlignment="1">
      <alignment horizontal="right" vertical="center" wrapText="1" readingOrder="2"/>
    </xf>
    <xf numFmtId="0" fontId="87" fillId="16" borderId="1" xfId="0" applyFont="1" applyFill="1" applyBorder="1" applyAlignment="1">
      <alignment horizontal="right" vertical="center" wrapText="1"/>
    </xf>
    <xf numFmtId="177" fontId="87" fillId="6" borderId="1" xfId="0" applyNumberFormat="1" applyFont="1" applyFill="1" applyBorder="1" applyAlignment="1">
      <alignment horizontal="center" vertical="center"/>
    </xf>
    <xf numFmtId="49" fontId="87" fillId="6" borderId="1" xfId="0" applyNumberFormat="1" applyFont="1" applyFill="1" applyBorder="1" applyAlignment="1">
      <alignment horizontal="right" vertical="center" wrapText="1" readingOrder="2"/>
    </xf>
    <xf numFmtId="1" fontId="87" fillId="15" borderId="1" xfId="0" applyNumberFormat="1" applyFont="1" applyFill="1" applyBorder="1" applyAlignment="1">
      <alignment horizontal="right" vertical="center" wrapText="1" readingOrder="2"/>
    </xf>
    <xf numFmtId="0" fontId="87" fillId="15" borderId="1" xfId="0" applyFont="1" applyFill="1" applyBorder="1" applyAlignment="1">
      <alignment horizontal="right" vertical="center" wrapText="1"/>
    </xf>
    <xf numFmtId="10" fontId="87" fillId="16" borderId="1" xfId="3" applyNumberFormat="1" applyFont="1" applyFill="1" applyBorder="1" applyAlignment="1">
      <alignment horizontal="center" vertical="center"/>
    </xf>
    <xf numFmtId="10" fontId="87" fillId="15" borderId="1" xfId="3" applyNumberFormat="1" applyFont="1" applyFill="1" applyBorder="1" applyAlignment="1">
      <alignment horizontal="center" vertical="center"/>
    </xf>
    <xf numFmtId="0" fontId="87" fillId="6" borderId="1" xfId="0" applyFont="1" applyFill="1" applyBorder="1" applyAlignment="1">
      <alignment horizontal="right" vertical="center" wrapText="1"/>
    </xf>
    <xf numFmtId="10" fontId="87" fillId="16" borderId="1" xfId="0" applyNumberFormat="1" applyFont="1" applyFill="1" applyBorder="1" applyAlignment="1">
      <alignment horizontal="center" vertical="center"/>
    </xf>
    <xf numFmtId="1" fontId="87" fillId="6" borderId="1" xfId="0" applyNumberFormat="1" applyFont="1" applyFill="1" applyBorder="1" applyAlignment="1">
      <alignment horizontal="right" vertical="center" wrapText="1" readingOrder="2"/>
    </xf>
    <xf numFmtId="1" fontId="87" fillId="6" borderId="30" xfId="0" applyNumberFormat="1" applyFont="1" applyFill="1" applyBorder="1" applyAlignment="1">
      <alignment horizontal="right" vertical="center" wrapText="1"/>
    </xf>
    <xf numFmtId="10" fontId="87" fillId="15" borderId="1" xfId="0" applyNumberFormat="1" applyFont="1" applyFill="1" applyBorder="1" applyAlignment="1">
      <alignment horizontal="center" vertical="center"/>
    </xf>
    <xf numFmtId="0" fontId="87" fillId="15" borderId="1" xfId="0" applyFont="1" applyFill="1" applyBorder="1" applyAlignment="1">
      <alignment horizontal="right" vertical="center" wrapText="1" readingOrder="2"/>
    </xf>
    <xf numFmtId="0" fontId="93" fillId="25" borderId="1" xfId="0" applyFont="1" applyFill="1" applyBorder="1" applyAlignment="1">
      <alignment horizontal="right" vertical="top" wrapText="1" readingOrder="2"/>
    </xf>
    <xf numFmtId="1" fontId="87" fillId="14" borderId="30" xfId="0" applyNumberFormat="1" applyFont="1" applyFill="1" applyBorder="1" applyAlignment="1">
      <alignment horizontal="right" vertical="center" wrapText="1"/>
    </xf>
    <xf numFmtId="1" fontId="87" fillId="6" borderId="1" xfId="0" applyNumberFormat="1" applyFont="1" applyFill="1" applyBorder="1" applyAlignment="1">
      <alignment horizontal="right" vertical="center" wrapText="1"/>
    </xf>
    <xf numFmtId="1" fontId="87" fillId="14" borderId="1" xfId="0" applyNumberFormat="1" applyFont="1" applyFill="1" applyBorder="1" applyAlignment="1">
      <alignment horizontal="right" vertical="center" wrapText="1"/>
    </xf>
    <xf numFmtId="0" fontId="87" fillId="14" borderId="1" xfId="0" applyFont="1" applyFill="1" applyBorder="1" applyAlignment="1">
      <alignment horizontal="right" vertical="center" wrapText="1"/>
    </xf>
    <xf numFmtId="10" fontId="90" fillId="6" borderId="1" xfId="3" applyNumberFormat="1" applyFont="1" applyFill="1" applyBorder="1" applyAlignment="1">
      <alignment horizontal="center" vertical="center"/>
    </xf>
    <xf numFmtId="0" fontId="94" fillId="14" borderId="35" xfId="0" applyFont="1" applyFill="1" applyBorder="1" applyAlignment="1">
      <alignment horizontal="center" vertical="center"/>
    </xf>
    <xf numFmtId="0" fontId="87" fillId="14" borderId="28" xfId="0" applyFont="1" applyFill="1" applyBorder="1" applyAlignment="1">
      <alignment horizontal="center" vertical="center"/>
    </xf>
    <xf numFmtId="0" fontId="87" fillId="14" borderId="28" xfId="0" applyFont="1" applyFill="1" applyBorder="1" applyAlignment="1">
      <alignment horizontal="center" vertical="center" wrapText="1"/>
    </xf>
    <xf numFmtId="0" fontId="90" fillId="14" borderId="28" xfId="0" applyFont="1" applyFill="1" applyBorder="1" applyAlignment="1">
      <alignment horizontal="center" vertical="center"/>
    </xf>
    <xf numFmtId="165" fontId="87" fillId="14" borderId="28" xfId="0" applyNumberFormat="1" applyFont="1" applyFill="1" applyBorder="1" applyAlignment="1">
      <alignment horizontal="center" vertical="center"/>
    </xf>
    <xf numFmtId="2" fontId="87" fillId="14" borderId="28" xfId="0" applyNumberFormat="1" applyFont="1" applyFill="1" applyBorder="1" applyAlignment="1">
      <alignment horizontal="center" vertical="center"/>
    </xf>
    <xf numFmtId="1" fontId="87" fillId="14" borderId="28" xfId="0" applyNumberFormat="1" applyFont="1" applyFill="1" applyBorder="1" applyAlignment="1">
      <alignment horizontal="center" vertical="center"/>
    </xf>
    <xf numFmtId="10" fontId="87" fillId="14" borderId="28" xfId="3" applyNumberFormat="1" applyFont="1" applyFill="1" applyBorder="1" applyAlignment="1">
      <alignment horizontal="center" vertical="center"/>
    </xf>
    <xf numFmtId="10" fontId="87" fillId="14" borderId="28" xfId="0" applyNumberFormat="1" applyFont="1" applyFill="1" applyBorder="1" applyAlignment="1">
      <alignment horizontal="center" vertical="center"/>
    </xf>
    <xf numFmtId="169" fontId="87" fillId="14" borderId="28" xfId="0" applyNumberFormat="1" applyFont="1" applyFill="1" applyBorder="1" applyAlignment="1">
      <alignment horizontal="center" vertical="center"/>
    </xf>
    <xf numFmtId="169" fontId="87" fillId="17" borderId="28" xfId="0" applyNumberFormat="1" applyFont="1" applyFill="1" applyBorder="1" applyAlignment="1">
      <alignment horizontal="center" vertical="center"/>
    </xf>
    <xf numFmtId="169" fontId="91" fillId="19" borderId="28" xfId="0" applyNumberFormat="1" applyFont="1" applyFill="1" applyBorder="1" applyAlignment="1">
      <alignment horizontal="center" vertical="center" wrapText="1"/>
    </xf>
    <xf numFmtId="10" fontId="87" fillId="14" borderId="28" xfId="3" applyNumberFormat="1" applyFont="1" applyFill="1" applyBorder="1" applyAlignment="1">
      <alignment horizontal="center" vertical="center" wrapText="1"/>
    </xf>
    <xf numFmtId="176" fontId="87" fillId="14" borderId="28" xfId="3" applyNumberFormat="1" applyFont="1" applyFill="1" applyBorder="1" applyAlignment="1">
      <alignment horizontal="center" vertical="center" wrapText="1"/>
    </xf>
    <xf numFmtId="177" fontId="87" fillId="14" borderId="28" xfId="0" applyNumberFormat="1" applyFont="1" applyFill="1" applyBorder="1" applyAlignment="1">
      <alignment horizontal="center" vertical="center"/>
    </xf>
    <xf numFmtId="0" fontId="87" fillId="14" borderId="28" xfId="3" applyNumberFormat="1" applyFont="1" applyFill="1" applyBorder="1" applyAlignment="1">
      <alignment horizontal="center" vertical="center" wrapText="1" readingOrder="2"/>
    </xf>
    <xf numFmtId="49" fontId="87" fillId="14" borderId="28" xfId="0" applyNumberFormat="1" applyFont="1" applyFill="1" applyBorder="1" applyAlignment="1">
      <alignment horizontal="right" vertical="center" wrapText="1" readingOrder="2"/>
    </xf>
    <xf numFmtId="1" fontId="87" fillId="14" borderId="28" xfId="0" applyNumberFormat="1" applyFont="1" applyFill="1" applyBorder="1" applyAlignment="1">
      <alignment horizontal="right" vertical="center" wrapText="1"/>
    </xf>
    <xf numFmtId="0" fontId="87" fillId="14" borderId="28" xfId="0" applyFont="1" applyFill="1" applyBorder="1" applyAlignment="1">
      <alignment horizontal="right" vertical="center" wrapText="1"/>
    </xf>
    <xf numFmtId="1" fontId="87" fillId="14" borderId="29" xfId="0" applyNumberFormat="1" applyFont="1" applyFill="1" applyBorder="1" applyAlignment="1">
      <alignment horizontal="right" vertical="center" wrapText="1"/>
    </xf>
    <xf numFmtId="0" fontId="95" fillId="7" borderId="23" xfId="0" applyFont="1" applyFill="1" applyBorder="1" applyAlignment="1">
      <alignment horizontal="center" vertical="center"/>
    </xf>
    <xf numFmtId="0" fontId="95" fillId="7" borderId="1" xfId="0" applyFont="1" applyFill="1" applyBorder="1" applyAlignment="1">
      <alignment horizontal="center" vertical="center"/>
    </xf>
    <xf numFmtId="0" fontId="95" fillId="7" borderId="1" xfId="0" applyFont="1" applyFill="1" applyBorder="1" applyAlignment="1">
      <alignment horizontal="center" vertical="center" wrapText="1"/>
    </xf>
    <xf numFmtId="165" fontId="95" fillId="7" borderId="1" xfId="0" applyNumberFormat="1" applyFont="1" applyFill="1" applyBorder="1" applyAlignment="1">
      <alignment horizontal="center" vertical="center"/>
    </xf>
    <xf numFmtId="2" fontId="95" fillId="7" borderId="1" xfId="0" applyNumberFormat="1" applyFont="1" applyFill="1" applyBorder="1" applyAlignment="1">
      <alignment horizontal="center" vertical="center"/>
    </xf>
    <xf numFmtId="1" fontId="95" fillId="7" borderId="1" xfId="0" applyNumberFormat="1" applyFont="1" applyFill="1" applyBorder="1" applyAlignment="1">
      <alignment horizontal="center" vertical="center"/>
    </xf>
    <xf numFmtId="10" fontId="95" fillId="7" borderId="1" xfId="0" applyNumberFormat="1" applyFont="1" applyFill="1" applyBorder="1" applyAlignment="1">
      <alignment horizontal="center" vertical="center"/>
    </xf>
    <xf numFmtId="10" fontId="95" fillId="7" borderId="1" xfId="3" applyNumberFormat="1" applyFont="1" applyFill="1" applyBorder="1" applyAlignment="1">
      <alignment horizontal="center" vertical="center"/>
    </xf>
    <xf numFmtId="169" fontId="95" fillId="7" borderId="1" xfId="0" applyNumberFormat="1" applyFont="1" applyFill="1" applyBorder="1" applyAlignment="1">
      <alignment horizontal="center" vertical="center"/>
    </xf>
    <xf numFmtId="169" fontId="95" fillId="7" borderId="1" xfId="0" applyNumberFormat="1" applyFont="1" applyFill="1" applyBorder="1" applyAlignment="1">
      <alignment horizontal="center" vertical="center" wrapText="1"/>
    </xf>
    <xf numFmtId="10" fontId="95" fillId="7" borderId="1" xfId="0" applyNumberFormat="1" applyFont="1" applyFill="1" applyBorder="1" applyAlignment="1">
      <alignment horizontal="center" vertical="center" wrapText="1"/>
    </xf>
    <xf numFmtId="176" fontId="95" fillId="7" borderId="1" xfId="0" applyNumberFormat="1" applyFont="1" applyFill="1" applyBorder="1" applyAlignment="1">
      <alignment horizontal="center" vertical="center" wrapText="1"/>
    </xf>
    <xf numFmtId="177" fontId="95" fillId="7" borderId="1" xfId="0" applyNumberFormat="1" applyFont="1" applyFill="1" applyBorder="1" applyAlignment="1">
      <alignment horizontal="center" vertical="center"/>
    </xf>
    <xf numFmtId="10" fontId="87" fillId="7" borderId="26" xfId="3" applyNumberFormat="1" applyFont="1" applyFill="1" applyBorder="1" applyAlignment="1">
      <alignment horizontal="center" vertical="center"/>
    </xf>
    <xf numFmtId="0" fontId="95" fillId="7" borderId="1" xfId="0" applyFont="1" applyFill="1" applyBorder="1" applyAlignment="1">
      <alignment wrapText="1"/>
    </xf>
    <xf numFmtId="10" fontId="95" fillId="7" borderId="1" xfId="0" applyNumberFormat="1" applyFont="1" applyFill="1" applyBorder="1" applyAlignment="1">
      <alignment horizontal="center" vertical="center" wrapText="1" readingOrder="2"/>
    </xf>
    <xf numFmtId="49" fontId="95" fillId="7" borderId="1" xfId="0" applyNumberFormat="1" applyFont="1" applyFill="1" applyBorder="1" applyAlignment="1">
      <alignment horizontal="right" vertical="center" wrapText="1" readingOrder="2"/>
    </xf>
    <xf numFmtId="1" fontId="95" fillId="7" borderId="1" xfId="0" applyNumberFormat="1" applyFont="1" applyFill="1" applyBorder="1" applyAlignment="1">
      <alignment horizontal="right" vertical="center" wrapText="1"/>
    </xf>
    <xf numFmtId="49" fontId="95" fillId="7" borderId="1" xfId="0" applyNumberFormat="1" applyFont="1" applyFill="1" applyBorder="1" applyAlignment="1">
      <alignment horizontal="right" vertical="center" wrapText="1"/>
    </xf>
    <xf numFmtId="1" fontId="95" fillId="7" borderId="30" xfId="0" applyNumberFormat="1" applyFont="1" applyFill="1" applyBorder="1" applyAlignment="1">
      <alignment horizontal="right" vertical="center" wrapText="1"/>
    </xf>
    <xf numFmtId="2" fontId="95" fillId="7" borderId="1" xfId="3" applyNumberFormat="1" applyFont="1" applyFill="1" applyBorder="1" applyAlignment="1">
      <alignment horizontal="center" vertical="center"/>
    </xf>
    <xf numFmtId="10" fontId="87" fillId="7" borderId="1" xfId="3" applyNumberFormat="1" applyFont="1" applyFill="1" applyBorder="1" applyAlignment="1">
      <alignment horizontal="center" vertical="center"/>
    </xf>
    <xf numFmtId="0" fontId="96" fillId="7" borderId="33" xfId="0" applyFont="1" applyFill="1" applyBorder="1" applyAlignment="1">
      <alignment horizontal="center" vertical="center"/>
    </xf>
    <xf numFmtId="0" fontId="95" fillId="7" borderId="2" xfId="0" applyFont="1" applyFill="1" applyBorder="1" applyAlignment="1">
      <alignment horizontal="center" vertical="center"/>
    </xf>
    <xf numFmtId="0" fontId="95" fillId="7" borderId="2" xfId="0" applyFont="1" applyFill="1" applyBorder="1" applyAlignment="1">
      <alignment horizontal="center" vertical="center" wrapText="1"/>
    </xf>
    <xf numFmtId="165" fontId="95" fillId="7" borderId="2" xfId="0" applyNumberFormat="1" applyFont="1" applyFill="1" applyBorder="1" applyAlignment="1">
      <alignment horizontal="center" vertical="center"/>
    </xf>
    <xf numFmtId="2" fontId="95" fillId="7" borderId="2" xfId="0" applyNumberFormat="1" applyFont="1" applyFill="1" applyBorder="1" applyAlignment="1">
      <alignment horizontal="center" vertical="center"/>
    </xf>
    <xf numFmtId="1" fontId="95" fillId="7" borderId="2" xfId="0" applyNumberFormat="1" applyFont="1" applyFill="1" applyBorder="1" applyAlignment="1">
      <alignment horizontal="center" vertical="center"/>
    </xf>
    <xf numFmtId="10" fontId="95" fillId="7" borderId="2" xfId="0" applyNumberFormat="1" applyFont="1" applyFill="1" applyBorder="1" applyAlignment="1">
      <alignment horizontal="center" vertical="center"/>
    </xf>
    <xf numFmtId="10" fontId="95" fillId="7" borderId="2" xfId="3" applyNumberFormat="1" applyFont="1" applyFill="1" applyBorder="1" applyAlignment="1">
      <alignment horizontal="center" vertical="center"/>
    </xf>
    <xf numFmtId="169" fontId="95" fillId="7" borderId="2" xfId="0" applyNumberFormat="1" applyFont="1" applyFill="1" applyBorder="1" applyAlignment="1">
      <alignment horizontal="center" vertical="center"/>
    </xf>
    <xf numFmtId="169" fontId="95" fillId="7" borderId="2" xfId="0" applyNumberFormat="1" applyFont="1" applyFill="1" applyBorder="1" applyAlignment="1">
      <alignment horizontal="center" vertical="center" wrapText="1"/>
    </xf>
    <xf numFmtId="10" fontId="95" fillId="7" borderId="2" xfId="0" applyNumberFormat="1" applyFont="1" applyFill="1" applyBorder="1" applyAlignment="1">
      <alignment horizontal="center" vertical="center" wrapText="1"/>
    </xf>
    <xf numFmtId="176" fontId="95" fillId="7" borderId="2" xfId="0" applyNumberFormat="1" applyFont="1" applyFill="1" applyBorder="1" applyAlignment="1">
      <alignment horizontal="center" vertical="center" wrapText="1"/>
    </xf>
    <xf numFmtId="177" fontId="95" fillId="7" borderId="2" xfId="0" applyNumberFormat="1" applyFont="1" applyFill="1" applyBorder="1" applyAlignment="1">
      <alignment horizontal="center" vertical="center"/>
    </xf>
    <xf numFmtId="0" fontId="95" fillId="7" borderId="2" xfId="0" applyFont="1" applyFill="1" applyBorder="1" applyAlignment="1">
      <alignment wrapText="1"/>
    </xf>
    <xf numFmtId="10" fontId="95" fillId="7" borderId="2" xfId="0" applyNumberFormat="1" applyFont="1" applyFill="1" applyBorder="1" applyAlignment="1">
      <alignment horizontal="center" vertical="center" wrapText="1" readingOrder="2"/>
    </xf>
    <xf numFmtId="49" fontId="95" fillId="7" borderId="2" xfId="0" applyNumberFormat="1" applyFont="1" applyFill="1" applyBorder="1" applyAlignment="1">
      <alignment horizontal="right" vertical="center" wrapText="1" readingOrder="2"/>
    </xf>
    <xf numFmtId="1" fontId="95" fillId="7" borderId="2" xfId="0" applyNumberFormat="1" applyFont="1" applyFill="1" applyBorder="1" applyAlignment="1">
      <alignment horizontal="right" vertical="center" wrapText="1"/>
    </xf>
    <xf numFmtId="49" fontId="95" fillId="7" borderId="2" xfId="0" applyNumberFormat="1" applyFont="1" applyFill="1" applyBorder="1" applyAlignment="1">
      <alignment horizontal="right" vertical="center" wrapText="1"/>
    </xf>
    <xf numFmtId="1" fontId="95" fillId="7" borderId="36" xfId="0" applyNumberFormat="1" applyFont="1" applyFill="1" applyBorder="1" applyAlignment="1">
      <alignment horizontal="right" vertical="center" wrapText="1"/>
    </xf>
    <xf numFmtId="0" fontId="95" fillId="7" borderId="33" xfId="0" applyFont="1" applyFill="1" applyBorder="1" applyAlignment="1">
      <alignment horizontal="center" vertical="center"/>
    </xf>
    <xf numFmtId="0" fontId="88" fillId="12" borderId="25" xfId="0" applyFont="1" applyFill="1" applyBorder="1" applyAlignment="1">
      <alignment horizontal="center" vertical="center"/>
    </xf>
    <xf numFmtId="0" fontId="89" fillId="12" borderId="26" xfId="0" applyFont="1" applyFill="1" applyBorder="1" applyAlignment="1">
      <alignment horizontal="center" vertical="center"/>
    </xf>
    <xf numFmtId="0" fontId="97" fillId="12" borderId="26" xfId="0" applyFont="1" applyFill="1" applyBorder="1" applyAlignment="1">
      <alignment horizontal="center" vertical="center" wrapText="1"/>
    </xf>
    <xf numFmtId="0" fontId="98" fillId="12" borderId="26" xfId="0" applyFont="1" applyFill="1" applyBorder="1" applyAlignment="1">
      <alignment horizontal="center" vertical="center" wrapText="1"/>
    </xf>
    <xf numFmtId="10" fontId="89" fillId="12" borderId="26" xfId="3" applyNumberFormat="1" applyFont="1" applyFill="1" applyBorder="1" applyAlignment="1">
      <alignment horizontal="center" vertical="center" wrapText="1"/>
    </xf>
    <xf numFmtId="0" fontId="89" fillId="12" borderId="26" xfId="0" applyFont="1" applyFill="1" applyBorder="1" applyAlignment="1">
      <alignment horizontal="center" vertical="center" wrapText="1" readingOrder="2"/>
    </xf>
    <xf numFmtId="0" fontId="88" fillId="12" borderId="26" xfId="0" applyFont="1" applyFill="1" applyBorder="1" applyAlignment="1">
      <alignment horizontal="center" vertical="center" wrapText="1" readingOrder="2"/>
    </xf>
    <xf numFmtId="0" fontId="88" fillId="12" borderId="34" xfId="0" applyFont="1" applyFill="1" applyBorder="1" applyAlignment="1">
      <alignment horizontal="center" vertical="center" wrapText="1"/>
    </xf>
    <xf numFmtId="0" fontId="77" fillId="0" borderId="0" xfId="0" applyFont="1" applyAlignment="1">
      <alignment horizontal="center" vertical="center" wrapText="1"/>
    </xf>
    <xf numFmtId="0" fontId="77" fillId="0" borderId="0" xfId="0" applyFont="1" applyAlignment="1">
      <alignment horizontal="center" vertical="center"/>
    </xf>
    <xf numFmtId="0" fontId="30" fillId="0" borderId="0" xfId="0" applyFont="1" applyAlignment="1">
      <alignment horizontal="center" vertical="center"/>
    </xf>
    <xf numFmtId="0" fontId="50" fillId="0" borderId="0" xfId="0" applyFont="1" applyAlignment="1">
      <alignment horizontal="center" vertical="center"/>
    </xf>
    <xf numFmtId="0" fontId="4" fillId="0" borderId="91" xfId="0" applyFont="1" applyBorder="1" applyAlignment="1">
      <alignment horizontal="center" vertical="center"/>
    </xf>
    <xf numFmtId="0" fontId="4" fillId="0" borderId="92" xfId="0" applyFont="1" applyBorder="1" applyAlignment="1">
      <alignment horizontal="center" vertical="center"/>
    </xf>
    <xf numFmtId="0" fontId="4" fillId="0" borderId="93" xfId="0" applyFont="1" applyBorder="1" applyAlignment="1">
      <alignment horizontal="center" vertical="center"/>
    </xf>
    <xf numFmtId="0" fontId="2" fillId="2" borderId="14" xfId="0" applyFont="1" applyFill="1" applyBorder="1" applyAlignment="1">
      <alignment horizontal="center"/>
    </xf>
    <xf numFmtId="0" fontId="2" fillId="2" borderId="15" xfId="0" applyFont="1" applyFill="1" applyBorder="1" applyAlignment="1">
      <alignment horizontal="center"/>
    </xf>
    <xf numFmtId="0" fontId="59" fillId="12" borderId="76" xfId="0" applyFont="1" applyFill="1" applyBorder="1" applyAlignment="1">
      <alignment horizontal="center" vertical="center" wrapText="1" readingOrder="2"/>
    </xf>
    <xf numFmtId="0" fontId="59" fillId="12" borderId="77"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5" fillId="12" borderId="76" xfId="0" applyFont="1" applyFill="1" applyBorder="1" applyAlignment="1">
      <alignment horizontal="center" vertical="center" wrapText="1" readingOrder="2"/>
    </xf>
    <xf numFmtId="0" fontId="55" fillId="12" borderId="77" xfId="0" applyFont="1" applyFill="1" applyBorder="1" applyAlignment="1">
      <alignment horizontal="center" vertical="center" wrapText="1" readingOrder="2"/>
    </xf>
    <xf numFmtId="0" fontId="55" fillId="12" borderId="78" xfId="0" applyFont="1" applyFill="1" applyBorder="1" applyAlignment="1">
      <alignment horizontal="center" vertical="center" wrapText="1" readingOrder="2"/>
    </xf>
    <xf numFmtId="0" fontId="70" fillId="12" borderId="76" xfId="0" applyFont="1" applyFill="1" applyBorder="1" applyAlignment="1">
      <alignment horizontal="center" vertical="center" wrapText="1" readingOrder="2"/>
    </xf>
    <xf numFmtId="0" fontId="70" fillId="12" borderId="77" xfId="0" applyFont="1" applyFill="1" applyBorder="1" applyAlignment="1">
      <alignment horizontal="center" vertical="center" wrapText="1" readingOrder="2"/>
    </xf>
    <xf numFmtId="0" fontId="22" fillId="12" borderId="32" xfId="0" applyFont="1" applyFill="1" applyBorder="1" applyAlignment="1">
      <alignment horizontal="center" vertical="center" wrapText="1"/>
    </xf>
    <xf numFmtId="0" fontId="22" fillId="12" borderId="64" xfId="0" applyFont="1" applyFill="1" applyBorder="1" applyAlignment="1">
      <alignment horizontal="center" vertical="center" wrapText="1"/>
    </xf>
    <xf numFmtId="0" fontId="22" fillId="12" borderId="26" xfId="0" applyFont="1" applyFill="1" applyBorder="1" applyAlignment="1">
      <alignment horizontal="center" vertical="center" wrapText="1"/>
    </xf>
    <xf numFmtId="0" fontId="22" fillId="12" borderId="45" xfId="0" applyFont="1" applyFill="1" applyBorder="1" applyAlignment="1">
      <alignment horizontal="center" vertical="center" wrapText="1"/>
    </xf>
    <xf numFmtId="0" fontId="22" fillId="12" borderId="48" xfId="0" applyFont="1" applyFill="1" applyBorder="1" applyAlignment="1">
      <alignment horizontal="center" vertical="center" wrapText="1"/>
    </xf>
    <xf numFmtId="0" fontId="22" fillId="12" borderId="43" xfId="0" applyFont="1" applyFill="1" applyBorder="1" applyAlignment="1">
      <alignment horizontal="center" vertical="center" wrapText="1"/>
    </xf>
    <xf numFmtId="0" fontId="22" fillId="12" borderId="68" xfId="0" applyFont="1" applyFill="1" applyBorder="1" applyAlignment="1">
      <alignment horizontal="center" vertical="center" wrapText="1"/>
    </xf>
    <xf numFmtId="0" fontId="22" fillId="12" borderId="65" xfId="0" applyFont="1" applyFill="1" applyBorder="1" applyAlignment="1">
      <alignment horizontal="center" vertical="center" wrapText="1"/>
    </xf>
    <xf numFmtId="0" fontId="22" fillId="12" borderId="66" xfId="0" applyFont="1" applyFill="1" applyBorder="1" applyAlignment="1">
      <alignment horizontal="center" vertical="center" wrapText="1"/>
    </xf>
    <xf numFmtId="0" fontId="22" fillId="12" borderId="25" xfId="0" applyFont="1" applyFill="1" applyBorder="1" applyAlignment="1">
      <alignment horizontal="center" vertical="center"/>
    </xf>
    <xf numFmtId="0" fontId="22" fillId="12" borderId="35" xfId="0" applyFont="1" applyFill="1" applyBorder="1" applyAlignment="1">
      <alignment horizontal="center" vertical="center"/>
    </xf>
    <xf numFmtId="0" fontId="22" fillId="12" borderId="50" xfId="0" applyFont="1" applyFill="1" applyBorder="1" applyAlignment="1">
      <alignment horizontal="center" vertical="center"/>
    </xf>
    <xf numFmtId="0" fontId="22" fillId="12" borderId="54" xfId="0" applyFont="1" applyFill="1" applyBorder="1" applyAlignment="1">
      <alignment horizontal="center" vertical="center"/>
    </xf>
    <xf numFmtId="0" fontId="22" fillId="12" borderId="46" xfId="0" applyFont="1" applyFill="1" applyBorder="1" applyAlignment="1">
      <alignment horizontal="center" vertical="center" wrapText="1"/>
    </xf>
    <xf numFmtId="0" fontId="22" fillId="12" borderId="47" xfId="0" applyFont="1" applyFill="1" applyBorder="1" applyAlignment="1">
      <alignment horizontal="center" vertical="center" wrapText="1"/>
    </xf>
    <xf numFmtId="0" fontId="22" fillId="12" borderId="28"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2" borderId="40" xfId="0" applyFont="1" applyFill="1" applyBorder="1" applyAlignment="1">
      <alignment horizontal="center" vertical="center" wrapText="1"/>
    </xf>
    <xf numFmtId="0" fontId="22" fillId="12" borderId="34" xfId="0" applyFont="1" applyFill="1" applyBorder="1" applyAlignment="1">
      <alignment horizontal="center" vertical="center" wrapText="1"/>
    </xf>
    <xf numFmtId="0" fontId="22" fillId="12" borderId="30"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22" fillId="12" borderId="51" xfId="0" applyFont="1" applyFill="1" applyBorder="1" applyAlignment="1">
      <alignment horizontal="center" vertical="center" wrapText="1"/>
    </xf>
    <xf numFmtId="0" fontId="22" fillId="12" borderId="36" xfId="0" applyFont="1" applyFill="1" applyBorder="1" applyAlignment="1">
      <alignment horizontal="center" vertical="center" wrapText="1"/>
    </xf>
    <xf numFmtId="0" fontId="22" fillId="12" borderId="49" xfId="0" applyFont="1" applyFill="1" applyBorder="1" applyAlignment="1">
      <alignment horizontal="center" vertical="center" wrapText="1"/>
    </xf>
    <xf numFmtId="0" fontId="22" fillId="12" borderId="39" xfId="0" applyFont="1" applyFill="1" applyBorder="1" applyAlignment="1">
      <alignment horizontal="center" vertical="center" wrapText="1"/>
    </xf>
    <xf numFmtId="0" fontId="22" fillId="12" borderId="38" xfId="0" applyFont="1" applyFill="1" applyBorder="1" applyAlignment="1">
      <alignment horizontal="center" vertical="center" wrapText="1"/>
    </xf>
    <xf numFmtId="0" fontId="22" fillId="12" borderId="41" xfId="0" applyFont="1" applyFill="1" applyBorder="1" applyAlignment="1">
      <alignment horizontal="center" vertical="center" wrapText="1"/>
    </xf>
    <xf numFmtId="0" fontId="22" fillId="12" borderId="23" xfId="0" applyFont="1" applyFill="1" applyBorder="1" applyAlignment="1">
      <alignment horizontal="center" vertical="center" wrapText="1"/>
    </xf>
    <xf numFmtId="0" fontId="22" fillId="12" borderId="35" xfId="0" applyFont="1" applyFill="1" applyBorder="1" applyAlignment="1">
      <alignment horizontal="center" vertical="center" wrapText="1"/>
    </xf>
    <xf numFmtId="0" fontId="22" fillId="12" borderId="2" xfId="0" applyFont="1" applyFill="1" applyBorder="1" applyAlignment="1">
      <alignment horizontal="center" vertical="center" wrapText="1"/>
    </xf>
    <xf numFmtId="0" fontId="22" fillId="12" borderId="44" xfId="0" applyFont="1" applyFill="1" applyBorder="1" applyAlignment="1">
      <alignment horizontal="center" vertical="center"/>
    </xf>
    <xf numFmtId="0" fontId="22" fillId="12" borderId="42" xfId="0" applyFont="1" applyFill="1" applyBorder="1" applyAlignment="1">
      <alignment horizontal="center" vertical="center"/>
    </xf>
    <xf numFmtId="0" fontId="22" fillId="12" borderId="53" xfId="0" applyFont="1" applyFill="1" applyBorder="1" applyAlignment="1">
      <alignment horizontal="center" vertical="center"/>
    </xf>
    <xf numFmtId="0" fontId="22" fillId="12" borderId="52" xfId="0" applyFont="1" applyFill="1" applyBorder="1" applyAlignment="1">
      <alignment horizontal="center" vertical="center"/>
    </xf>
    <xf numFmtId="0" fontId="22" fillId="12" borderId="0" xfId="0" applyFont="1" applyFill="1" applyAlignment="1">
      <alignment horizontal="center" vertical="center" wrapText="1"/>
    </xf>
    <xf numFmtId="0" fontId="22" fillId="12" borderId="25" xfId="0" applyFont="1" applyFill="1" applyBorder="1" applyAlignment="1">
      <alignment horizontal="center" vertical="center" wrapText="1"/>
    </xf>
    <xf numFmtId="0" fontId="22" fillId="12" borderId="56" xfId="0" applyFont="1" applyFill="1" applyBorder="1" applyAlignment="1">
      <alignment horizontal="center" vertical="center" wrapText="1"/>
    </xf>
    <xf numFmtId="0" fontId="13" fillId="0" borderId="0" xfId="0" applyFont="1" applyAlignment="1">
      <alignment horizontal="center" vertical="center"/>
    </xf>
    <xf numFmtId="0" fontId="4" fillId="0" borderId="51" xfId="0" applyFont="1" applyBorder="1" applyAlignment="1">
      <alignment horizontal="right" vertical="center"/>
    </xf>
    <xf numFmtId="0" fontId="4" fillId="0" borderId="46" xfId="0" applyFont="1" applyBorder="1" applyAlignment="1">
      <alignment horizontal="right" vertical="center"/>
    </xf>
    <xf numFmtId="0" fontId="4" fillId="0" borderId="32" xfId="0" applyFont="1" applyBorder="1" applyAlignment="1">
      <alignment horizontal="right" vertical="center"/>
    </xf>
    <xf numFmtId="0" fontId="4" fillId="0" borderId="63" xfId="0" applyFont="1" applyBorder="1" applyAlignment="1">
      <alignment horizontal="right" vertical="center"/>
    </xf>
    <xf numFmtId="0" fontId="4" fillId="0" borderId="47" xfId="0" applyFont="1" applyBorder="1" applyAlignment="1">
      <alignment horizontal="right" vertical="center"/>
    </xf>
    <xf numFmtId="0" fontId="4" fillId="0" borderId="64" xfId="0" applyFont="1" applyBorder="1" applyAlignment="1">
      <alignment horizontal="right" vertical="center"/>
    </xf>
    <xf numFmtId="0" fontId="4" fillId="0" borderId="51" xfId="0" applyFont="1" applyBorder="1" applyAlignment="1">
      <alignment horizontal="center" vertical="center" readingOrder="2"/>
    </xf>
    <xf numFmtId="0" fontId="4" fillId="0" borderId="63" xfId="0" applyFont="1" applyBorder="1" applyAlignment="1">
      <alignment horizontal="center" vertical="center" readingOrder="2"/>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cellXfs>
  <cellStyles count="11">
    <cellStyle name="Comma" xfId="1" builtinId="3"/>
    <cellStyle name="Comma 2" xfId="2" xr:uid="{B91502B8-06EE-4529-A253-49EF603BCF8A}"/>
    <cellStyle name="Comma 2 2" xfId="4" xr:uid="{813C4D20-B285-4F64-9AFE-390CD7309547}"/>
    <cellStyle name="Normal" xfId="0" builtinId="0"/>
    <cellStyle name="Normal 2" xfId="5" xr:uid="{0B287DF2-124F-472E-BAA7-5B72CEAB23A4}"/>
    <cellStyle name="Normal 2 2" xfId="9" xr:uid="{AD1F536F-B332-43AB-9A92-CCFBF2E01DD0}"/>
    <cellStyle name="Normal 2 3" xfId="8" xr:uid="{622000F8-0767-42C1-881D-4C5153E06AA8}"/>
    <cellStyle name="Normal 3" xfId="7" xr:uid="{71407F6B-8A36-4FC8-9347-9359343D7B22}"/>
    <cellStyle name="Normal 3 2" xfId="10" xr:uid="{9613A6D7-1236-48A0-BC91-C184DEF27A59}"/>
    <cellStyle name="Normal 5" xfId="6" xr:uid="{AC4B73E4-7204-41F3-B7E6-81520127C767}"/>
    <cellStyle name="Percent" xfId="3" builtinId="5"/>
  </cellStyles>
  <dxfs count="7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theme="7" tint="0.79998168889431442"/>
        </patternFill>
      </fill>
    </dxf>
    <dxf>
      <font>
        <color auto="1"/>
      </font>
      <fill>
        <patternFill>
          <bgColor theme="9" tint="0.79998168889431442"/>
        </patternFill>
      </fill>
    </dxf>
    <dxf>
      <font>
        <color theme="0"/>
      </font>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style="double">
          <color auto="1"/>
        </left>
        <right style="thin">
          <color indexed="64"/>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right" vertical="center" textRotation="0" wrapText="1" indent="0" justifyLastLine="0" shrinkToFit="0" readingOrder="2"/>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Sakkal Majalla"/>
        <scheme val="none"/>
      </font>
      <numFmt numFmtId="174"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ill>
        <patternFill patternType="solid">
          <bgColor theme="8" tint="0.79998168889431442"/>
        </patternFill>
      </fill>
    </dxf>
    <dxf>
      <border outline="0">
        <left style="double">
          <color rgb="FF000000"/>
        </left>
        <right style="double">
          <color auto="1"/>
        </right>
        <top style="double">
          <color auto="1"/>
        </top>
        <bottom style="double">
          <color rgb="FF000000"/>
        </bottom>
      </border>
    </dxf>
    <dxf>
      <fill>
        <patternFill patternType="solid">
          <bgColor theme="8" tint="0.79998168889431442"/>
        </patternFill>
      </fill>
    </dxf>
    <dxf>
      <font>
        <b/>
        <i val="0"/>
        <strike val="0"/>
        <condense val="0"/>
        <extend val="0"/>
        <outline val="0"/>
        <shadow val="0"/>
        <u val="none"/>
        <vertAlign val="baseline"/>
        <sz val="11"/>
        <color rgb="FF3C57F6"/>
        <name val="Calibri"/>
        <family val="2"/>
        <scheme val="minor"/>
      </font>
      <numFmt numFmtId="2" formatCode="0.00"/>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82" formatCode="0.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8" formatCode="dd\-m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C57F6"/>
        <name val="Calibri"/>
        <family val="2"/>
        <scheme val="minor"/>
      </font>
      <fill>
        <patternFill patternType="none">
          <fgColor rgb="FF000000"/>
          <bgColor auto="1"/>
        </patternFill>
      </fill>
      <alignment horizontal="center" vertical="center"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rgb="FF002060"/>
        <name val="Dubai"/>
        <family val="2"/>
        <scheme val="none"/>
      </font>
      <numFmt numFmtId="179" formatCode="[$-10B0000]d\ mmmm\ yyyy;@"/>
      <fill>
        <patternFill patternType="solid">
          <fgColor indexed="64"/>
          <bgColor theme="8" tint="0.79998168889431442"/>
        </patternFill>
      </fill>
      <alignment horizontal="center" vertical="center" textRotation="0" wrapText="1" indent="0" justifyLastLine="0" shrinkToFit="0" readingOrder="2"/>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4" formatCode="#,##0.00"/>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0" formatCode="[$-409]mmmm\ d\,\ yyyy;@"/>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dxf>
    <dxf>
      <border outline="0">
        <bottom style="thin">
          <color rgb="FF000000"/>
        </bottom>
      </border>
    </dxf>
    <dxf>
      <font>
        <b/>
        <i val="0"/>
        <strike val="0"/>
        <condense val="0"/>
        <extend val="0"/>
        <outline val="0"/>
        <shadow val="0"/>
        <u val="none"/>
        <vertAlign val="baseline"/>
        <sz val="11"/>
        <color theme="0"/>
        <name val="Dubai"/>
        <family val="2"/>
        <scheme val="none"/>
      </font>
      <fill>
        <patternFill patternType="solid">
          <fgColor indexed="64"/>
          <bgColor theme="4"/>
        </patternFill>
      </fill>
      <alignment horizontal="center" vertical="center" textRotation="0" wrapText="1" indent="0" justifyLastLine="0" shrinkToFit="0" readingOrder="2"/>
      <border diagonalUp="0" diagonalDown="0" outline="0">
        <left style="thin">
          <color rgb="FF000000"/>
        </left>
        <right style="thin">
          <color rgb="FF000000"/>
        </right>
        <top/>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rgb="FF000000"/>
        </top>
      </border>
    </dxf>
    <dxf>
      <font>
        <b val="0"/>
        <i val="0"/>
        <strike val="0"/>
        <condense val="0"/>
        <extend val="0"/>
        <outline val="0"/>
        <shadow val="0"/>
        <u val="none"/>
        <vertAlign val="baseline"/>
        <sz val="18"/>
        <color auto="1"/>
        <name val="Sakkal Majalla"/>
        <scheme val="none"/>
      </font>
      <numFmt numFmtId="14" formatCode="0.00%"/>
      <fill>
        <patternFill patternType="none">
          <fgColor rgb="FF000000"/>
          <bgColor rgb="FFFFFFFF"/>
        </patternFill>
      </fill>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strike val="0"/>
        <outline val="0"/>
        <shadow val="0"/>
        <u val="none"/>
        <vertAlign val="baseline"/>
        <sz val="10"/>
        <color auto="1"/>
        <name val="Sakkal Majalla"/>
        <scheme val="none"/>
      </font>
      <fill>
        <patternFill patternType="none">
          <fgColor rgb="FF000000"/>
          <bgColor auto="1"/>
        </patternFill>
      </fill>
      <alignment horizontal="center" vertical="center" textRotation="0" indent="0" justifyLastLine="0" shrinkToFit="0" readingOrder="0"/>
    </dxf>
    <dxf>
      <border>
        <bottom style="thin">
          <color rgb="FF000000"/>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8"/>
        <color auto="1"/>
        <name val="Sakkal Majalla"/>
        <scheme val="none"/>
      </font>
      <numFmt numFmtId="14" formatCode="0.00%"/>
      <fill>
        <patternFill patternType="none">
          <fgColor indexed="64"/>
          <bgColor indexed="65"/>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dxf>
    <dxf>
      <border>
        <bottom style="thin">
          <color indexed="64"/>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font>
        <b val="0"/>
        <i val="0"/>
        <strike val="0"/>
        <condense val="0"/>
        <extend val="0"/>
        <outline val="0"/>
        <shadow val="0"/>
        <u val="none"/>
        <vertAlign val="baseline"/>
        <sz val="10"/>
        <color theme="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right style="thin">
          <color indexed="64"/>
        </right>
        <top/>
        <bottom/>
      </border>
    </dxf>
    <dxf>
      <font>
        <b val="0"/>
        <strike val="0"/>
        <outline val="0"/>
        <shadow val="0"/>
        <u val="none"/>
        <vertAlign val="baseline"/>
        <sz val="10"/>
        <color auto="1"/>
        <name val="Segoe UI Semibold"/>
        <family val="2"/>
        <scheme val="none"/>
      </font>
      <numFmt numFmtId="1" formatCode="0"/>
      <fill>
        <patternFill>
          <bgColor theme="8" tint="0.79998168889431442"/>
        </patternFill>
      </fill>
      <alignment horizontal="right" vertical="center" textRotation="0" wrapText="1" indent="0" justifyLastLine="0" shrinkToFit="0" readingOrder="0"/>
      <border diagonalUp="0" diagonalDown="0" outline="0">
        <left style="thin">
          <color auto="1"/>
        </left>
        <right style="double">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numFmt numFmtId="30" formatCode="@"/>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egoe UI Semibold"/>
        <family val="2"/>
        <scheme val="none"/>
      </font>
      <numFmt numFmtId="30" formatCode="@"/>
      <fill>
        <patternFill>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30" formatCode="@"/>
      <fill>
        <patternFill patternType="solid">
          <fgColor indexed="64"/>
          <bgColor theme="8" tint="0.79998168889431442"/>
        </patternFill>
      </fill>
      <alignment horizontal="right" vertical="center" textRotation="0" wrapText="1" indent="0" justifyLastLine="0" shrinkToFit="0" readingOrder="2"/>
      <border diagonalUp="0" diagonalDown="0" outline="0">
        <left style="thin">
          <color auto="1"/>
        </left>
        <right style="thin">
          <color auto="1"/>
        </right>
        <top/>
        <bottom/>
      </border>
    </dxf>
    <dxf>
      <font>
        <b val="0"/>
        <strike val="0"/>
        <outline val="0"/>
        <shadow val="0"/>
        <u val="none"/>
        <vertAlign val="baseline"/>
        <sz val="10"/>
        <color auto="1"/>
        <name val="Segoe UI Semibold"/>
        <family val="2"/>
        <scheme val="none"/>
      </font>
      <numFmt numFmtId="30" formatCode="@"/>
      <fill>
        <patternFill>
          <bgColor theme="8" tint="0.79998168889431442"/>
        </patternFill>
      </fill>
      <alignment horizontal="right"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center" vertical="bottom" textRotation="0" wrapText="1" indent="0" justifyLastLine="0" shrinkToFit="0" readingOrder="2"/>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Segoe UI Semibold"/>
        <family val="2"/>
        <scheme val="none"/>
      </font>
      <fill>
        <patternFill patternType="solid">
          <fgColor indexed="64"/>
          <bgColor theme="7"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Segoe UI Semibold"/>
        <family val="2"/>
        <scheme val="none"/>
      </font>
      <fill>
        <patternFill>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Segoe UI Semibold"/>
        <family val="2"/>
        <scheme val="none"/>
      </font>
      <fill>
        <patternFill>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82" formatCode="0.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Segoe UI Semibold"/>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auto="1"/>
        </left>
        <right style="thin">
          <color auto="1"/>
        </right>
        <top style="thin">
          <color auto="1"/>
        </top>
        <bottom style="thin">
          <color auto="1"/>
        </bottom>
      </border>
    </dxf>
    <dxf>
      <border>
        <top style="thin">
          <color indexed="64"/>
        </top>
      </border>
    </dxf>
    <dxf>
      <border diagonalUp="0" diagonalDown="0">
        <left style="double">
          <color indexed="64"/>
        </left>
        <right style="double">
          <color auto="1"/>
        </right>
        <top style="double">
          <color indexed="64"/>
        </top>
        <bottom style="double">
          <color auto="1"/>
        </bottom>
      </border>
    </dxf>
    <dxf>
      <font>
        <b val="0"/>
        <strike val="0"/>
        <outline val="0"/>
        <shadow val="0"/>
        <u val="none"/>
        <vertAlign val="baseline"/>
        <sz val="10"/>
        <name val="Dubai"/>
        <family val="2"/>
        <scheme val="none"/>
      </font>
    </dxf>
    <dxf>
      <border>
        <bottom style="thin">
          <color indexed="64"/>
        </bottom>
      </border>
    </dxf>
    <dxf>
      <font>
        <b val="0"/>
        <strike val="0"/>
        <outline val="0"/>
        <shadow val="0"/>
        <vertAlign val="baseline"/>
        <name val="Segoe UI Semibold"/>
        <family val="2"/>
        <scheme val="none"/>
      </font>
      <border diagonalUp="0" diagonalDown="0" outline="0">
        <left style="thin">
          <color auto="1"/>
        </left>
        <right style="thin">
          <color auto="1"/>
        </right>
        <top/>
        <bottom/>
      </border>
    </dxf>
  </dxfs>
  <tableStyles count="1" defaultTableStyle="TableStyleMedium2" defaultPivotStyle="PivotStyleLight16">
    <tableStyle name="Invisible" pivot="0" table="0" count="0" xr9:uid="{408B9A51-A31C-4B54-8527-E4963ADFB9D8}"/>
  </tableStyles>
  <colors>
    <mruColors>
      <color rgb="FF3C57F6"/>
      <color rgb="FFCC0000"/>
      <color rgb="FFE6EBF6"/>
      <color rgb="FF1BADAD"/>
      <color rgb="FFE2E6FE"/>
      <color rgb="FFB2BDFC"/>
      <color rgb="FF66FF66"/>
      <color rgb="FFF2C6E0"/>
      <color rgb="FFFF7474"/>
      <color rgb="FFFDE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18.441500000000001</c:v>
                </c:pt>
              </c:numCache>
            </c:numRef>
          </c:val>
          <c:extLst>
            <c:ext xmlns:c16="http://schemas.microsoft.com/office/drawing/2014/chart" uri="{C3380CC4-5D6E-409C-BE32-E72D297353CC}">
              <c16:uniqueId val="{00000060-1370-47A0-943D-1774F294A287}"/>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15.2256</c:v>
                </c:pt>
              </c:numCache>
            </c:numRef>
          </c:val>
          <c:extLst>
            <c:ext xmlns:c16="http://schemas.microsoft.com/office/drawing/2014/chart" uri="{C3380CC4-5D6E-409C-BE32-E72D297353CC}">
              <c16:uniqueId val="{00000061-1370-47A0-943D-1774F294A287}"/>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18.561800000000005</c:v>
                </c:pt>
              </c:numCache>
            </c:numRef>
          </c:val>
          <c:extLst>
            <c:ext xmlns:c16="http://schemas.microsoft.com/office/drawing/2014/chart" uri="{C3380CC4-5D6E-409C-BE32-E72D297353CC}">
              <c16:uniqueId val="{0000008E-1370-47A0-943D-1774F294A287}"/>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15.365600000000001</c:v>
                </c:pt>
              </c:numCache>
            </c:numRef>
          </c:val>
          <c:extLst>
            <c:ext xmlns:c16="http://schemas.microsoft.com/office/drawing/2014/chart" uri="{C3380CC4-5D6E-409C-BE32-E72D297353CC}">
              <c16:uniqueId val="{0000008F-1370-47A0-943D-1774F294A287}"/>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PIVOT!$A$8</c:f>
              <c:strCache>
                <c:ptCount val="1"/>
                <c:pt idx="0">
                  <c:v>Sum of PV</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AFF8-4FD2-A913-3EEA2126E36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F8-4FD2-A913-3EEA2126E3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PIVOT!$A$9</c:f>
              <c:numCache>
                <c:formatCode>#,##0.00</c:formatCode>
                <c:ptCount val="1"/>
                <c:pt idx="0">
                  <c:v>732784258.5496819</c:v>
                </c:pt>
              </c:numCache>
            </c:numRef>
          </c:val>
          <c:extLst>
            <c:ext xmlns:c16="http://schemas.microsoft.com/office/drawing/2014/chart" uri="{C3380CC4-5D6E-409C-BE32-E72D297353CC}">
              <c16:uniqueId val="{00000000-AFF8-4FD2-A913-3EEA2126E361}"/>
            </c:ext>
          </c:extLst>
        </c:ser>
        <c:ser>
          <c:idx val="1"/>
          <c:order val="1"/>
          <c:tx>
            <c:strRef>
              <c:f>PIVOT!$B$8</c:f>
              <c:strCache>
                <c:ptCount val="1"/>
                <c:pt idx="0">
                  <c:v>Sum of EV</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PIVOT!$B$9</c:f>
              <c:numCache>
                <c:formatCode>#,##0.00</c:formatCode>
                <c:ptCount val="1"/>
                <c:pt idx="0">
                  <c:v>721150242.95116317</c:v>
                </c:pt>
              </c:numCache>
            </c:numRef>
          </c:val>
          <c:extLst>
            <c:ext xmlns:c16="http://schemas.microsoft.com/office/drawing/2014/chart" uri="{C3380CC4-5D6E-409C-BE32-E72D297353CC}">
              <c16:uniqueId val="{00000001-AFF8-4FD2-A913-3EEA2126E361}"/>
            </c:ext>
          </c:extLst>
        </c:ser>
        <c:dLbls>
          <c:showLegendKey val="0"/>
          <c:showVal val="0"/>
          <c:showCatName val="0"/>
          <c:showSerName val="0"/>
          <c:showPercent val="0"/>
          <c:showBubbleSize val="0"/>
        </c:dLbls>
        <c:gapWidth val="182"/>
        <c:axId val="1870287024"/>
        <c:axId val="1870294224"/>
      </c:barChart>
      <c:catAx>
        <c:axId val="18702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94224"/>
        <c:crosses val="autoZero"/>
        <c:auto val="1"/>
        <c:lblAlgn val="ctr"/>
        <c:lblOffset val="100"/>
        <c:noMultiLvlLbl val="0"/>
      </c:catAx>
      <c:valAx>
        <c:axId val="187029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8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1042.1983326533557</c:v>
                </c:pt>
              </c:numCache>
            </c:numRef>
          </c:val>
          <c:extLst>
            <c:ext xmlns:c16="http://schemas.microsoft.com/office/drawing/2014/chart" uri="{C3380CC4-5D6E-409C-BE32-E72D297353CC}">
              <c16:uniqueId val="{00000000-598C-4D23-87B7-FBD37686B295}"/>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1941.1000000000001</c:v>
                </c:pt>
              </c:numCache>
            </c:numRef>
          </c:val>
          <c:extLst>
            <c:ext xmlns:c16="http://schemas.microsoft.com/office/drawing/2014/chart" uri="{C3380CC4-5D6E-409C-BE32-E72D297353CC}">
              <c16:uniqueId val="{00000001-598C-4D23-87B7-FBD37686B295}"/>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15-10-2026.xlsx]PIVOT!PivotTable1</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2"/>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18.441500000000001</c:v>
                </c:pt>
              </c:numCache>
            </c:numRef>
          </c:val>
          <c:extLst>
            <c:ext xmlns:c16="http://schemas.microsoft.com/office/drawing/2014/chart" uri="{C3380CC4-5D6E-409C-BE32-E72D297353CC}">
              <c16:uniqueId val="{00000000-C0A2-42D3-8583-4E65BA5E2078}"/>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15.2256</c:v>
                </c:pt>
              </c:numCache>
            </c:numRef>
          </c:val>
          <c:extLst>
            <c:ext xmlns:c16="http://schemas.microsoft.com/office/drawing/2014/chart" uri="{C3380CC4-5D6E-409C-BE32-E72D297353CC}">
              <c16:uniqueId val="{00000001-C0A2-42D3-8583-4E65BA5E2078}"/>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18.561800000000005</c:v>
                </c:pt>
              </c:numCache>
            </c:numRef>
          </c:val>
          <c:extLst>
            <c:ext xmlns:c16="http://schemas.microsoft.com/office/drawing/2014/chart" uri="{C3380CC4-5D6E-409C-BE32-E72D297353CC}">
              <c16:uniqueId val="{00000002-C0A2-42D3-8583-4E65BA5E2078}"/>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15.365600000000001</c:v>
                </c:pt>
              </c:numCache>
            </c:numRef>
          </c:val>
          <c:extLst>
            <c:ext xmlns:c16="http://schemas.microsoft.com/office/drawing/2014/chart" uri="{C3380CC4-5D6E-409C-BE32-E72D297353CC}">
              <c16:uniqueId val="{00000003-C0A2-42D3-8583-4E65BA5E2078}"/>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1042.1983326533557</c:v>
                </c:pt>
              </c:numCache>
            </c:numRef>
          </c:val>
          <c:extLst>
            <c:ext xmlns:c16="http://schemas.microsoft.com/office/drawing/2014/chart" uri="{C3380CC4-5D6E-409C-BE32-E72D297353CC}">
              <c16:uniqueId val="{00000000-CFB6-426F-B7F5-E4B0AFC99991}"/>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1941.1000000000001</c:v>
                </c:pt>
              </c:numCache>
            </c:numRef>
          </c:val>
          <c:extLst>
            <c:ext xmlns:c16="http://schemas.microsoft.com/office/drawing/2014/chart" uri="{C3380CC4-5D6E-409C-BE32-E72D297353CC}">
              <c16:uniqueId val="{00000001-CFB6-426F-B7F5-E4B0AFC99991}"/>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- 10%!PivotTable1</c:name>
    <c:fmtId val="0"/>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FF0000"/>
          </a:solidFill>
          <a:ln>
            <a:noFill/>
          </a:ln>
          <a:effectLst/>
        </c:spPr>
      </c:pivotFmt>
      <c:pivotFmt>
        <c:idx val="6"/>
        <c:spPr>
          <a:solidFill>
            <a:srgbClr val="FFC000"/>
          </a:solidFill>
          <a:ln>
            <a:noFill/>
          </a:ln>
          <a:effectLst/>
        </c:spPr>
      </c:pivotFmt>
      <c:pivotFmt>
        <c:idx val="7"/>
        <c:spPr>
          <a:solidFill>
            <a:schemeClr val="tx1"/>
          </a:solidFill>
          <a:ln>
            <a:noFill/>
          </a:ln>
          <a:effectLst/>
        </c:spPr>
      </c:pivotFmt>
    </c:pivotFmts>
    <c:plotArea>
      <c:layout/>
      <c:barChart>
        <c:barDir val="col"/>
        <c:grouping val="clustered"/>
        <c:varyColors val="0"/>
        <c:ser>
          <c:idx val="0"/>
          <c:order val="0"/>
          <c:tx>
            <c:strRef>
              <c:f>'Pivot - 10%'!$C$5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B46-4019-B415-CBD55D61CF98}"/>
              </c:ext>
            </c:extLst>
          </c:dPt>
          <c:dPt>
            <c:idx val="1"/>
            <c:invertIfNegative val="0"/>
            <c:bubble3D val="0"/>
            <c:extLst>
              <c:ext xmlns:c16="http://schemas.microsoft.com/office/drawing/2014/chart" uri="{C3380CC4-5D6E-409C-BE32-E72D297353CC}">
                <c16:uniqueId val="{00000001-C0C9-4241-9AA7-25A27F9EB20B}"/>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3-C0C9-4241-9AA7-25A27F9EB20B}"/>
              </c:ext>
            </c:extLst>
          </c:dPt>
          <c:dPt>
            <c:idx val="3"/>
            <c:invertIfNegative val="0"/>
            <c:bubble3D val="0"/>
            <c:spPr>
              <a:solidFill>
                <a:srgbClr val="FF0000"/>
              </a:solidFill>
              <a:ln>
                <a:noFill/>
              </a:ln>
              <a:effectLst/>
            </c:spPr>
            <c:extLst>
              <c:ext xmlns:c16="http://schemas.microsoft.com/office/drawing/2014/chart" uri="{C3380CC4-5D6E-409C-BE32-E72D297353CC}">
                <c16:uniqueId val="{00000005-C0C9-4241-9AA7-25A27F9EB20B}"/>
              </c:ext>
            </c:extLst>
          </c:dPt>
          <c:dPt>
            <c:idx val="4"/>
            <c:invertIfNegative val="0"/>
            <c:bubble3D val="0"/>
            <c:spPr>
              <a:solidFill>
                <a:srgbClr val="FFC000"/>
              </a:solidFill>
              <a:ln>
                <a:noFill/>
              </a:ln>
              <a:effectLst/>
            </c:spPr>
            <c:extLst>
              <c:ext xmlns:c16="http://schemas.microsoft.com/office/drawing/2014/chart" uri="{C3380CC4-5D6E-409C-BE32-E72D297353CC}">
                <c16:uniqueId val="{00000007-AA52-429F-A26A-BE4FF847D25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- 10%'!$B$6:$B$11</c:f>
              <c:strCache>
                <c:ptCount val="5"/>
                <c:pt idx="0">
                  <c:v>منتظم</c:v>
                </c:pt>
                <c:pt idx="1">
                  <c:v>مكتمل التنفيذ</c:v>
                </c:pt>
                <c:pt idx="2">
                  <c:v>متقدم</c:v>
                </c:pt>
                <c:pt idx="3">
                  <c:v>متعثر</c:v>
                </c:pt>
                <c:pt idx="4">
                  <c:v>متأخر</c:v>
                </c:pt>
              </c:strCache>
            </c:strRef>
          </c:cat>
          <c:val>
            <c:numRef>
              <c:f>'Pivot - 10%'!$C$6:$C$11</c:f>
              <c:numCache>
                <c:formatCode>General</c:formatCode>
                <c:ptCount val="5"/>
                <c:pt idx="0">
                  <c:v>21</c:v>
                </c:pt>
                <c:pt idx="1">
                  <c:v>1</c:v>
                </c:pt>
                <c:pt idx="2">
                  <c:v>20</c:v>
                </c:pt>
                <c:pt idx="3">
                  <c:v>4</c:v>
                </c:pt>
                <c:pt idx="4">
                  <c:v>5</c:v>
                </c:pt>
              </c:numCache>
            </c:numRef>
          </c:val>
          <c:extLst>
            <c:ext xmlns:c16="http://schemas.microsoft.com/office/drawing/2014/chart" uri="{C3380CC4-5D6E-409C-BE32-E72D297353CC}">
              <c16:uniqueId val="{00000013-3661-43F1-9752-7A59955FFDAF}"/>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- 10%!PivotTable6</c:name>
    <c:fmtId val="4"/>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Projects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1BADAD"/>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barChart>
        <c:barDir val="col"/>
        <c:grouping val="clustered"/>
        <c:varyColors val="0"/>
        <c:ser>
          <c:idx val="0"/>
          <c:order val="0"/>
          <c:tx>
            <c:strRef>
              <c:f>'Pivot - 10%'!$C$44</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noFill/>
              </a:ln>
              <a:effectLst/>
            </c:spPr>
            <c:extLst>
              <c:ext xmlns:c16="http://schemas.microsoft.com/office/drawing/2014/chart" uri="{C3380CC4-5D6E-409C-BE32-E72D297353CC}">
                <c16:uniqueId val="{00000002-CD3A-48C2-B360-4B041073AE21}"/>
              </c:ext>
            </c:extLst>
          </c:dPt>
          <c:dPt>
            <c:idx val="1"/>
            <c:invertIfNegative val="0"/>
            <c:bubble3D val="0"/>
            <c:spPr>
              <a:solidFill>
                <a:srgbClr val="0070C0"/>
              </a:solidFill>
              <a:ln>
                <a:noFill/>
              </a:ln>
              <a:effectLst/>
            </c:spPr>
            <c:extLst>
              <c:ext xmlns:c16="http://schemas.microsoft.com/office/drawing/2014/chart" uri="{C3380CC4-5D6E-409C-BE32-E72D297353CC}">
                <c16:uniqueId val="{00000003-CD3A-48C2-B360-4B041073AE21}"/>
              </c:ext>
            </c:extLst>
          </c:dPt>
          <c:dPt>
            <c:idx val="2"/>
            <c:invertIfNegative val="0"/>
            <c:bubble3D val="0"/>
            <c:spPr>
              <a:solidFill>
                <a:srgbClr val="FFC000"/>
              </a:solidFill>
              <a:ln>
                <a:noFill/>
              </a:ln>
              <a:effectLst/>
            </c:spPr>
            <c:extLst>
              <c:ext xmlns:c16="http://schemas.microsoft.com/office/drawing/2014/chart" uri="{C3380CC4-5D6E-409C-BE32-E72D297353CC}">
                <c16:uniqueId val="{00000004-CD3A-48C2-B360-4B041073AE21}"/>
              </c:ext>
            </c:extLst>
          </c:dPt>
          <c:dPt>
            <c:idx val="3"/>
            <c:invertIfNegative val="0"/>
            <c:bubble3D val="0"/>
            <c:extLst>
              <c:ext xmlns:c16="http://schemas.microsoft.com/office/drawing/2014/chart" uri="{C3380CC4-5D6E-409C-BE32-E72D297353CC}">
                <c16:uniqueId val="{00000006-CD3A-48C2-B360-4B041073AE21}"/>
              </c:ext>
            </c:extLst>
          </c:dPt>
          <c:dPt>
            <c:idx val="4"/>
            <c:invertIfNegative val="0"/>
            <c:bubble3D val="0"/>
            <c:extLst>
              <c:ext xmlns:c16="http://schemas.microsoft.com/office/drawing/2014/chart" uri="{C3380CC4-5D6E-409C-BE32-E72D297353CC}">
                <c16:uniqueId val="{00000005-CD3A-48C2-B360-4B041073A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- 10%'!$B$45:$B$48</c:f>
              <c:strCache>
                <c:ptCount val="3"/>
                <c:pt idx="0">
                  <c:v>متقدم</c:v>
                </c:pt>
                <c:pt idx="1">
                  <c:v>منتظم</c:v>
                </c:pt>
                <c:pt idx="2">
                  <c:v>متأخر</c:v>
                </c:pt>
              </c:strCache>
            </c:strRef>
          </c:cat>
          <c:val>
            <c:numRef>
              <c:f>'Pivot - 10%'!$C$45:$C$48</c:f>
              <c:numCache>
                <c:formatCode>General</c:formatCode>
                <c:ptCount val="3"/>
                <c:pt idx="0">
                  <c:v>5</c:v>
                </c:pt>
                <c:pt idx="1">
                  <c:v>7</c:v>
                </c:pt>
                <c:pt idx="2">
                  <c:v>4</c:v>
                </c:pt>
              </c:numCache>
            </c:numRef>
          </c:val>
          <c:extLst>
            <c:ext xmlns:c16="http://schemas.microsoft.com/office/drawing/2014/chart" uri="{C3380CC4-5D6E-409C-BE32-E72D297353CC}">
              <c16:uniqueId val="{00000000-CD3A-48C2-B360-4B041073AE21}"/>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- 10%!PivotTable5</c:name>
    <c:fmtId val="4"/>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pivotFmt>
      <c:pivotFmt>
        <c:idx val="3"/>
        <c:spPr>
          <a:solidFill>
            <a:srgbClr val="00B050"/>
          </a:solidFill>
          <a:ln>
            <a:noFill/>
          </a:ln>
          <a:effectLst/>
        </c:spPr>
      </c:pivotFmt>
      <c:pivotFmt>
        <c:idx val="4"/>
        <c:spPr>
          <a:solidFill>
            <a:srgbClr val="00B0F0"/>
          </a:solidFill>
          <a:ln>
            <a:noFill/>
          </a:ln>
          <a:effectLst/>
        </c:spPr>
      </c:pivotFmt>
      <c:pivotFmt>
        <c:idx val="5"/>
        <c:spPr>
          <a:solidFill>
            <a:srgbClr val="0070C0"/>
          </a:solidFill>
          <a:ln>
            <a:noFill/>
          </a:ln>
          <a:effectLst/>
        </c:spPr>
      </c:pivotFmt>
    </c:pivotFmts>
    <c:plotArea>
      <c:layout/>
      <c:barChart>
        <c:barDir val="col"/>
        <c:grouping val="clustered"/>
        <c:varyColors val="0"/>
        <c:ser>
          <c:idx val="0"/>
          <c:order val="0"/>
          <c:tx>
            <c:strRef>
              <c:f>'Pivot - 10%'!$C$37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- 10%'!$B$38:$B$41</c:f>
              <c:strCache>
                <c:ptCount val="3"/>
                <c:pt idx="0">
                  <c:v>صرف</c:v>
                </c:pt>
                <c:pt idx="1">
                  <c:v>مياه</c:v>
                </c:pt>
                <c:pt idx="2">
                  <c:v>ساحلية</c:v>
                </c:pt>
              </c:strCache>
            </c:strRef>
          </c:cat>
          <c:val>
            <c:numRef>
              <c:f>'Pivot - 10%'!$C$38:$C$41</c:f>
              <c:numCache>
                <c:formatCode>General</c:formatCode>
                <c:ptCount val="3"/>
                <c:pt idx="0">
                  <c:v>16</c:v>
                </c:pt>
                <c:pt idx="1">
                  <c:v>25</c:v>
                </c:pt>
                <c:pt idx="2">
                  <c:v>10</c:v>
                </c:pt>
              </c:numCache>
            </c:numRef>
          </c:val>
          <c:extLst>
            <c:ext xmlns:c16="http://schemas.microsoft.com/office/drawing/2014/chart" uri="{C3380CC4-5D6E-409C-BE32-E72D297353CC}">
              <c16:uniqueId val="{00000009-ABCD-4A09-8224-BBF760DB568F}"/>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Projects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1BADAD"/>
          </a:solidFill>
          <a:ln>
            <a:noFill/>
          </a:ln>
          <a:effectLst/>
        </c:spPr>
      </c:pivotFmt>
    </c:pivotFmts>
    <c:plotArea>
      <c:layout/>
      <c:barChart>
        <c:barDir val="col"/>
        <c:grouping val="clustered"/>
        <c:varyColors val="0"/>
        <c:ser>
          <c:idx val="0"/>
          <c:order val="0"/>
          <c:tx>
            <c:strRef>
              <c:f>'Pivot - 10%'!$C$54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855C-42E2-8B09-8C2A66E61ACB}"/>
              </c:ext>
            </c:extLst>
          </c:dPt>
          <c:dPt>
            <c:idx val="1"/>
            <c:invertIfNegative val="0"/>
            <c:bubble3D val="0"/>
            <c:spPr>
              <a:solidFill>
                <a:srgbClr val="00B050"/>
              </a:solidFill>
              <a:ln>
                <a:noFill/>
              </a:ln>
              <a:effectLst/>
            </c:spPr>
            <c:extLst>
              <c:ext xmlns:c16="http://schemas.microsoft.com/office/drawing/2014/chart" uri="{C3380CC4-5D6E-409C-BE32-E72D297353CC}">
                <c16:uniqueId val="{00000003-EEE9-4354-A89C-282F55018C48}"/>
              </c:ext>
            </c:extLst>
          </c:dPt>
          <c:dPt>
            <c:idx val="2"/>
            <c:invertIfNegative val="0"/>
            <c:bubble3D val="0"/>
            <c:spPr>
              <a:solidFill>
                <a:srgbClr val="1BADAD"/>
              </a:solidFill>
              <a:ln>
                <a:noFill/>
              </a:ln>
              <a:effectLst/>
            </c:spPr>
            <c:extLst>
              <c:ext xmlns:c16="http://schemas.microsoft.com/office/drawing/2014/chart" uri="{C3380CC4-5D6E-409C-BE32-E72D297353CC}">
                <c16:uniqueId val="{00000003-855C-42E2-8B09-8C2A66E61ACB}"/>
              </c:ext>
            </c:extLst>
          </c:dPt>
          <c:dPt>
            <c:idx val="3"/>
            <c:invertIfNegative val="0"/>
            <c:bubble3D val="0"/>
            <c:spPr>
              <a:solidFill>
                <a:srgbClr val="FFC000"/>
              </a:solidFill>
              <a:ln>
                <a:noFill/>
              </a:ln>
              <a:effectLst/>
            </c:spPr>
            <c:extLst>
              <c:ext xmlns:c16="http://schemas.microsoft.com/office/drawing/2014/chart" uri="{C3380CC4-5D6E-409C-BE32-E72D297353CC}">
                <c16:uniqueId val="{00000004-855C-42E2-8B09-8C2A66E61A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- 10%'!$B$55:$B$59</c:f>
              <c:strCache>
                <c:ptCount val="4"/>
                <c:pt idx="0">
                  <c:v>متعثر</c:v>
                </c:pt>
                <c:pt idx="1">
                  <c:v>متقدم</c:v>
                </c:pt>
                <c:pt idx="2">
                  <c:v>منتظم</c:v>
                </c:pt>
                <c:pt idx="3">
                  <c:v>متأخر</c:v>
                </c:pt>
              </c:strCache>
            </c:strRef>
          </c:cat>
          <c:val>
            <c:numRef>
              <c:f>'Pivot - 10%'!$C$55:$C$59</c:f>
              <c:numCache>
                <c:formatCode>General</c:formatCode>
                <c:ptCount val="4"/>
                <c:pt idx="0">
                  <c:v>2</c:v>
                </c:pt>
                <c:pt idx="1">
                  <c:v>12</c:v>
                </c:pt>
                <c:pt idx="2">
                  <c:v>10</c:v>
                </c:pt>
                <c:pt idx="3">
                  <c:v>1</c:v>
                </c:pt>
              </c:numCache>
            </c:numRef>
          </c:val>
          <c:extLst>
            <c:ext xmlns:c16="http://schemas.microsoft.com/office/drawing/2014/chart" uri="{C3380CC4-5D6E-409C-BE32-E72D297353CC}">
              <c16:uniqueId val="{00000000-855C-42E2-8B09-8C2A66E61ACB}"/>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- 10%!PivotTable2</c:name>
    <c:fmtId val="5"/>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s>
    <c:plotArea>
      <c:layout/>
      <c:barChart>
        <c:barDir val="col"/>
        <c:grouping val="clustered"/>
        <c:varyColors val="0"/>
        <c:ser>
          <c:idx val="0"/>
          <c:order val="0"/>
          <c:tx>
            <c:strRef>
              <c:f>'Pivot - 10%'!$C$13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- 10%'!$B$14:$B$17</c:f>
              <c:strCache>
                <c:ptCount val="3"/>
                <c:pt idx="0">
                  <c:v>❌</c:v>
                </c:pt>
                <c:pt idx="1">
                  <c:v>✔️</c:v>
                </c:pt>
                <c:pt idx="2">
                  <c:v>➖</c:v>
                </c:pt>
              </c:strCache>
            </c:strRef>
          </c:cat>
          <c:val>
            <c:numRef>
              <c:f>'Pivot - 10%'!$C$14:$C$17</c:f>
              <c:numCache>
                <c:formatCode>General</c:formatCode>
                <c:ptCount val="3"/>
                <c:pt idx="0">
                  <c:v>6</c:v>
                </c:pt>
                <c:pt idx="1">
                  <c:v>3</c:v>
                </c:pt>
                <c:pt idx="2">
                  <c:v>42</c:v>
                </c:pt>
              </c:numCache>
            </c:numRef>
          </c:val>
          <c:extLst>
            <c:ext xmlns:c16="http://schemas.microsoft.com/office/drawing/2014/chart" uri="{C3380CC4-5D6E-409C-BE32-E72D297353CC}">
              <c16:uniqueId val="{00000008-0D0E-4ACE-9139-674D4D7409A7}"/>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- 10%!PivotTable4</c:name>
    <c:fmtId val="11"/>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ADAD"/>
          </a:solidFill>
          <a:ln>
            <a:noFill/>
          </a:ln>
          <a:effectLst/>
        </c:spPr>
      </c:pivotFmt>
      <c:pivotFmt>
        <c:idx val="2"/>
        <c:spPr>
          <a:solidFill>
            <a:srgbClr val="FF0000"/>
          </a:solidFill>
          <a:ln>
            <a:noFill/>
          </a:ln>
          <a:effectLst/>
        </c:spPr>
      </c:pivotFmt>
      <c:pivotFmt>
        <c:idx val="3"/>
        <c:spPr>
          <a:solidFill>
            <a:schemeClr val="accent4"/>
          </a:solidFill>
          <a:ln>
            <a:noFill/>
          </a:ln>
          <a:effectLst/>
        </c:spPr>
      </c:pivotFmt>
    </c:pivotFmts>
    <c:plotArea>
      <c:layout/>
      <c:barChart>
        <c:barDir val="col"/>
        <c:grouping val="clustered"/>
        <c:varyColors val="0"/>
        <c:ser>
          <c:idx val="0"/>
          <c:order val="0"/>
          <c:tx>
            <c:strRef>
              <c:f>'Pivot - 10%'!$C$64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45BE-4F32-803D-2639E99EACB7}"/>
              </c:ext>
            </c:extLst>
          </c:dPt>
          <c:dPt>
            <c:idx val="1"/>
            <c:invertIfNegative val="0"/>
            <c:bubble3D val="0"/>
            <c:spPr>
              <a:solidFill>
                <a:srgbClr val="1BADAD"/>
              </a:solidFill>
              <a:ln>
                <a:noFill/>
              </a:ln>
              <a:effectLst/>
            </c:spPr>
            <c:extLst>
              <c:ext xmlns:c16="http://schemas.microsoft.com/office/drawing/2014/chart" uri="{C3380CC4-5D6E-409C-BE32-E72D297353CC}">
                <c16:uniqueId val="{00000003-A292-4DDF-95AE-CE0D8674E66B}"/>
              </c:ext>
            </c:extLst>
          </c:dPt>
          <c:dPt>
            <c:idx val="2"/>
            <c:invertIfNegative val="0"/>
            <c:bubble3D val="0"/>
            <c:extLst>
              <c:ext xmlns:c16="http://schemas.microsoft.com/office/drawing/2014/chart" uri="{C3380CC4-5D6E-409C-BE32-E72D297353CC}">
                <c16:uniqueId val="{00000004-35C6-4EE3-B834-E02F75977E01}"/>
              </c:ext>
            </c:extLst>
          </c:dPt>
          <c:dPt>
            <c:idx val="3"/>
            <c:invertIfNegative val="0"/>
            <c:bubble3D val="0"/>
            <c:extLst>
              <c:ext xmlns:c16="http://schemas.microsoft.com/office/drawing/2014/chart" uri="{C3380CC4-5D6E-409C-BE32-E72D297353CC}">
                <c16:uniqueId val="{00000006-45BE-4F32-803D-2639E99EAC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- 10%'!$B$65:$B$69</c:f>
              <c:strCache>
                <c:ptCount val="4"/>
                <c:pt idx="0">
                  <c:v>متعثر</c:v>
                </c:pt>
                <c:pt idx="1">
                  <c:v>متقدم</c:v>
                </c:pt>
                <c:pt idx="2">
                  <c:v>منتظم</c:v>
                </c:pt>
                <c:pt idx="3">
                  <c:v>مكتمل التنفيذ</c:v>
                </c:pt>
              </c:strCache>
            </c:strRef>
          </c:cat>
          <c:val>
            <c:numRef>
              <c:f>'Pivot - 10%'!$C$65:$C$69</c:f>
              <c:numCache>
                <c:formatCode>General</c:formatCode>
                <c:ptCount val="4"/>
                <c:pt idx="0">
                  <c:v>2</c:v>
                </c:pt>
                <c:pt idx="1">
                  <c:v>3</c:v>
                </c:pt>
                <c:pt idx="2">
                  <c:v>4</c:v>
                </c:pt>
                <c:pt idx="3">
                  <c:v>1</c:v>
                </c:pt>
              </c:numCache>
            </c:numRef>
          </c:val>
          <c:extLst>
            <c:ext xmlns:c16="http://schemas.microsoft.com/office/drawing/2014/chart" uri="{C3380CC4-5D6E-409C-BE32-E72D297353CC}">
              <c16:uniqueId val="{00000003-45BE-4F32-803D-2639E99EACB7}"/>
            </c:ext>
          </c:extLst>
        </c:ser>
        <c:dLbls>
          <c:showLegendKey val="0"/>
          <c:showVal val="0"/>
          <c:showCatName val="0"/>
          <c:showSerName val="0"/>
          <c:showPercent val="0"/>
          <c:showBubbleSize val="0"/>
        </c:dLbls>
        <c:gapWidth val="219"/>
        <c:overlap val="-27"/>
        <c:axId val="34848672"/>
        <c:axId val="34838112"/>
      </c:barChart>
      <c:catAx>
        <c:axId val="3484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8112"/>
        <c:crosses val="autoZero"/>
        <c:auto val="1"/>
        <c:lblAlgn val="ctr"/>
        <c:lblOffset val="100"/>
        <c:noMultiLvlLbl val="0"/>
      </c:catAx>
      <c:valAx>
        <c:axId val="34838112"/>
        <c:scaling>
          <c:orientation val="minMax"/>
        </c:scaling>
        <c:delete val="1"/>
        <c:axPos val="l"/>
        <c:numFmt formatCode="General" sourceLinked="1"/>
        <c:majorTickMark val="none"/>
        <c:minorTickMark val="none"/>
        <c:tickLblPos val="nextTo"/>
        <c:crossAx val="3484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- 5%!PivotTable1</c:name>
    <c:fmtId val="6"/>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C00000"/>
          </a:solidFill>
          <a:ln>
            <a:noFill/>
          </a:ln>
          <a:effectLst/>
        </c:spPr>
      </c:pivotFmt>
      <c:pivotFmt>
        <c:idx val="6"/>
        <c:spPr>
          <a:solidFill>
            <a:srgbClr val="FF0000"/>
          </a:solidFill>
          <a:ln>
            <a:noFill/>
          </a:ln>
          <a:effectLst/>
        </c:spPr>
      </c:pivotFmt>
      <c:pivotFmt>
        <c:idx val="7"/>
        <c:spPr>
          <a:solidFill>
            <a:schemeClr val="tx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1BADAD"/>
          </a:solidFill>
          <a:ln>
            <a:solidFill>
              <a:srgbClr val="00B050"/>
            </a:solidFill>
          </a:ln>
          <a:effectLst/>
        </c:spPr>
      </c:pivotFmt>
      <c:pivotFmt>
        <c:idx val="11"/>
        <c:spPr>
          <a:solidFill>
            <a:srgbClr val="FF0000"/>
          </a:solidFill>
          <a:ln>
            <a:noFill/>
          </a:ln>
          <a:effectLst/>
        </c:spPr>
      </c:pivotFmt>
    </c:pivotFmts>
    <c:plotArea>
      <c:layout/>
      <c:barChart>
        <c:barDir val="col"/>
        <c:grouping val="clustered"/>
        <c:varyColors val="0"/>
        <c:ser>
          <c:idx val="0"/>
          <c:order val="0"/>
          <c:tx>
            <c:strRef>
              <c:f>'Pivot - 5%'!$C$5</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solidFill>
                  <a:srgbClr val="00B050"/>
                </a:solidFill>
              </a:ln>
              <a:effectLst/>
            </c:spPr>
            <c:extLst>
              <c:ext xmlns:c16="http://schemas.microsoft.com/office/drawing/2014/chart" uri="{C3380CC4-5D6E-409C-BE32-E72D297353CC}">
                <c16:uniqueId val="{00000000-D413-4455-BD28-369C07DE74AD}"/>
              </c:ext>
            </c:extLst>
          </c:dPt>
          <c:dPt>
            <c:idx val="1"/>
            <c:invertIfNegative val="0"/>
            <c:bubble3D val="0"/>
            <c:extLst>
              <c:ext xmlns:c16="http://schemas.microsoft.com/office/drawing/2014/chart" uri="{C3380CC4-5D6E-409C-BE32-E72D297353CC}">
                <c16:uniqueId val="{00000002-D413-4455-BD28-369C07DE74AD}"/>
              </c:ext>
            </c:extLst>
          </c:dPt>
          <c:dPt>
            <c:idx val="2"/>
            <c:invertIfNegative val="0"/>
            <c:bubble3D val="0"/>
            <c:spPr>
              <a:solidFill>
                <a:srgbClr val="FFC000"/>
              </a:solidFill>
              <a:ln>
                <a:noFill/>
              </a:ln>
              <a:effectLst/>
            </c:spPr>
            <c:extLst>
              <c:ext xmlns:c16="http://schemas.microsoft.com/office/drawing/2014/chart" uri="{C3380CC4-5D6E-409C-BE32-E72D297353CC}">
                <c16:uniqueId val="{00000004-D413-4455-BD28-369C07DE74AD}"/>
              </c:ext>
            </c:extLst>
          </c:dPt>
          <c:dPt>
            <c:idx val="3"/>
            <c:invertIfNegative val="0"/>
            <c:bubble3D val="0"/>
            <c:spPr>
              <a:solidFill>
                <a:srgbClr val="FF0000"/>
              </a:solidFill>
              <a:ln>
                <a:noFill/>
              </a:ln>
              <a:effectLst/>
            </c:spPr>
            <c:extLst>
              <c:ext xmlns:c16="http://schemas.microsoft.com/office/drawing/2014/chart" uri="{C3380CC4-5D6E-409C-BE32-E72D297353CC}">
                <c16:uniqueId val="{00000006-D413-4455-BD28-369C07DE74AD}"/>
              </c:ext>
            </c:extLst>
          </c:dPt>
          <c:dPt>
            <c:idx val="4"/>
            <c:invertIfNegative val="0"/>
            <c:bubble3D val="0"/>
            <c:extLst>
              <c:ext xmlns:c16="http://schemas.microsoft.com/office/drawing/2014/chart" uri="{C3380CC4-5D6E-409C-BE32-E72D297353CC}">
                <c16:uniqueId val="{00000007-D413-4455-BD28-369C07DE74AD}"/>
              </c:ext>
            </c:extLst>
          </c:dPt>
          <c:dPt>
            <c:idx val="5"/>
            <c:invertIfNegative val="0"/>
            <c:bubble3D val="0"/>
            <c:extLst>
              <c:ext xmlns:c16="http://schemas.microsoft.com/office/drawing/2014/chart" uri="{C3380CC4-5D6E-409C-BE32-E72D297353CC}">
                <c16:uniqueId val="{00000008-D413-4455-BD28-369C07DE74AD}"/>
              </c:ext>
            </c:extLst>
          </c:dPt>
          <c:dPt>
            <c:idx val="6"/>
            <c:invertIfNegative val="0"/>
            <c:bubble3D val="0"/>
            <c:extLst>
              <c:ext xmlns:c16="http://schemas.microsoft.com/office/drawing/2014/chart" uri="{C3380CC4-5D6E-409C-BE32-E72D297353CC}">
                <c16:uniqueId val="{00000009-D413-4455-BD28-369C07DE74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- 5%'!$B$6:$B$11</c:f>
              <c:strCache>
                <c:ptCount val="5"/>
                <c:pt idx="0">
                  <c:v>متقدم</c:v>
                </c:pt>
                <c:pt idx="1">
                  <c:v>منتظم</c:v>
                </c:pt>
                <c:pt idx="2">
                  <c:v>متأخر</c:v>
                </c:pt>
                <c:pt idx="3">
                  <c:v>متعثر</c:v>
                </c:pt>
                <c:pt idx="4">
                  <c:v>مكتمل التنفيذ</c:v>
                </c:pt>
              </c:strCache>
            </c:strRef>
          </c:cat>
          <c:val>
            <c:numRef>
              <c:f>'Pivot - 5%'!$C$6:$C$11</c:f>
              <c:numCache>
                <c:formatCode>General</c:formatCode>
                <c:ptCount val="5"/>
                <c:pt idx="0">
                  <c:v>20</c:v>
                </c:pt>
                <c:pt idx="1">
                  <c:v>15</c:v>
                </c:pt>
                <c:pt idx="2">
                  <c:v>11</c:v>
                </c:pt>
                <c:pt idx="3">
                  <c:v>4</c:v>
                </c:pt>
                <c:pt idx="4">
                  <c:v>1</c:v>
                </c:pt>
              </c:numCache>
            </c:numRef>
          </c:val>
          <c:extLst>
            <c:ext xmlns:c16="http://schemas.microsoft.com/office/drawing/2014/chart" uri="{C3380CC4-5D6E-409C-BE32-E72D297353CC}">
              <c16:uniqueId val="{0000000A-D413-4455-BD28-369C07DE74AD}"/>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- 5%!PivotTable6</c:name>
    <c:fmtId val="9"/>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1BADAD"/>
          </a:solidFill>
          <a:ln>
            <a:noFill/>
          </a:ln>
          <a:effectLst/>
        </c:spPr>
      </c:pivotFmt>
      <c:pivotFmt>
        <c:idx val="9"/>
        <c:spPr>
          <a:solidFill>
            <a:srgbClr val="0070C0"/>
          </a:solidFill>
          <a:ln>
            <a:noFill/>
          </a:ln>
          <a:effectLst/>
        </c:spPr>
      </c:pivotFmt>
      <c:pivotFmt>
        <c:idx val="10"/>
        <c:spPr>
          <a:solidFill>
            <a:srgbClr val="FFC000"/>
          </a:solidFill>
          <a:ln>
            <a:noFill/>
          </a:ln>
          <a:effectLst/>
        </c:spPr>
      </c:pivotFmt>
    </c:pivotFmts>
    <c:plotArea>
      <c:layout/>
      <c:barChart>
        <c:barDir val="col"/>
        <c:grouping val="clustered"/>
        <c:varyColors val="0"/>
        <c:ser>
          <c:idx val="0"/>
          <c:order val="0"/>
          <c:tx>
            <c:strRef>
              <c:f>'Pivot - 5%'!$C$44</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noFill/>
              </a:ln>
              <a:effectLst/>
            </c:spPr>
            <c:extLst>
              <c:ext xmlns:c16="http://schemas.microsoft.com/office/drawing/2014/chart" uri="{C3380CC4-5D6E-409C-BE32-E72D297353CC}">
                <c16:uniqueId val="{00000001-396E-41CA-B73D-2CEB4213A203}"/>
              </c:ext>
            </c:extLst>
          </c:dPt>
          <c:dPt>
            <c:idx val="1"/>
            <c:invertIfNegative val="0"/>
            <c:bubble3D val="0"/>
            <c:spPr>
              <a:solidFill>
                <a:srgbClr val="0070C0"/>
              </a:solidFill>
              <a:ln>
                <a:noFill/>
              </a:ln>
              <a:effectLst/>
            </c:spPr>
            <c:extLst>
              <c:ext xmlns:c16="http://schemas.microsoft.com/office/drawing/2014/chart" uri="{C3380CC4-5D6E-409C-BE32-E72D297353CC}">
                <c16:uniqueId val="{00000003-396E-41CA-B73D-2CEB4213A203}"/>
              </c:ext>
            </c:extLst>
          </c:dPt>
          <c:dPt>
            <c:idx val="2"/>
            <c:invertIfNegative val="0"/>
            <c:bubble3D val="0"/>
            <c:spPr>
              <a:solidFill>
                <a:srgbClr val="FFC000"/>
              </a:solidFill>
              <a:ln>
                <a:noFill/>
              </a:ln>
              <a:effectLst/>
            </c:spPr>
            <c:extLst>
              <c:ext xmlns:c16="http://schemas.microsoft.com/office/drawing/2014/chart" uri="{C3380CC4-5D6E-409C-BE32-E72D297353CC}">
                <c16:uniqueId val="{00000005-396E-41CA-B73D-2CEB4213A203}"/>
              </c:ext>
            </c:extLst>
          </c:dPt>
          <c:dPt>
            <c:idx val="3"/>
            <c:invertIfNegative val="0"/>
            <c:bubble3D val="0"/>
            <c:extLst>
              <c:ext xmlns:c16="http://schemas.microsoft.com/office/drawing/2014/chart" uri="{C3380CC4-5D6E-409C-BE32-E72D297353CC}">
                <c16:uniqueId val="{00000006-396E-41CA-B73D-2CEB4213A203}"/>
              </c:ext>
            </c:extLst>
          </c:dPt>
          <c:dPt>
            <c:idx val="4"/>
            <c:invertIfNegative val="0"/>
            <c:bubble3D val="0"/>
            <c:extLst>
              <c:ext xmlns:c16="http://schemas.microsoft.com/office/drawing/2014/chart" uri="{C3380CC4-5D6E-409C-BE32-E72D297353CC}">
                <c16:uniqueId val="{00000007-396E-41CA-B73D-2CEB4213A2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- 5%'!$B$45:$B$48</c:f>
              <c:strCache>
                <c:ptCount val="3"/>
                <c:pt idx="0">
                  <c:v>متقدم</c:v>
                </c:pt>
                <c:pt idx="1">
                  <c:v>منتظم</c:v>
                </c:pt>
                <c:pt idx="2">
                  <c:v>متأخر</c:v>
                </c:pt>
              </c:strCache>
            </c:strRef>
          </c:cat>
          <c:val>
            <c:numRef>
              <c:f>'Pivot - 5%'!$C$45:$C$48</c:f>
              <c:numCache>
                <c:formatCode>General</c:formatCode>
                <c:ptCount val="3"/>
                <c:pt idx="0">
                  <c:v>5</c:v>
                </c:pt>
                <c:pt idx="1">
                  <c:v>4</c:v>
                </c:pt>
                <c:pt idx="2">
                  <c:v>7</c:v>
                </c:pt>
              </c:numCache>
            </c:numRef>
          </c:val>
          <c:extLst>
            <c:ext xmlns:c16="http://schemas.microsoft.com/office/drawing/2014/chart" uri="{C3380CC4-5D6E-409C-BE32-E72D297353CC}">
              <c16:uniqueId val="{00000008-396E-41CA-B73D-2CEB4213A203}"/>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- 5%!PivotTable5</c:name>
    <c:fmtId val="9"/>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rgbClr val="00B050"/>
          </a:solidFill>
          <a:ln>
            <a:noFill/>
          </a:ln>
          <a:effectLst/>
        </c:spPr>
      </c:pivotFmt>
      <c:pivotFmt>
        <c:idx val="8"/>
        <c:spPr>
          <a:solidFill>
            <a:srgbClr val="00B0F0"/>
          </a:solidFill>
          <a:ln>
            <a:noFill/>
          </a:ln>
          <a:effectLst/>
        </c:spPr>
      </c:pivotFmt>
      <c:pivotFmt>
        <c:idx val="9"/>
        <c:spPr>
          <a:solidFill>
            <a:srgbClr val="0070C0"/>
          </a:solidFill>
          <a:ln>
            <a:noFill/>
          </a:ln>
          <a:effectLst/>
        </c:spPr>
      </c:pivotFmt>
    </c:pivotFmts>
    <c:plotArea>
      <c:layout/>
      <c:barChart>
        <c:barDir val="col"/>
        <c:grouping val="clustered"/>
        <c:varyColors val="0"/>
        <c:ser>
          <c:idx val="0"/>
          <c:order val="0"/>
          <c:tx>
            <c:strRef>
              <c:f>'Pivot - 5%'!$C$37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- 5%'!$B$38:$B$41</c:f>
              <c:strCache>
                <c:ptCount val="3"/>
                <c:pt idx="0">
                  <c:v>صرف</c:v>
                </c:pt>
                <c:pt idx="1">
                  <c:v>مياه</c:v>
                </c:pt>
                <c:pt idx="2">
                  <c:v>ساحلية</c:v>
                </c:pt>
              </c:strCache>
            </c:strRef>
          </c:cat>
          <c:val>
            <c:numRef>
              <c:f>'Pivot - 5%'!$C$38:$C$41</c:f>
              <c:numCache>
                <c:formatCode>General</c:formatCode>
                <c:ptCount val="3"/>
                <c:pt idx="0">
                  <c:v>16</c:v>
                </c:pt>
                <c:pt idx="1">
                  <c:v>25</c:v>
                </c:pt>
                <c:pt idx="2">
                  <c:v>10</c:v>
                </c:pt>
              </c:numCache>
            </c:numRef>
          </c:val>
          <c:extLst>
            <c:ext xmlns:c16="http://schemas.microsoft.com/office/drawing/2014/chart" uri="{C3380CC4-5D6E-409C-BE32-E72D297353CC}">
              <c16:uniqueId val="{00000000-07CC-4B0B-9221-16A647CD1C74}"/>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ADAD"/>
          </a:solidFill>
          <a:ln>
            <a:noFill/>
          </a:ln>
          <a:effectLst/>
        </c:spPr>
      </c:pivotFmt>
      <c:pivotFmt>
        <c:idx val="6"/>
        <c:spPr>
          <a:solidFill>
            <a:srgbClr val="FF0000"/>
          </a:solidFill>
          <a:ln>
            <a:noFill/>
          </a:ln>
          <a:effectLst/>
        </c:spPr>
      </c:pivotFmt>
      <c:pivotFmt>
        <c:idx val="7"/>
        <c:spPr>
          <a:solidFill>
            <a:srgbClr val="FFC000"/>
          </a:solidFill>
          <a:ln>
            <a:noFill/>
          </a:ln>
          <a:effectLst/>
        </c:spPr>
      </c:pivotFmt>
    </c:pivotFmts>
    <c:plotArea>
      <c:layout/>
      <c:barChart>
        <c:barDir val="col"/>
        <c:grouping val="clustered"/>
        <c:varyColors val="0"/>
        <c:ser>
          <c:idx val="0"/>
          <c:order val="0"/>
          <c:tx>
            <c:strRef>
              <c:f>'Pivot - 5%'!$C$54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8D7F-4618-9543-57C090FA9514}"/>
              </c:ext>
            </c:extLst>
          </c:dPt>
          <c:dPt>
            <c:idx val="1"/>
            <c:invertIfNegative val="0"/>
            <c:bubble3D val="0"/>
            <c:spPr>
              <a:solidFill>
                <a:srgbClr val="FFC000"/>
              </a:solidFill>
              <a:ln>
                <a:noFill/>
              </a:ln>
              <a:effectLst/>
            </c:spPr>
            <c:extLst>
              <c:ext xmlns:c16="http://schemas.microsoft.com/office/drawing/2014/chart" uri="{C3380CC4-5D6E-409C-BE32-E72D297353CC}">
                <c16:uniqueId val="{00000001-8D7F-4618-9543-57C090FA9514}"/>
              </c:ext>
            </c:extLst>
          </c:dPt>
          <c:dPt>
            <c:idx val="2"/>
            <c:invertIfNegative val="0"/>
            <c:bubble3D val="0"/>
            <c:spPr>
              <a:solidFill>
                <a:srgbClr val="1BADAD"/>
              </a:solidFill>
              <a:ln>
                <a:noFill/>
              </a:ln>
              <a:effectLst/>
            </c:spPr>
            <c:extLst>
              <c:ext xmlns:c16="http://schemas.microsoft.com/office/drawing/2014/chart" uri="{C3380CC4-5D6E-409C-BE32-E72D297353CC}">
                <c16:uniqueId val="{00000003-8D7F-4618-9543-57C090FA9514}"/>
              </c:ext>
            </c:extLst>
          </c:dPt>
          <c:dPt>
            <c:idx val="3"/>
            <c:invertIfNegative val="0"/>
            <c:bubble3D val="0"/>
            <c:extLst>
              <c:ext xmlns:c16="http://schemas.microsoft.com/office/drawing/2014/chart" uri="{C3380CC4-5D6E-409C-BE32-E72D297353CC}">
                <c16:uniqueId val="{00000005-8D7F-4618-9543-57C090FA9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- 5%'!$B$55:$B$59</c:f>
              <c:strCache>
                <c:ptCount val="4"/>
                <c:pt idx="0">
                  <c:v>متعثر</c:v>
                </c:pt>
                <c:pt idx="1">
                  <c:v>متأخر</c:v>
                </c:pt>
                <c:pt idx="2">
                  <c:v>متقدم</c:v>
                </c:pt>
                <c:pt idx="3">
                  <c:v>منتظم</c:v>
                </c:pt>
              </c:strCache>
            </c:strRef>
          </c:cat>
          <c:val>
            <c:numRef>
              <c:f>'Pivot - 5%'!$C$55:$C$59</c:f>
              <c:numCache>
                <c:formatCode>General</c:formatCode>
                <c:ptCount val="4"/>
                <c:pt idx="0">
                  <c:v>2</c:v>
                </c:pt>
                <c:pt idx="1">
                  <c:v>3</c:v>
                </c:pt>
                <c:pt idx="2">
                  <c:v>12</c:v>
                </c:pt>
                <c:pt idx="3">
                  <c:v>8</c:v>
                </c:pt>
              </c:numCache>
            </c:numRef>
          </c:val>
          <c:extLst>
            <c:ext xmlns:c16="http://schemas.microsoft.com/office/drawing/2014/chart" uri="{C3380CC4-5D6E-409C-BE32-E72D297353CC}">
              <c16:uniqueId val="{00000006-8D7F-4618-9543-57C090FA9514}"/>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- 5%!PivotTable2</c:name>
    <c:fmtId val="7"/>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- 5%'!$C$13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BD9-458B-82D4-AC6BE8212952}"/>
              </c:ext>
            </c:extLst>
          </c:dPt>
          <c:dPt>
            <c:idx val="1"/>
            <c:invertIfNegative val="0"/>
            <c:bubble3D val="0"/>
            <c:extLst>
              <c:ext xmlns:c16="http://schemas.microsoft.com/office/drawing/2014/chart" uri="{C3380CC4-5D6E-409C-BE32-E72D297353CC}">
                <c16:uniqueId val="{00000001-8BD9-458B-82D4-AC6BE8212952}"/>
              </c:ext>
            </c:extLst>
          </c:dPt>
          <c:dPt>
            <c:idx val="2"/>
            <c:invertIfNegative val="0"/>
            <c:bubble3D val="0"/>
            <c:extLst>
              <c:ext xmlns:c16="http://schemas.microsoft.com/office/drawing/2014/chart" uri="{C3380CC4-5D6E-409C-BE32-E72D297353CC}">
                <c16:uniqueId val="{00000002-8BD9-458B-82D4-AC6BE8212952}"/>
              </c:ext>
            </c:extLst>
          </c:dPt>
          <c:dPt>
            <c:idx val="3"/>
            <c:invertIfNegative val="0"/>
            <c:bubble3D val="0"/>
            <c:extLst>
              <c:ext xmlns:c16="http://schemas.microsoft.com/office/drawing/2014/chart" uri="{C3380CC4-5D6E-409C-BE32-E72D297353CC}">
                <c16:uniqueId val="{00000003-8BD9-458B-82D4-AC6BE821295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- 5%'!$B$14:$B$17</c:f>
              <c:strCache>
                <c:ptCount val="3"/>
                <c:pt idx="0">
                  <c:v>❌</c:v>
                </c:pt>
                <c:pt idx="1">
                  <c:v>✔️</c:v>
                </c:pt>
                <c:pt idx="2">
                  <c:v>➖</c:v>
                </c:pt>
              </c:strCache>
            </c:strRef>
          </c:cat>
          <c:val>
            <c:numRef>
              <c:f>'Pivot - 5%'!$C$14:$C$17</c:f>
              <c:numCache>
                <c:formatCode>General</c:formatCode>
                <c:ptCount val="3"/>
                <c:pt idx="0">
                  <c:v>12</c:v>
                </c:pt>
                <c:pt idx="1">
                  <c:v>3</c:v>
                </c:pt>
                <c:pt idx="2">
                  <c:v>36</c:v>
                </c:pt>
              </c:numCache>
            </c:numRef>
          </c:val>
          <c:extLst>
            <c:ext xmlns:c16="http://schemas.microsoft.com/office/drawing/2014/chart" uri="{C3380CC4-5D6E-409C-BE32-E72D297353CC}">
              <c16:uniqueId val="{00000004-8BD9-458B-82D4-AC6BE8212952}"/>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15-10-2026.xlsx]Pivot - 5%!PivotTable3</c:name>
    <c:fmtId val="12"/>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1BADAD"/>
          </a:solidFill>
          <a:ln>
            <a:noFill/>
          </a:ln>
          <a:effectLst/>
        </c:spPr>
      </c:pivotFmt>
      <c:pivotFmt>
        <c:idx val="3"/>
        <c:spPr>
          <a:solidFill>
            <a:srgbClr val="FFC000"/>
          </a:solidFill>
          <a:ln>
            <a:noFill/>
          </a:ln>
          <a:effectLst/>
        </c:spPr>
      </c:pivotFmt>
    </c:pivotFmts>
    <c:plotArea>
      <c:layout/>
      <c:barChart>
        <c:barDir val="col"/>
        <c:grouping val="clustered"/>
        <c:varyColors val="0"/>
        <c:ser>
          <c:idx val="0"/>
          <c:order val="0"/>
          <c:tx>
            <c:strRef>
              <c:f>'Pivot - 5%'!$C$63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0C57-411B-A7E2-7164E71CC90A}"/>
              </c:ext>
            </c:extLst>
          </c:dPt>
          <c:dPt>
            <c:idx val="1"/>
            <c:invertIfNegative val="0"/>
            <c:bubble3D val="0"/>
            <c:spPr>
              <a:solidFill>
                <a:srgbClr val="1BADAD"/>
              </a:solidFill>
              <a:ln>
                <a:noFill/>
              </a:ln>
              <a:effectLst/>
            </c:spPr>
            <c:extLst>
              <c:ext xmlns:c16="http://schemas.microsoft.com/office/drawing/2014/chart" uri="{C3380CC4-5D6E-409C-BE32-E72D297353CC}">
                <c16:uniqueId val="{00000002-0A91-4543-91ED-0A4C4311CC5A}"/>
              </c:ext>
            </c:extLst>
          </c:dPt>
          <c:dPt>
            <c:idx val="2"/>
            <c:invertIfNegative val="0"/>
            <c:bubble3D val="0"/>
            <c:extLst>
              <c:ext xmlns:c16="http://schemas.microsoft.com/office/drawing/2014/chart" uri="{C3380CC4-5D6E-409C-BE32-E72D297353CC}">
                <c16:uniqueId val="{00000003-0C57-411B-A7E2-7164E71CC90A}"/>
              </c:ext>
            </c:extLst>
          </c:dPt>
          <c:dPt>
            <c:idx val="3"/>
            <c:invertIfNegative val="0"/>
            <c:bubble3D val="0"/>
            <c:spPr>
              <a:solidFill>
                <a:srgbClr val="FFC000"/>
              </a:solidFill>
              <a:ln>
                <a:noFill/>
              </a:ln>
              <a:effectLst/>
            </c:spPr>
            <c:extLst>
              <c:ext xmlns:c16="http://schemas.microsoft.com/office/drawing/2014/chart" uri="{C3380CC4-5D6E-409C-BE32-E72D297353CC}">
                <c16:uniqueId val="{00000002-0C57-411B-A7E2-7164E71CC9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- 5%'!$B$64:$B$69</c:f>
              <c:strCache>
                <c:ptCount val="5"/>
                <c:pt idx="0">
                  <c:v>متعثر</c:v>
                </c:pt>
                <c:pt idx="1">
                  <c:v>متقدم</c:v>
                </c:pt>
                <c:pt idx="2">
                  <c:v>منتظم</c:v>
                </c:pt>
                <c:pt idx="3">
                  <c:v>متأخر</c:v>
                </c:pt>
                <c:pt idx="4">
                  <c:v>مكتمل التنفيذ</c:v>
                </c:pt>
              </c:strCache>
            </c:strRef>
          </c:cat>
          <c:val>
            <c:numRef>
              <c:f>'Pivot - 5%'!$C$64:$C$69</c:f>
              <c:numCache>
                <c:formatCode>General</c:formatCode>
                <c:ptCount val="5"/>
                <c:pt idx="0">
                  <c:v>2</c:v>
                </c:pt>
                <c:pt idx="1">
                  <c:v>3</c:v>
                </c:pt>
                <c:pt idx="2">
                  <c:v>3</c:v>
                </c:pt>
                <c:pt idx="3">
                  <c:v>1</c:v>
                </c:pt>
                <c:pt idx="4">
                  <c:v>1</c:v>
                </c:pt>
              </c:numCache>
            </c:numRef>
          </c:val>
          <c:extLst>
            <c:ext xmlns:c16="http://schemas.microsoft.com/office/drawing/2014/chart" uri="{C3380CC4-5D6E-409C-BE32-E72D297353CC}">
              <c16:uniqueId val="{00000000-0C57-411B-A7E2-7164E71CC90A}"/>
            </c:ext>
          </c:extLst>
        </c:ser>
        <c:dLbls>
          <c:showLegendKey val="0"/>
          <c:showVal val="0"/>
          <c:showCatName val="0"/>
          <c:showSerName val="0"/>
          <c:showPercent val="0"/>
          <c:showBubbleSize val="0"/>
        </c:dLbls>
        <c:gapWidth val="219"/>
        <c:overlap val="-27"/>
        <c:axId val="1899061679"/>
        <c:axId val="1899068399"/>
      </c:barChart>
      <c:catAx>
        <c:axId val="18990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8399"/>
        <c:crosses val="autoZero"/>
        <c:auto val="1"/>
        <c:lblAlgn val="ctr"/>
        <c:lblOffset val="100"/>
        <c:noMultiLvlLbl val="0"/>
      </c:catAx>
      <c:valAx>
        <c:axId val="189906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للتعثر 2'!$M$3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2'!$A$3:$L$3</c:f>
              <c:numCache>
                <c:formatCode>General</c:formatCode>
                <c:ptCount val="12"/>
                <c:pt idx="0">
                  <c:v>2</c:v>
                </c:pt>
                <c:pt idx="1">
                  <c:v>4</c:v>
                </c:pt>
                <c:pt idx="2">
                  <c:v>9</c:v>
                </c:pt>
                <c:pt idx="3">
                  <c:v>10</c:v>
                </c:pt>
                <c:pt idx="4">
                  <c:v>8</c:v>
                </c:pt>
                <c:pt idx="5">
                  <c:v>7</c:v>
                </c:pt>
                <c:pt idx="6">
                  <c:v>5</c:v>
                </c:pt>
                <c:pt idx="7">
                  <c:v>4</c:v>
                </c:pt>
                <c:pt idx="8">
                  <c:v>2</c:v>
                </c:pt>
                <c:pt idx="9">
                  <c:v>8</c:v>
                </c:pt>
                <c:pt idx="10">
                  <c:v>9</c:v>
                </c:pt>
                <c:pt idx="11">
                  <c:v>5</c:v>
                </c:pt>
              </c:numCache>
            </c:numRef>
          </c:val>
          <c:extLst>
            <c:ext xmlns:c16="http://schemas.microsoft.com/office/drawing/2014/chart" uri="{C3380CC4-5D6E-409C-BE32-E72D297353CC}">
              <c16:uniqueId val="{00000000-FA4F-4FED-AEDD-FA09A91D732E}"/>
            </c:ext>
          </c:extLst>
        </c:ser>
        <c:ser>
          <c:idx val="2"/>
          <c:order val="1"/>
          <c:tx>
            <c:strRef>
              <c:f>'الرسم البياني للتعثر 2'!$M$4</c:f>
              <c:strCache>
                <c:ptCount val="1"/>
                <c:pt idx="0">
                  <c:v>عدد المشاريع المتوقع تعثرها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2'!$A$4:$L$4</c:f>
              <c:numCache>
                <c:formatCode>General</c:formatCode>
                <c:ptCount val="12"/>
                <c:pt idx="5">
                  <c:v>6</c:v>
                </c:pt>
                <c:pt idx="6">
                  <c:v>7</c:v>
                </c:pt>
                <c:pt idx="7">
                  <c:v>4</c:v>
                </c:pt>
                <c:pt idx="8">
                  <c:v>2</c:v>
                </c:pt>
                <c:pt idx="9">
                  <c:v>11</c:v>
                </c:pt>
                <c:pt idx="10">
                  <c:v>6</c:v>
                </c:pt>
                <c:pt idx="11">
                  <c:v>5</c:v>
                </c:pt>
              </c:numCache>
            </c:numRef>
          </c:val>
          <c:extLst>
            <c:ext xmlns:c16="http://schemas.microsoft.com/office/drawing/2014/chart" uri="{C3380CC4-5D6E-409C-BE32-E72D297353CC}">
              <c16:uniqueId val="{00000000-F159-4FAE-874A-A4D1EF02F32E}"/>
            </c:ext>
          </c:extLst>
        </c:ser>
        <c:ser>
          <c:idx val="1"/>
          <c:order val="2"/>
          <c:tx>
            <c:strRef>
              <c:f>'الرسم البياني للتعثر 2'!$M$5</c:f>
              <c:strCache>
                <c:ptCount val="1"/>
                <c:pt idx="0">
                  <c:v>عدد المشاريع المتعثرة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2'!$A$5:$L$5</c:f>
              <c:numCache>
                <c:formatCode>General</c:formatCode>
                <c:ptCount val="12"/>
                <c:pt idx="5">
                  <c:v>3</c:v>
                </c:pt>
                <c:pt idx="6">
                  <c:v>5</c:v>
                </c:pt>
                <c:pt idx="7">
                  <c:v>4</c:v>
                </c:pt>
                <c:pt idx="8">
                  <c:v>2</c:v>
                </c:pt>
                <c:pt idx="9">
                  <c:v>11</c:v>
                </c:pt>
                <c:pt idx="10">
                  <c:v>6</c:v>
                </c:pt>
                <c:pt idx="11">
                  <c:v>5</c:v>
                </c:pt>
              </c:numCache>
            </c:numRef>
          </c:val>
          <c:extLst>
            <c:ext xmlns:c16="http://schemas.microsoft.com/office/drawing/2014/chart" uri="{C3380CC4-5D6E-409C-BE32-E72D297353CC}">
              <c16:uniqueId val="{00000001-FA4F-4FED-AEDD-FA09A91D732E}"/>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1الرسم البياني للتعثر'!$M$3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للتعثر'!$A$3:$L$3</c:f>
              <c:numCache>
                <c:formatCode>General</c:formatCode>
                <c:ptCount val="12"/>
                <c:pt idx="0">
                  <c:v>2</c:v>
                </c:pt>
                <c:pt idx="1">
                  <c:v>4</c:v>
                </c:pt>
                <c:pt idx="2">
                  <c:v>8</c:v>
                </c:pt>
                <c:pt idx="3">
                  <c:v>11</c:v>
                </c:pt>
                <c:pt idx="4">
                  <c:v>9</c:v>
                </c:pt>
                <c:pt idx="5">
                  <c:v>7</c:v>
                </c:pt>
                <c:pt idx="6">
                  <c:v>5</c:v>
                </c:pt>
                <c:pt idx="7">
                  <c:v>6</c:v>
                </c:pt>
                <c:pt idx="8">
                  <c:v>8</c:v>
                </c:pt>
                <c:pt idx="9">
                  <c:v>8</c:v>
                </c:pt>
                <c:pt idx="10">
                  <c:v>9</c:v>
                </c:pt>
                <c:pt idx="11">
                  <c:v>5</c:v>
                </c:pt>
              </c:numCache>
            </c:numRef>
          </c:val>
          <c:extLst>
            <c:ext xmlns:c16="http://schemas.microsoft.com/office/drawing/2014/chart" uri="{C3380CC4-5D6E-409C-BE32-E72D297353CC}">
              <c16:uniqueId val="{00000000-002F-409C-A2E1-6E74900BBA0B}"/>
            </c:ext>
          </c:extLst>
        </c:ser>
        <c:ser>
          <c:idx val="1"/>
          <c:order val="1"/>
          <c:tx>
            <c:strRef>
              <c:f>' 1الرسم البياني للتعثر'!$M$4</c:f>
              <c:strCache>
                <c:ptCount val="1"/>
                <c:pt idx="0">
                  <c:v>عدد المشاريع المتعثرة فعليا</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للتعثر'!$A$4:$L$4</c:f>
              <c:numCache>
                <c:formatCode>General</c:formatCode>
                <c:ptCount val="12"/>
                <c:pt idx="10">
                  <c:v>6</c:v>
                </c:pt>
                <c:pt idx="11">
                  <c:v>5</c:v>
                </c:pt>
              </c:numCache>
            </c:numRef>
          </c:val>
          <c:extLst>
            <c:ext xmlns:c16="http://schemas.microsoft.com/office/drawing/2014/chart" uri="{C3380CC4-5D6E-409C-BE32-E72D297353CC}">
              <c16:uniqueId val="{00000002-002F-409C-A2E1-6E74900BBA0B}"/>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التأخر</a:t>
            </a:r>
            <a:r>
              <a:rPr lang="ar-SA" baseline="0"/>
              <a:t> للعام </a:t>
            </a:r>
            <a:r>
              <a:rPr lang="ar-SA"/>
              <a:t>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للتأخر '!$M$3</c:f>
              <c:strCache>
                <c:ptCount val="1"/>
                <c:pt idx="0">
                  <c:v>عدد المشاريع المتوقع تأخرها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'!$A$3:$L$3</c:f>
              <c:numCache>
                <c:formatCode>General</c:formatCode>
                <c:ptCount val="12"/>
                <c:pt idx="0">
                  <c:v>5</c:v>
                </c:pt>
                <c:pt idx="1">
                  <c:v>2</c:v>
                </c:pt>
                <c:pt idx="2">
                  <c:v>1</c:v>
                </c:pt>
                <c:pt idx="3">
                  <c:v>1</c:v>
                </c:pt>
                <c:pt idx="4">
                  <c:v>1</c:v>
                </c:pt>
                <c:pt idx="5">
                  <c:v>2</c:v>
                </c:pt>
                <c:pt idx="6">
                  <c:v>0</c:v>
                </c:pt>
                <c:pt idx="7">
                  <c:v>8</c:v>
                </c:pt>
                <c:pt idx="8">
                  <c:v>25</c:v>
                </c:pt>
                <c:pt idx="9">
                  <c:v>28</c:v>
                </c:pt>
                <c:pt idx="10">
                  <c:v>19</c:v>
                </c:pt>
                <c:pt idx="11">
                  <c:v>20</c:v>
                </c:pt>
              </c:numCache>
            </c:numRef>
          </c:val>
          <c:extLst>
            <c:ext xmlns:c16="http://schemas.microsoft.com/office/drawing/2014/chart" uri="{C3380CC4-5D6E-409C-BE32-E72D297353CC}">
              <c16:uniqueId val="{00000000-725A-42B9-A0D9-F2F0D1BC86F6}"/>
            </c:ext>
          </c:extLst>
        </c:ser>
        <c:ser>
          <c:idx val="2"/>
          <c:order val="1"/>
          <c:tx>
            <c:strRef>
              <c:f>'الرسم البياني للتأخر '!$M$4</c:f>
              <c:strCache>
                <c:ptCount val="1"/>
                <c:pt idx="0">
                  <c:v>عدد المشاريع المتوقع تأخرها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'!$A$4:$L$4</c:f>
              <c:numCache>
                <c:formatCode>General</c:formatCode>
                <c:ptCount val="12"/>
                <c:pt idx="5">
                  <c:v>7</c:v>
                </c:pt>
                <c:pt idx="6">
                  <c:v>0</c:v>
                </c:pt>
                <c:pt idx="7">
                  <c:v>8</c:v>
                </c:pt>
                <c:pt idx="8">
                  <c:v>6</c:v>
                </c:pt>
                <c:pt idx="9">
                  <c:v>15</c:v>
                </c:pt>
                <c:pt idx="10">
                  <c:v>13</c:v>
                </c:pt>
                <c:pt idx="11">
                  <c:v>16</c:v>
                </c:pt>
              </c:numCache>
            </c:numRef>
          </c:val>
          <c:extLst>
            <c:ext xmlns:c16="http://schemas.microsoft.com/office/drawing/2014/chart" uri="{C3380CC4-5D6E-409C-BE32-E72D297353CC}">
              <c16:uniqueId val="{00000000-7E57-4C70-A7A9-435775D94225}"/>
            </c:ext>
          </c:extLst>
        </c:ser>
        <c:ser>
          <c:idx val="1"/>
          <c:order val="2"/>
          <c:tx>
            <c:strRef>
              <c:f>'الرسم البياني للتأخر '!$M$5</c:f>
              <c:strCache>
                <c:ptCount val="1"/>
                <c:pt idx="0">
                  <c:v>عدد المشاريع المتأخرة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'!$A$5:$L$5</c:f>
              <c:numCache>
                <c:formatCode>General</c:formatCode>
                <c:ptCount val="12"/>
                <c:pt idx="5">
                  <c:v>6</c:v>
                </c:pt>
                <c:pt idx="6">
                  <c:v>6</c:v>
                </c:pt>
                <c:pt idx="7">
                  <c:v>7</c:v>
                </c:pt>
                <c:pt idx="8">
                  <c:v>6</c:v>
                </c:pt>
                <c:pt idx="9">
                  <c:v>10</c:v>
                </c:pt>
                <c:pt idx="10">
                  <c:v>8</c:v>
                </c:pt>
                <c:pt idx="11">
                  <c:v>9</c:v>
                </c:pt>
              </c:numCache>
            </c:numRef>
          </c:val>
          <c:extLst>
            <c:ext xmlns:c16="http://schemas.microsoft.com/office/drawing/2014/chart" uri="{C3380CC4-5D6E-409C-BE32-E72D297353CC}">
              <c16:uniqueId val="{00000001-725A-42B9-A0D9-F2F0D1BC86F6}"/>
            </c:ext>
          </c:extLst>
        </c:ser>
        <c:ser>
          <c:idx val="3"/>
          <c:order val="3"/>
          <c:tx>
            <c:strRef>
              <c:f>'الرسم البياني للتأخر '!$M$6</c:f>
              <c:strCache>
                <c:ptCount val="1"/>
                <c:pt idx="0">
                  <c:v>عدد المشاريع المتوقع معالجتها</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'!$A$6:$L$6</c:f>
              <c:numCache>
                <c:formatCode>General</c:formatCode>
                <c:ptCount val="12"/>
                <c:pt idx="5">
                  <c:v>1</c:v>
                </c:pt>
                <c:pt idx="6">
                  <c:v>5</c:v>
                </c:pt>
                <c:pt idx="7">
                  <c:v>5</c:v>
                </c:pt>
                <c:pt idx="8">
                  <c:v>3</c:v>
                </c:pt>
                <c:pt idx="9">
                  <c:v>0</c:v>
                </c:pt>
                <c:pt idx="10">
                  <c:v>0</c:v>
                </c:pt>
                <c:pt idx="11">
                  <c:v>0</c:v>
                </c:pt>
              </c:numCache>
            </c:numRef>
          </c:val>
          <c:extLst>
            <c:ext xmlns:c16="http://schemas.microsoft.com/office/drawing/2014/chart" uri="{C3380CC4-5D6E-409C-BE32-E72D297353CC}">
              <c16:uniqueId val="{00000000-1648-44E9-9232-5124A3DB0381}"/>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'1'!$B$5</c:f>
              <c:strCache>
                <c:ptCount val="1"/>
                <c:pt idx="0">
                  <c:v>عدد المشاريع المتعثرة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'1'!$AQ$4:$BG$4</c:f>
              <c:numCache>
                <c:formatCode>d\-mmm</c:formatCode>
                <c:ptCount val="17"/>
                <c:pt idx="0">
                  <c:v>46107</c:v>
                </c:pt>
                <c:pt idx="1">
                  <c:v>46114</c:v>
                </c:pt>
                <c:pt idx="2">
                  <c:v>46121</c:v>
                </c:pt>
                <c:pt idx="3">
                  <c:v>46128</c:v>
                </c:pt>
                <c:pt idx="4">
                  <c:v>46135</c:v>
                </c:pt>
                <c:pt idx="5">
                  <c:v>46142</c:v>
                </c:pt>
                <c:pt idx="6">
                  <c:v>46149</c:v>
                </c:pt>
                <c:pt idx="7">
                  <c:v>46156</c:v>
                </c:pt>
                <c:pt idx="8">
                  <c:v>46163</c:v>
                </c:pt>
                <c:pt idx="9">
                  <c:v>46170</c:v>
                </c:pt>
                <c:pt idx="10">
                  <c:v>46177</c:v>
                </c:pt>
                <c:pt idx="11">
                  <c:v>46184</c:v>
                </c:pt>
                <c:pt idx="12">
                  <c:v>46191</c:v>
                </c:pt>
                <c:pt idx="13">
                  <c:v>46198</c:v>
                </c:pt>
                <c:pt idx="14">
                  <c:v>46205</c:v>
                </c:pt>
                <c:pt idx="15">
                  <c:v>46212</c:v>
                </c:pt>
                <c:pt idx="16">
                  <c:v>46219</c:v>
                </c:pt>
              </c:numCache>
            </c:numRef>
          </c:cat>
          <c:val>
            <c:numRef>
              <c:f>'1'!$AQ$5:$BG$5</c:f>
              <c:numCache>
                <c:formatCode>General</c:formatCode>
                <c:ptCount val="17"/>
                <c:pt idx="0">
                  <c:v>11</c:v>
                </c:pt>
                <c:pt idx="1">
                  <c:v>8</c:v>
                </c:pt>
                <c:pt idx="2">
                  <c:v>6</c:v>
                </c:pt>
                <c:pt idx="3">
                  <c:v>5</c:v>
                </c:pt>
                <c:pt idx="4">
                  <c:v>3</c:v>
                </c:pt>
                <c:pt idx="5">
                  <c:v>2</c:v>
                </c:pt>
                <c:pt idx="6">
                  <c:v>4</c:v>
                </c:pt>
                <c:pt idx="7">
                  <c:v>4</c:v>
                </c:pt>
                <c:pt idx="8">
                  <c:v>4</c:v>
                </c:pt>
                <c:pt idx="9">
                  <c:v>4</c:v>
                </c:pt>
                <c:pt idx="10">
                  <c:v>4</c:v>
                </c:pt>
                <c:pt idx="11">
                  <c:v>4</c:v>
                </c:pt>
                <c:pt idx="12">
                  <c:v>3</c:v>
                </c:pt>
                <c:pt idx="13">
                  <c:v>3</c:v>
                </c:pt>
                <c:pt idx="14">
                  <c:v>5</c:v>
                </c:pt>
                <c:pt idx="15">
                  <c:v>3</c:v>
                </c:pt>
                <c:pt idx="16">
                  <c:v>3</c:v>
                </c:pt>
              </c:numCache>
            </c:numRef>
          </c:val>
          <c:extLst>
            <c:ext xmlns:c16="http://schemas.microsoft.com/office/drawing/2014/chart" uri="{C3380CC4-5D6E-409C-BE32-E72D297353CC}">
              <c16:uniqueId val="{00000000-D888-4354-85D1-2BAB766C8393}"/>
            </c:ext>
          </c:extLst>
        </c:ser>
        <c:dLbls>
          <c:showLegendKey val="0"/>
          <c:showVal val="0"/>
          <c:showCatName val="0"/>
          <c:showSerName val="0"/>
          <c:showPercent val="0"/>
          <c:showBubbleSize val="0"/>
        </c:dLbls>
        <c:gapWidth val="219"/>
        <c:overlap val="-27"/>
        <c:axId val="1855191968"/>
        <c:axId val="1855194368"/>
      </c:barChart>
      <c:dateAx>
        <c:axId val="1855191968"/>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4368"/>
        <c:crosses val="autoZero"/>
        <c:auto val="1"/>
        <c:lblOffset val="100"/>
        <c:baseTimeUnit val="days"/>
        <c:majorUnit val="7"/>
        <c:majorTimeUnit val="days"/>
      </c:dateAx>
      <c:valAx>
        <c:axId val="185519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'2'!$B$5</c:f>
              <c:strCache>
                <c:ptCount val="1"/>
                <c:pt idx="0">
                  <c:v>عدد المشاريع المتأخرة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'2'!$AR$4:$BG$4</c:f>
              <c:numCache>
                <c:formatCode>d\-mmm</c:formatCode>
                <c:ptCount val="16"/>
                <c:pt idx="0">
                  <c:v>46114</c:v>
                </c:pt>
                <c:pt idx="1">
                  <c:v>46121</c:v>
                </c:pt>
                <c:pt idx="2">
                  <c:v>46128</c:v>
                </c:pt>
                <c:pt idx="3">
                  <c:v>46135</c:v>
                </c:pt>
                <c:pt idx="4">
                  <c:v>46142</c:v>
                </c:pt>
                <c:pt idx="5">
                  <c:v>46149</c:v>
                </c:pt>
                <c:pt idx="6">
                  <c:v>46156</c:v>
                </c:pt>
                <c:pt idx="7">
                  <c:v>46163</c:v>
                </c:pt>
                <c:pt idx="8">
                  <c:v>46170</c:v>
                </c:pt>
                <c:pt idx="9">
                  <c:v>46177</c:v>
                </c:pt>
                <c:pt idx="10">
                  <c:v>46184</c:v>
                </c:pt>
                <c:pt idx="11">
                  <c:v>46191</c:v>
                </c:pt>
                <c:pt idx="12">
                  <c:v>46198</c:v>
                </c:pt>
                <c:pt idx="13">
                  <c:v>46205</c:v>
                </c:pt>
                <c:pt idx="14">
                  <c:v>46212</c:v>
                </c:pt>
                <c:pt idx="15">
                  <c:v>46219</c:v>
                </c:pt>
              </c:numCache>
            </c:numRef>
          </c:cat>
          <c:val>
            <c:numRef>
              <c:f>'2'!$AR$5:$BG$5</c:f>
              <c:numCache>
                <c:formatCode>General</c:formatCode>
                <c:ptCount val="16"/>
                <c:pt idx="0">
                  <c:v>14</c:v>
                </c:pt>
                <c:pt idx="1">
                  <c:v>13</c:v>
                </c:pt>
                <c:pt idx="2">
                  <c:v>15</c:v>
                </c:pt>
                <c:pt idx="3">
                  <c:v>6</c:v>
                </c:pt>
                <c:pt idx="4">
                  <c:v>6</c:v>
                </c:pt>
                <c:pt idx="5">
                  <c:v>4</c:v>
                </c:pt>
                <c:pt idx="6">
                  <c:v>5</c:v>
                </c:pt>
                <c:pt idx="7">
                  <c:v>5</c:v>
                </c:pt>
                <c:pt idx="8">
                  <c:v>7</c:v>
                </c:pt>
                <c:pt idx="9">
                  <c:v>7</c:v>
                </c:pt>
                <c:pt idx="10">
                  <c:v>6</c:v>
                </c:pt>
                <c:pt idx="11">
                  <c:v>4</c:v>
                </c:pt>
                <c:pt idx="12">
                  <c:v>5</c:v>
                </c:pt>
                <c:pt idx="13">
                  <c:v>5</c:v>
                </c:pt>
                <c:pt idx="14">
                  <c:v>5</c:v>
                </c:pt>
                <c:pt idx="15">
                  <c:v>5</c:v>
                </c:pt>
              </c:numCache>
            </c:numRef>
          </c:val>
          <c:extLst>
            <c:ext xmlns:c16="http://schemas.microsoft.com/office/drawing/2014/chart" uri="{C3380CC4-5D6E-409C-BE32-E72D297353CC}">
              <c16:uniqueId val="{00000000-50BA-4311-B8F8-5D3A2A9C48FC}"/>
            </c:ext>
          </c:extLst>
        </c:ser>
        <c:dLbls>
          <c:showLegendKey val="0"/>
          <c:showVal val="0"/>
          <c:showCatName val="0"/>
          <c:showSerName val="0"/>
          <c:showPercent val="0"/>
          <c:showBubbleSize val="0"/>
        </c:dLbls>
        <c:gapWidth val="219"/>
        <c:overlap val="-27"/>
        <c:axId val="195399152"/>
        <c:axId val="195400112"/>
      </c:barChart>
      <c:dateAx>
        <c:axId val="195399152"/>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0112"/>
        <c:crosses val="autoZero"/>
        <c:auto val="1"/>
        <c:lblOffset val="100"/>
        <c:baseTimeUnit val="days"/>
        <c:majorUnit val="7"/>
        <c:majorTimeUnit val="days"/>
      </c:dateAx>
      <c:valAx>
        <c:axId val="1954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9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807720</xdr:colOff>
      <xdr:row>0</xdr:row>
      <xdr:rowOff>3810</xdr:rowOff>
    </xdr:from>
    <xdr:to>
      <xdr:col>12</xdr:col>
      <xdr:colOff>1021080</xdr:colOff>
      <xdr:row>15</xdr:row>
      <xdr:rowOff>3810</xdr:rowOff>
    </xdr:to>
    <xdr:graphicFrame macro="">
      <xdr:nvGraphicFramePr>
        <xdr:cNvPr id="2" name="Chart 1">
          <a:extLst>
            <a:ext uri="{FF2B5EF4-FFF2-40B4-BE49-F238E27FC236}">
              <a16:creationId xmlns:a16="http://schemas.microsoft.com/office/drawing/2014/main" id="{7EEF916D-20D0-2DAB-D164-19F92AECD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0</xdr:row>
      <xdr:rowOff>15240</xdr:rowOff>
    </xdr:from>
    <xdr:to>
      <xdr:col>17</xdr:col>
      <xdr:colOff>15240</xdr:colOff>
      <xdr:row>15</xdr:row>
      <xdr:rowOff>15240</xdr:rowOff>
    </xdr:to>
    <xdr:graphicFrame macro="">
      <xdr:nvGraphicFramePr>
        <xdr:cNvPr id="7" name="Chart 6">
          <a:extLst>
            <a:ext uri="{FF2B5EF4-FFF2-40B4-BE49-F238E27FC236}">
              <a16:creationId xmlns:a16="http://schemas.microsoft.com/office/drawing/2014/main" id="{284CF464-CB64-787A-DEA3-8E8CA5083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1051560</xdr:colOff>
      <xdr:row>15</xdr:row>
      <xdr:rowOff>114300</xdr:rowOff>
    </xdr:from>
    <xdr:to>
      <xdr:col>18</xdr:col>
      <xdr:colOff>609600</xdr:colOff>
      <xdr:row>30</xdr:row>
      <xdr:rowOff>114300</xdr:rowOff>
    </xdr:to>
    <xdr:graphicFrame macro="">
      <xdr:nvGraphicFramePr>
        <xdr:cNvPr id="8" name="Chart 7">
          <a:extLst>
            <a:ext uri="{FF2B5EF4-FFF2-40B4-BE49-F238E27FC236}">
              <a16:creationId xmlns:a16="http://schemas.microsoft.com/office/drawing/2014/main" id="{4ABF85CA-29B7-2650-1AD3-402419543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464820</xdr:colOff>
      <xdr:row>2</xdr:row>
      <xdr:rowOff>99060</xdr:rowOff>
    </xdr:from>
    <xdr:to>
      <xdr:col>4</xdr:col>
      <xdr:colOff>977809</xdr:colOff>
      <xdr:row>16</xdr:row>
      <xdr:rowOff>3810</xdr:rowOff>
    </xdr:to>
    <mc:AlternateContent xmlns:mc="http://schemas.openxmlformats.org/markup-compatibility/2006" xmlns:a14="http://schemas.microsoft.com/office/drawing/2010/main">
      <mc:Choice Requires="a14">
        <xdr:graphicFrame macro="">
          <xdr:nvGraphicFramePr>
            <xdr:cNvPr id="10" name="PO">
              <a:extLst>
                <a:ext uri="{FF2B5EF4-FFF2-40B4-BE49-F238E27FC236}">
                  <a16:creationId xmlns:a16="http://schemas.microsoft.com/office/drawing/2014/main" id="{72619EAA-EE55-B1D4-9664-02281A136354}"/>
                </a:ext>
              </a:extLst>
            </xdr:cNvPr>
            <xdr:cNvGraphicFramePr/>
          </xdr:nvGraphicFramePr>
          <xdr:xfrm>
            <a:off x="0" y="0"/>
            <a:ext cx="0" cy="0"/>
          </xdr:xfrm>
          <a:graphic>
            <a:graphicData uri="http://schemas.microsoft.com/office/drawing/2010/slicer">
              <sle:slicer xmlns:sle="http://schemas.microsoft.com/office/drawing/2010/slicer" name="PO"/>
            </a:graphicData>
          </a:graphic>
        </xdr:graphicFrame>
      </mc:Choice>
      <mc:Fallback xmlns="">
        <xdr:sp macro="" textlink="">
          <xdr:nvSpPr>
            <xdr:cNvPr id="0" name=""/>
            <xdr:cNvSpPr>
              <a:spLocks noTextEdit="1"/>
            </xdr:cNvSpPr>
          </xdr:nvSpPr>
          <xdr:spPr>
            <a:xfrm>
              <a:off x="569976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944880</xdr:colOff>
      <xdr:row>5</xdr:row>
      <xdr:rowOff>30480</xdr:rowOff>
    </xdr:from>
    <xdr:to>
      <xdr:col>5</xdr:col>
      <xdr:colOff>406309</xdr:colOff>
      <xdr:row>18</xdr:row>
      <xdr:rowOff>118110</xdr:rowOff>
    </xdr:to>
    <mc:AlternateContent xmlns:mc="http://schemas.openxmlformats.org/markup-compatibility/2006" xmlns:a14="http://schemas.microsoft.com/office/drawing/2010/main">
      <mc:Choice Requires="a14">
        <xdr:graphicFrame macro="">
          <xdr:nvGraphicFramePr>
            <xdr:cNvPr id="11" name="اسم المشروع">
              <a:extLst>
                <a:ext uri="{FF2B5EF4-FFF2-40B4-BE49-F238E27FC236}">
                  <a16:creationId xmlns:a16="http://schemas.microsoft.com/office/drawing/2014/main" id="{40B4FE10-76A8-BA10-DF0F-2222D36C1FE4}"/>
                </a:ext>
              </a:extLst>
            </xdr:cNvPr>
            <xdr:cNvGraphicFramePr/>
          </xdr:nvGraphicFramePr>
          <xdr:xfrm>
            <a:off x="0" y="0"/>
            <a:ext cx="0" cy="0"/>
          </xdr:xfrm>
          <a:graphic>
            <a:graphicData uri="http://schemas.microsoft.com/office/drawing/2010/slicer">
              <sle:slicer xmlns:sle="http://schemas.microsoft.com/office/drawing/2010/slicer" name="اسم المشروع"/>
            </a:graphicData>
          </a:graphic>
        </xdr:graphicFrame>
      </mc:Choice>
      <mc:Fallback xmlns="">
        <xdr:sp macro="" textlink="">
          <xdr:nvSpPr>
            <xdr:cNvPr id="0" name=""/>
            <xdr:cNvSpPr>
              <a:spLocks noTextEdit="1"/>
            </xdr:cNvSpPr>
          </xdr:nvSpPr>
          <xdr:spPr>
            <a:xfrm>
              <a:off x="6179820" y="944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7</xdr:row>
      <xdr:rowOff>144780</xdr:rowOff>
    </xdr:from>
    <xdr:to>
      <xdr:col>5</xdr:col>
      <xdr:colOff>880110</xdr:colOff>
      <xdr:row>21</xdr:row>
      <xdr:rowOff>41910</xdr:rowOff>
    </xdr:to>
    <mc:AlternateContent xmlns:mc="http://schemas.openxmlformats.org/markup-compatibility/2006" xmlns:a14="http://schemas.microsoft.com/office/drawing/2010/main">
      <mc:Choice Requires="a14">
        <xdr:graphicFrame macro="">
          <xdr:nvGraphicFramePr>
            <xdr:cNvPr id="12" name="المقاول ">
              <a:extLst>
                <a:ext uri="{FF2B5EF4-FFF2-40B4-BE49-F238E27FC236}">
                  <a16:creationId xmlns:a16="http://schemas.microsoft.com/office/drawing/2014/main" id="{4DE2CDF0-0C1E-BCB9-3999-3A0371254FEB}"/>
                </a:ext>
              </a:extLst>
            </xdr:cNvPr>
            <xdr:cNvGraphicFramePr/>
          </xdr:nvGraphicFramePr>
          <xdr:xfrm>
            <a:off x="0" y="0"/>
            <a:ext cx="0" cy="0"/>
          </xdr:xfrm>
          <a:graphic>
            <a:graphicData uri="http://schemas.microsoft.com/office/drawing/2010/slicer">
              <sle:slicer xmlns:sle="http://schemas.microsoft.com/office/drawing/2010/slicer" name="المقاول "/>
            </a:graphicData>
          </a:graphic>
        </xdr:graphicFrame>
      </mc:Choice>
      <mc:Fallback xmlns="">
        <xdr:sp macro="" textlink="">
          <xdr:nvSpPr>
            <xdr:cNvPr id="0" name=""/>
            <xdr:cNvSpPr>
              <a:spLocks noTextEdit="1"/>
            </xdr:cNvSpPr>
          </xdr:nvSpPr>
          <xdr:spPr>
            <a:xfrm>
              <a:off x="665988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10</xdr:row>
      <xdr:rowOff>76200</xdr:rowOff>
    </xdr:from>
    <xdr:to>
      <xdr:col>6</xdr:col>
      <xdr:colOff>300990</xdr:colOff>
      <xdr:row>23</xdr:row>
      <xdr:rowOff>156210</xdr:rowOff>
    </xdr:to>
    <mc:AlternateContent xmlns:mc="http://schemas.openxmlformats.org/markup-compatibility/2006" xmlns:a14="http://schemas.microsoft.com/office/drawing/2010/main">
      <mc:Choice Requires="a14">
        <xdr:graphicFrame macro="">
          <xdr:nvGraphicFramePr>
            <xdr:cNvPr id="13" name="الإستشاري">
              <a:extLst>
                <a:ext uri="{FF2B5EF4-FFF2-40B4-BE49-F238E27FC236}">
                  <a16:creationId xmlns:a16="http://schemas.microsoft.com/office/drawing/2014/main" id="{17EAFF96-E359-C3CA-0605-E46A3D571380}"/>
                </a:ext>
              </a:extLst>
            </xdr:cNvPr>
            <xdr:cNvGraphicFramePr/>
          </xdr:nvGraphicFramePr>
          <xdr:xfrm>
            <a:off x="0" y="0"/>
            <a:ext cx="0" cy="0"/>
          </xdr:xfrm>
          <a:graphic>
            <a:graphicData uri="http://schemas.microsoft.com/office/drawing/2010/slicer">
              <sle:slicer xmlns:sle="http://schemas.microsoft.com/office/drawing/2010/slicer" name="الإستشاري"/>
            </a:graphicData>
          </a:graphic>
        </xdr:graphicFrame>
      </mc:Choice>
      <mc:Fallback xmlns="">
        <xdr:sp macro="" textlink="">
          <xdr:nvSpPr>
            <xdr:cNvPr id="0" name=""/>
            <xdr:cNvSpPr>
              <a:spLocks noTextEdit="1"/>
            </xdr:cNvSpPr>
          </xdr:nvSpPr>
          <xdr:spPr>
            <a:xfrm>
              <a:off x="7139940" y="1905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18</xdr:col>
      <xdr:colOff>579120</xdr:colOff>
      <xdr:row>32</xdr:row>
      <xdr:rowOff>144780</xdr:rowOff>
    </xdr:to>
    <xdr:sp macro="" textlink="">
      <xdr:nvSpPr>
        <xdr:cNvPr id="12" name="Rectangle: Rounded Corners 11">
          <a:extLst>
            <a:ext uri="{FF2B5EF4-FFF2-40B4-BE49-F238E27FC236}">
              <a16:creationId xmlns:a16="http://schemas.microsoft.com/office/drawing/2014/main" id="{D90B6E80-C098-4A13-8A81-73D22F6EEF53}"/>
            </a:ext>
          </a:extLst>
        </xdr:cNvPr>
        <xdr:cNvSpPr/>
      </xdr:nvSpPr>
      <xdr:spPr>
        <a:xfrm>
          <a:off x="30480" y="38100"/>
          <a:ext cx="13845540" cy="5958840"/>
        </a:xfrm>
        <a:prstGeom prst="roundRect">
          <a:avLst>
            <a:gd name="adj" fmla="val 0"/>
          </a:avLst>
        </a:prstGeom>
        <a:gradFill>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18</xdr:col>
      <xdr:colOff>510540</xdr:colOff>
      <xdr:row>7</xdr:row>
      <xdr:rowOff>30481</xdr:rowOff>
    </xdr:to>
    <mc:AlternateContent xmlns:mc="http://schemas.openxmlformats.org/markup-compatibility/2006" xmlns:a14="http://schemas.microsoft.com/office/drawing/2010/main">
      <mc:Choice Requires="a14">
        <xdr:graphicFrame macro="">
          <xdr:nvGraphicFramePr>
            <xdr:cNvPr id="5" name="PO 1">
              <a:extLst>
                <a:ext uri="{FF2B5EF4-FFF2-40B4-BE49-F238E27FC236}">
                  <a16:creationId xmlns:a16="http://schemas.microsoft.com/office/drawing/2014/main" id="{57515E6D-4CF4-43DB-9A19-98C6123AFD4F}"/>
                </a:ext>
              </a:extLst>
            </xdr:cNvPr>
            <xdr:cNvGraphicFramePr/>
          </xdr:nvGraphicFramePr>
          <xdr:xfrm>
            <a:off x="0" y="0"/>
            <a:ext cx="0" cy="0"/>
          </xdr:xfrm>
          <a:graphic>
            <a:graphicData uri="http://schemas.microsoft.com/office/drawing/2010/slicer">
              <sle:slicer xmlns:sle="http://schemas.microsoft.com/office/drawing/2010/slicer" name="PO 1"/>
            </a:graphicData>
          </a:graphic>
        </xdr:graphicFrame>
      </mc:Choice>
      <mc:Fallback xmlns="">
        <xdr:sp macro="" textlink="">
          <xdr:nvSpPr>
            <xdr:cNvPr id="0" name=""/>
            <xdr:cNvSpPr>
              <a:spLocks noTextEdit="1"/>
            </xdr:cNvSpPr>
          </xdr:nvSpPr>
          <xdr:spPr>
            <a:xfrm>
              <a:off x="0" y="1"/>
              <a:ext cx="1380744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7</xdr:row>
      <xdr:rowOff>91441</xdr:rowOff>
    </xdr:from>
    <xdr:to>
      <xdr:col>3</xdr:col>
      <xdr:colOff>236220</xdr:colOff>
      <xdr:row>22</xdr:row>
      <xdr:rowOff>91441</xdr:rowOff>
    </xdr:to>
    <xdr:graphicFrame macro="">
      <xdr:nvGraphicFramePr>
        <xdr:cNvPr id="6" name="Chart 5">
          <a:extLst>
            <a:ext uri="{FF2B5EF4-FFF2-40B4-BE49-F238E27FC236}">
              <a16:creationId xmlns:a16="http://schemas.microsoft.com/office/drawing/2014/main" id="{58B1EDC4-5BE8-46EC-8774-16C87490F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7</xdr:row>
      <xdr:rowOff>91440</xdr:rowOff>
    </xdr:from>
    <xdr:to>
      <xdr:col>9</xdr:col>
      <xdr:colOff>525780</xdr:colOff>
      <xdr:row>22</xdr:row>
      <xdr:rowOff>91440</xdr:rowOff>
    </xdr:to>
    <xdr:graphicFrame macro="">
      <xdr:nvGraphicFramePr>
        <xdr:cNvPr id="7" name="Chart 6">
          <a:extLst>
            <a:ext uri="{FF2B5EF4-FFF2-40B4-BE49-F238E27FC236}">
              <a16:creationId xmlns:a16="http://schemas.microsoft.com/office/drawing/2014/main" id="{6FB30CBD-CC5A-4FFE-882D-4597E570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580690</xdr:colOff>
      <xdr:row>0</xdr:row>
      <xdr:rowOff>686097</xdr:rowOff>
    </xdr:to>
    <xdr:pic>
      <xdr:nvPicPr>
        <xdr:cNvPr id="2" name="Picture 1">
          <a:extLst>
            <a:ext uri="{FF2B5EF4-FFF2-40B4-BE49-F238E27FC236}">
              <a16:creationId xmlns:a16="http://schemas.microsoft.com/office/drawing/2014/main" id="{0AAB6042-2C91-46D7-B8D9-131FBA9868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8630643" y="253070"/>
          <a:ext cx="761794"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4</xdr:col>
      <xdr:colOff>695737</xdr:colOff>
      <xdr:row>0</xdr:row>
      <xdr:rowOff>837453</xdr:rowOff>
    </xdr:to>
    <xdr:pic>
      <xdr:nvPicPr>
        <xdr:cNvPr id="4" name="Picture 3" descr="Graphical user interface, application&#10;&#10;Description automatically generated">
          <a:extLst>
            <a:ext uri="{FF2B5EF4-FFF2-40B4-BE49-F238E27FC236}">
              <a16:creationId xmlns:a16="http://schemas.microsoft.com/office/drawing/2014/main" id="{5B03954D-BBBC-479F-A288-98134E9651E2}"/>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68143341" y="44825"/>
          <a:ext cx="1281954" cy="779928"/>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0E542C91-EFDF-5490-941C-0C77A18DC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752475</xdr:colOff>
      <xdr:row>16</xdr:row>
      <xdr:rowOff>42862</xdr:rowOff>
    </xdr:from>
    <xdr:to>
      <xdr:col>13</xdr:col>
      <xdr:colOff>11426</xdr:colOff>
      <xdr:row>28</xdr:row>
      <xdr:rowOff>80962</xdr:rowOff>
    </xdr:to>
    <xdr:graphicFrame macro="">
      <xdr:nvGraphicFramePr>
        <xdr:cNvPr id="5" name="Chart 4">
          <a:extLst>
            <a:ext uri="{FF2B5EF4-FFF2-40B4-BE49-F238E27FC236}">
              <a16:creationId xmlns:a16="http://schemas.microsoft.com/office/drawing/2014/main" id="{BE0AFB08-D54F-5BB0-CEA4-8F03950D2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3</xdr:row>
      <xdr:rowOff>42862</xdr:rowOff>
    </xdr:from>
    <xdr:to>
      <xdr:col>12</xdr:col>
      <xdr:colOff>600075</xdr:colOff>
      <xdr:row>15</xdr:row>
      <xdr:rowOff>28575</xdr:rowOff>
    </xdr:to>
    <xdr:graphicFrame macro="">
      <xdr:nvGraphicFramePr>
        <xdr:cNvPr id="6" name="Chart 5">
          <a:extLst>
            <a:ext uri="{FF2B5EF4-FFF2-40B4-BE49-F238E27FC236}">
              <a16:creationId xmlns:a16="http://schemas.microsoft.com/office/drawing/2014/main" id="{01CF7A3F-FEF9-3505-8AED-C897425F0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7" name="Chart 6">
          <a:extLst>
            <a:ext uri="{FF2B5EF4-FFF2-40B4-BE49-F238E27FC236}">
              <a16:creationId xmlns:a16="http://schemas.microsoft.com/office/drawing/2014/main" id="{E17F85DC-9BD0-52D9-449A-94B335F64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457201</xdr:colOff>
      <xdr:row>44</xdr:row>
      <xdr:rowOff>8164</xdr:rowOff>
    </xdr:from>
    <xdr:to>
      <xdr:col>21</xdr:col>
      <xdr:colOff>352426</xdr:colOff>
      <xdr:row>57</xdr:row>
      <xdr:rowOff>4763</xdr:rowOff>
    </xdr:to>
    <xdr:graphicFrame macro="">
      <xdr:nvGraphicFramePr>
        <xdr:cNvPr id="8" name="Chart 7">
          <a:extLst>
            <a:ext uri="{FF2B5EF4-FFF2-40B4-BE49-F238E27FC236}">
              <a16:creationId xmlns:a16="http://schemas.microsoft.com/office/drawing/2014/main" id="{55C516BD-58F3-45AD-9825-CE03D1827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729342</xdr:colOff>
      <xdr:row>28</xdr:row>
      <xdr:rowOff>157843</xdr:rowOff>
    </xdr:from>
    <xdr:to>
      <xdr:col>13</xdr:col>
      <xdr:colOff>10886</xdr:colOff>
      <xdr:row>42</xdr:row>
      <xdr:rowOff>141515</xdr:rowOff>
    </xdr:to>
    <xdr:graphicFrame macro="">
      <xdr:nvGraphicFramePr>
        <xdr:cNvPr id="3" name="Chart 2">
          <a:extLst>
            <a:ext uri="{FF2B5EF4-FFF2-40B4-BE49-F238E27FC236}">
              <a16:creationId xmlns:a16="http://schemas.microsoft.com/office/drawing/2014/main" id="{6B10490B-BB91-DFD3-F30A-661680227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A954ECE0-9EBF-4EBE-A189-C762FE0A6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337457</xdr:colOff>
      <xdr:row>16</xdr:row>
      <xdr:rowOff>42862</xdr:rowOff>
    </xdr:from>
    <xdr:to>
      <xdr:col>13</xdr:col>
      <xdr:colOff>11426</xdr:colOff>
      <xdr:row>28</xdr:row>
      <xdr:rowOff>80962</xdr:rowOff>
    </xdr:to>
    <xdr:graphicFrame macro="">
      <xdr:nvGraphicFramePr>
        <xdr:cNvPr id="3" name="Chart 2">
          <a:extLst>
            <a:ext uri="{FF2B5EF4-FFF2-40B4-BE49-F238E27FC236}">
              <a16:creationId xmlns:a16="http://schemas.microsoft.com/office/drawing/2014/main" id="{1EDC6499-77E9-44BC-B0C0-D99BE7C87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348343</xdr:colOff>
      <xdr:row>3</xdr:row>
      <xdr:rowOff>42862</xdr:rowOff>
    </xdr:from>
    <xdr:to>
      <xdr:col>12</xdr:col>
      <xdr:colOff>600075</xdr:colOff>
      <xdr:row>15</xdr:row>
      <xdr:rowOff>28575</xdr:rowOff>
    </xdr:to>
    <xdr:graphicFrame macro="">
      <xdr:nvGraphicFramePr>
        <xdr:cNvPr id="4" name="Chart 3">
          <a:extLst>
            <a:ext uri="{FF2B5EF4-FFF2-40B4-BE49-F238E27FC236}">
              <a16:creationId xmlns:a16="http://schemas.microsoft.com/office/drawing/2014/main" id="{4069F00D-DBB4-4DE6-98AA-F467A6195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5" name="Chart 4">
          <a:extLst>
            <a:ext uri="{FF2B5EF4-FFF2-40B4-BE49-F238E27FC236}">
              <a16:creationId xmlns:a16="http://schemas.microsoft.com/office/drawing/2014/main" id="{56454C7C-2604-4A40-A72B-D7200A0B9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500744</xdr:colOff>
      <xdr:row>43</xdr:row>
      <xdr:rowOff>171450</xdr:rowOff>
    </xdr:from>
    <xdr:to>
      <xdr:col>21</xdr:col>
      <xdr:colOff>395969</xdr:colOff>
      <xdr:row>57</xdr:row>
      <xdr:rowOff>97972</xdr:rowOff>
    </xdr:to>
    <xdr:graphicFrame macro="">
      <xdr:nvGraphicFramePr>
        <xdr:cNvPr id="6" name="Chart 5">
          <a:extLst>
            <a:ext uri="{FF2B5EF4-FFF2-40B4-BE49-F238E27FC236}">
              <a16:creationId xmlns:a16="http://schemas.microsoft.com/office/drawing/2014/main" id="{0AA8DFEE-10E4-416C-81E3-B3DD1EC6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326571</xdr:colOff>
      <xdr:row>29</xdr:row>
      <xdr:rowOff>59872</xdr:rowOff>
    </xdr:from>
    <xdr:to>
      <xdr:col>12</xdr:col>
      <xdr:colOff>598714</xdr:colOff>
      <xdr:row>42</xdr:row>
      <xdr:rowOff>130629</xdr:rowOff>
    </xdr:to>
    <xdr:graphicFrame macro="">
      <xdr:nvGraphicFramePr>
        <xdr:cNvPr id="7" name="Chart 6">
          <a:extLst>
            <a:ext uri="{FF2B5EF4-FFF2-40B4-BE49-F238E27FC236}">
              <a16:creationId xmlns:a16="http://schemas.microsoft.com/office/drawing/2014/main" id="{D5513872-F6DA-30FE-C345-A2D840B27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580690</xdr:colOff>
      <xdr:row>0</xdr:row>
      <xdr:rowOff>686097</xdr:rowOff>
    </xdr:to>
    <xdr:pic>
      <xdr:nvPicPr>
        <xdr:cNvPr id="2" name="Picture 1">
          <a:extLst>
            <a:ext uri="{FF2B5EF4-FFF2-40B4-BE49-F238E27FC236}">
              <a16:creationId xmlns:a16="http://schemas.microsoft.com/office/drawing/2014/main" id="{0A1AD1B4-3561-4A1E-B040-2A7C819763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7306450" y="253070"/>
          <a:ext cx="764956"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2</xdr:col>
      <xdr:colOff>704701</xdr:colOff>
      <xdr:row>0</xdr:row>
      <xdr:rowOff>837453</xdr:rowOff>
    </xdr:to>
    <xdr:pic>
      <xdr:nvPicPr>
        <xdr:cNvPr id="3" name="Picture 2" descr="Graphical user interface, application&#10;&#10;Description automatically generated">
          <a:extLst>
            <a:ext uri="{FF2B5EF4-FFF2-40B4-BE49-F238E27FC236}">
              <a16:creationId xmlns:a16="http://schemas.microsoft.com/office/drawing/2014/main" id="{934EA9ED-B17F-4F87-B892-2BE6A77BA9F5}"/>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70011959" y="44825"/>
          <a:ext cx="1273512" cy="792628"/>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28494</xdr:colOff>
      <xdr:row>0</xdr:row>
      <xdr:rowOff>212341</xdr:rowOff>
    </xdr:from>
    <xdr:to>
      <xdr:col>27</xdr:col>
      <xdr:colOff>337415</xdr:colOff>
      <xdr:row>0</xdr:row>
      <xdr:rowOff>615363</xdr:rowOff>
    </xdr:to>
    <xdr:pic>
      <xdr:nvPicPr>
        <xdr:cNvPr id="2" name="Picture 1">
          <a:extLst>
            <a:ext uri="{FF2B5EF4-FFF2-40B4-BE49-F238E27FC236}">
              <a16:creationId xmlns:a16="http://schemas.microsoft.com/office/drawing/2014/main" id="{86D2D497-5573-43CB-BCFC-528BE10D67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70783105" y="212341"/>
          <a:ext cx="811841" cy="403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106680</xdr:colOff>
      <xdr:row>0</xdr:row>
      <xdr:rowOff>91440</xdr:rowOff>
    </xdr:from>
    <xdr:to>
      <xdr:col>2</xdr:col>
      <xdr:colOff>197575</xdr:colOff>
      <xdr:row>0</xdr:row>
      <xdr:rowOff>727710</xdr:rowOff>
    </xdr:to>
    <xdr:pic>
      <xdr:nvPicPr>
        <xdr:cNvPr id="3" name="Picture 2" descr="Graphical user interface, application&#10;&#10;Description automatically generated">
          <a:extLst>
            <a:ext uri="{FF2B5EF4-FFF2-40B4-BE49-F238E27FC236}">
              <a16:creationId xmlns:a16="http://schemas.microsoft.com/office/drawing/2014/main" id="{606C0666-E172-45BC-BC00-07CB064C0943}"/>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87153545" y="91440"/>
          <a:ext cx="1051015" cy="636270"/>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51</xdr:col>
      <xdr:colOff>2419350</xdr:colOff>
      <xdr:row>0</xdr:row>
      <xdr:rowOff>152287</xdr:rowOff>
    </xdr:from>
    <xdr:to>
      <xdr:col>51</xdr:col>
      <xdr:colOff>3801891</xdr:colOff>
      <xdr:row>0</xdr:row>
      <xdr:rowOff>842694</xdr:rowOff>
    </xdr:to>
    <xdr:pic>
      <xdr:nvPicPr>
        <xdr:cNvPr id="2" name="Picture 1">
          <a:extLst>
            <a:ext uri="{FF2B5EF4-FFF2-40B4-BE49-F238E27FC236}">
              <a16:creationId xmlns:a16="http://schemas.microsoft.com/office/drawing/2014/main" id="{B55AEEC8-F08E-440B-8E08-6C62FC14A9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53366409" y="152287"/>
          <a:ext cx="1382541" cy="7016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180639</xdr:colOff>
      <xdr:row>0</xdr:row>
      <xdr:rowOff>98613</xdr:rowOff>
    </xdr:from>
    <xdr:to>
      <xdr:col>7</xdr:col>
      <xdr:colOff>583026</xdr:colOff>
      <xdr:row>0</xdr:row>
      <xdr:rowOff>857475</xdr:rowOff>
    </xdr:to>
    <xdr:pic>
      <xdr:nvPicPr>
        <xdr:cNvPr id="4" name="Picture 3" descr="Graphical user interface, application&#10;&#10;Description automatically generated">
          <a:extLst>
            <a:ext uri="{FF2B5EF4-FFF2-40B4-BE49-F238E27FC236}">
              <a16:creationId xmlns:a16="http://schemas.microsoft.com/office/drawing/2014/main" id="{AB10D12E-77A6-4807-9181-2A198AF623C0}"/>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91267800" y="98613"/>
          <a:ext cx="1427181" cy="770068"/>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4A5CD7F3-A9E1-455E-8FEC-08962581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45720</xdr:colOff>
      <xdr:row>6</xdr:row>
      <xdr:rowOff>64770</xdr:rowOff>
    </xdr:from>
    <xdr:to>
      <xdr:col>13</xdr:col>
      <xdr:colOff>0</xdr:colOff>
      <xdr:row>24</xdr:row>
      <xdr:rowOff>53340</xdr:rowOff>
    </xdr:to>
    <xdr:graphicFrame macro="">
      <xdr:nvGraphicFramePr>
        <xdr:cNvPr id="2" name="Chart 1">
          <a:extLst>
            <a:ext uri="{FF2B5EF4-FFF2-40B4-BE49-F238E27FC236}">
              <a16:creationId xmlns:a16="http://schemas.microsoft.com/office/drawing/2014/main" id="{ADEDC240-868A-4C5E-B686-D665728FA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EC3D100C-71B2-41CB-BA71-E8080FDCC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114300</xdr:colOff>
      <xdr:row>7</xdr:row>
      <xdr:rowOff>49530</xdr:rowOff>
    </xdr:from>
    <xdr:to>
      <xdr:col>46</xdr:col>
      <xdr:colOff>525780</xdr:colOff>
      <xdr:row>23</xdr:row>
      <xdr:rowOff>60960</xdr:rowOff>
    </xdr:to>
    <xdr:graphicFrame macro="">
      <xdr:nvGraphicFramePr>
        <xdr:cNvPr id="2" name="Chart 1">
          <a:extLst>
            <a:ext uri="{FF2B5EF4-FFF2-40B4-BE49-F238E27FC236}">
              <a16:creationId xmlns:a16="http://schemas.microsoft.com/office/drawing/2014/main" id="{302CD935-A53E-4E54-AA33-4E3D9A3E2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35</xdr:col>
      <xdr:colOff>480060</xdr:colOff>
      <xdr:row>7</xdr:row>
      <xdr:rowOff>80010</xdr:rowOff>
    </xdr:from>
    <xdr:to>
      <xdr:col>45</xdr:col>
      <xdr:colOff>457200</xdr:colOff>
      <xdr:row>22</xdr:row>
      <xdr:rowOff>80010</xdr:rowOff>
    </xdr:to>
    <xdr:graphicFrame macro="">
      <xdr:nvGraphicFramePr>
        <xdr:cNvPr id="2" name="Chart 1">
          <a:extLst>
            <a:ext uri="{FF2B5EF4-FFF2-40B4-BE49-F238E27FC236}">
              <a16:creationId xmlns:a16="http://schemas.microsoft.com/office/drawing/2014/main" id="{B7208CAF-0C34-48BA-8555-2F9D31F89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ohamed Adel Abdelrehim Ahmed" id="{57E7D473-B27B-4529-A108-5688EE82FA3D}" userId="S::moaaahmed@nwc.com.sa::4dced3f0-b79a-4d22-9581-58b687b0c51e" providerId="AD"/>
  <person displayName="Ahmed, Mohamed" id="{1A427A43-9C75-4D06-A165-7733FF1B4404}" userId="S::MohamedAdelAhmed@hillintl.com::d37e9302-af85-46ac-af13-d9efc145ee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2939818" createdVersion="8" refreshedVersion="8" minRefreshableVersion="3" recordCount="51" xr:uid="{1B5D7531-5600-43A1-92CE-FF9EAB7102CD}">
  <cacheSource type="worksheet">
    <worksheetSource name="Table13"/>
  </cacheSource>
  <cacheFields count="72">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5">
        <s v="متأخر"/>
        <s v="متعثر"/>
        <s v="متقدم"/>
        <s v="مكتمل التنفيذ"/>
        <s v="منتظم"/>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308411214953273"/>
    </cacheField>
    <cacheField name="مدة المشروع المنقضية بالشهور" numFmtId="171">
      <sharedItems containsSemiMixedTypes="0" containsString="0" containsNumber="1" minValue="0.99999999999999989" maxValue="36.166666666666664"/>
    </cacheField>
    <cacheField name="مدة المشروع المتبقية بالشهور" numFmtId="2">
      <sharedItems containsSemiMixedTypes="0" containsString="0" containsNumber="1" minValue="-5.5" maxValue="34.466666666666661"/>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6-08-12T06:00:00" maxDate="2030-06-26T12:00:00"/>
    </cacheField>
    <cacheField name="PV" numFmtId="4">
      <sharedItems containsSemiMixedTypes="0" containsString="0" containsNumber="1" minValue="8645.84375" maxValue="59064092.302634001"/>
    </cacheField>
    <cacheField name="EV" numFmtId="4">
      <sharedItems containsSemiMixedTypes="0" containsString="0" containsNumber="1" minValue="0" maxValue="70003468.656000003"/>
    </cacheField>
    <cacheField name="Remaining Budget" numFmtId="4">
      <sharedItems containsSemiMixedTypes="0" containsString="0" containsNumber="1" minValue="1252982.4999999995" maxValue="291148439.39999998"/>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0129171151776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502315" createdVersion="8" refreshedVersion="8" minRefreshableVersion="3" recordCount="51" xr:uid="{73FFC247-12AA-4620-9E40-4E46B133DE4F}">
  <cacheSource type="worksheet">
    <worksheetSource name="Table1[[SN]:[نسبة المدة المتبقية %]]"/>
  </cacheSource>
  <cacheFields count="57">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4">
        <s v="مياه"/>
        <s v="صرف"/>
        <s v="ساحلية"/>
        <s v="مياة" u="1"/>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7106482" createdVersion="8" refreshedVersion="8" minRefreshableVersion="3" recordCount="51" xr:uid="{C52FB1BC-BE98-4B3E-A5FD-8B1D5BB89344}">
  <cacheSource type="worksheet">
    <worksheetSource ref="A2:BB50" sheet="Weekly Progeress - 10%"/>
  </cacheSource>
  <cacheFields count="60">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7569444" createdVersion="8" refreshedVersion="8" minRefreshableVersion="3" recordCount="51" xr:uid="{D096D5E0-4ACE-4098-91D7-1094956DFD3F}">
  <cacheSource type="worksheet">
    <worksheetSource name="Table1"/>
  </cacheSource>
  <cacheFields count="78">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ount="52">
        <n v="901240075"/>
        <n v="901250275"/>
        <n v="901240373"/>
        <n v="901240102"/>
        <n v="901240141"/>
        <n v="901240123"/>
        <n v="901250110"/>
        <n v="901230253"/>
        <n v="901240386"/>
        <n v="901240355"/>
        <n v="901250252"/>
        <n v="901250201"/>
        <n v="901250191"/>
        <n v="901250341"/>
        <n v="901250300"/>
        <n v="901250059"/>
        <n v="901240021"/>
        <n v="901250206"/>
        <n v="901250290"/>
        <n v="901250150"/>
        <n v="901250210"/>
        <n v="901250291"/>
        <n v="901230202"/>
        <n v="901240137"/>
        <n v="901250199"/>
        <n v="901230273"/>
        <n v="901240090"/>
        <n v="901240072"/>
        <n v="901240210"/>
        <n v="901240189"/>
        <n v="901240091"/>
        <n v="901230173"/>
        <n v="901230176"/>
        <n v="901250200"/>
        <n v="901230145"/>
        <n v="901240105"/>
        <n v="901240327"/>
        <n v="901250253"/>
        <n v="901250436"/>
        <n v="901250461"/>
        <n v="901240144"/>
        <n v="901240018"/>
        <n v="901240095"/>
        <n v="901230317"/>
        <n v="901240136"/>
        <n v="901240391"/>
        <n v="901240282"/>
        <n v="901230177"/>
        <n v="901230191"/>
        <n v="901250499"/>
        <n v="901260326"/>
        <n v="901260125" u="1"/>
      </sharedItems>
    </cacheField>
    <cacheField name="اسم المشروع" numFmtId="0">
      <sharedItems count="52">
        <s v="استكمال تنفيذ خطوط وشبكات المياه بأحياء شرق المدينة المنورة والعاقول "/>
        <s v="استكمال تنفيذ الخطوط الرئيسية وشبكات الصرف الصحي بأحياء شوران"/>
        <s v="استكمال خطوط الصرف الصحي لمدينة العلا (خطوط رئيسية وشبكات)"/>
        <s v="توريد وتركيب وحدات معالجة الحمأة ميكانيكيا بالمدينة المنورة "/>
        <s v="إستكمال تنفيذ شبكات الصرف الصحي بالأماكن المتضررة بالمدينة المنورة "/>
        <s v="استكمال مشروع شبكات الصرف الصحي والتوصيلات المنزلية بينبع"/>
        <s v="استكمال إنشاء أشياب مع ملحقاتها ومحطة تنقية للمياه في مناطق مختلفة بمحافظة الحناكية"/>
        <s v="إحلال شبكات وخطوط مياه بمدينة ينبع "/>
        <s v="تنفيذ خط المياه الرئيسي لتغذية توسعة المطار"/>
        <s v="تنفيذ خطوط وشبكات توزيع المياه بمحافظة بدر"/>
        <s v="انشاء خزانين للمياه بجنوب المدينة المنورة و ملحقاتهما بسعة 250 الف م3 لكل خزان"/>
        <s v="مشروع انشاء شبكات مياه بقريتي المعتدل وقاع الحاج"/>
        <s v="مشروع إنشاء خط مياه رئيسي من المسيجيد الى هبت مع محطة ضخ في المسيجيد ومحطة أخرى في بئر الروحاء"/>
        <s v="تنفيذ خطوط وشبكات توزيع المياه بمحافظة وادي الفرع"/>
        <s v="مشروع تنفيذ خط المياه الرئيسي من  الخزانات الاستراتيجية الي المسجد النبوي"/>
        <s v="تنفيذ خطوط وشبكات توزيع المياه لمحافظة العيص ( المرحلة الأولى )"/>
        <s v="استكمال تنفيذ الخطوط الرئيسية والشبكات الفرعية لمخططات شوران (المرحلة الأولى)"/>
        <s v="شبكات مياه في الحناكية و الصميد"/>
        <s v="تنفيذ مشاريع إيصال خدمات الصرف الصحي لمخططات الإسكان بالمدينة المنورة ( 4 مواقع )"/>
        <s v="تنفيذ خطوط وشبكات الصرف الصحي بمحافظة المهد ( الجزء الاول )"/>
        <s v="خط المياه الرئيسي بالدائري الأوسط بالمدينة المنورة"/>
        <s v="تنفيذ خطوط وشبكات الصرف الصحي مخطط جبل عير"/>
        <s v="تنفيذ خطوط الصرف الصحي الرئيسية بمخططات الرانوناء واحياء جنوب المدينة "/>
        <s v="خطوط مياه متفرقة بالمدينة المنورة ( الجزء الاول )"/>
        <s v="تنقيذ شبكات وخطوط مياه قرى المدينة المنورة ( الجزء الثالث )"/>
        <s v="مشروع تنفيذ خط المياه الرئيسي في الدائري الثالث شرق المدينة المنورة "/>
        <s v="احلال شبكات وخطوط مياه بالمدينة المنورة "/>
        <s v="تنفيذ شبكات صرف صحي متفرقة بالمدينة المنورة ( الجزء الاول ) "/>
        <s v="شبكات المياه لايصال الخدمة لمستشفى التخصصي بحمراء الأسد "/>
        <s v="استكمال الخطوط الرئيسية و شبكات الصرف الصحي بمدينة بدر "/>
        <s v="تنفيذ شبكات الصرف الصحي بمحافظة ينبع "/>
        <s v="عقد تنفيذ شبكات الصرف الصحي بمحافظات منطقة المدينة المنورة الخطوط الرئيسية "/>
        <s v="تنفيذ شبكات الصرف الصحي بمخططات الرانوناء واحياء جنوب المدينة (المرحلة الأولى) "/>
        <s v="تنفيذ خطوط وشبكات الصرف الصحي بمحافظة بدر ( الجزء الأول )"/>
        <s v="تنفيذ شبكات وخطوط مياه بالعوينة والعاقول بالمدينة المنورة "/>
        <s v="مشروع انشاء شبكات وخطوط الصرف الصحي بحي الأصيفرين بالمدينة المنورة "/>
        <s v="مشروع إستكمال تنفيذ الخطوط الرئيسية والشبكات الفرعية لمخططات شوران ( المرحلة الثانية )"/>
        <s v="ترحيل خطوط وتنفيذ شبكات بمناطق متفرقة (المرحلة الاولى)"/>
        <s v="تنفيذ خط مياه رئيسي وخزان وشبكة توزيع رئيسية لوادي الريم وقراها"/>
        <s v="مشروع انشاء شبكات مياه بمدائن صالح"/>
        <s v="مشروع إحلال خط الاسبستوس ببدر "/>
        <s v="تنفيذ شبكات وخطوط المياه بمنطقة جنوب المدينة المنورة "/>
        <s v="مشروع تنفيذ شبكة توزيع المياه في حي المحاميد بالمدينة المنورة "/>
        <s v="تنفيذ شبكات وخطوط المياه بالصويدرة بمنطقة المدينة المنورة "/>
        <s v="مشروع خطوط وشبكات المياه بمنطقة شمال وشرق المدينة المنورة "/>
        <s v="مشروع استكمال شبكات الصرف الصحى لحى البرماوية"/>
        <s v="مشروع استبدال خطوط وشبكات المياه المتهالكة بالمدينة المنورة"/>
        <s v="مشروع تنفيذ شبكات الصرف الصحي باحياء الجرف بالمدينة المنورة "/>
        <s v="تنفيذ خطوط فرعية وتوصيلات منزلية للصرف الصحي مع اعادة تأهيل محطة الضخ بينبع "/>
        <s v="عبارة تصريف مياه الفائض لمحطة معالجة الصرف الصحي بالمدينة المنورة"/>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مشروع إيصال خدمة المياه لمرفأ الرايس بمحافظة بدر" u="1"/>
      </sharedItems>
    </cacheField>
    <cacheField name="تصنيف المشروع" numFmtId="0">
      <sharedItems count="4">
        <s v="Water 1"/>
        <s v="WW"/>
        <s v="Coastal"/>
        <s v="Water 2"/>
      </sharedItems>
    </cacheField>
    <cacheField name="مدير البرنامج" numFmtId="0">
      <sharedItems/>
    </cacheField>
    <cacheField name="مدير المشروع" numFmtId="0">
      <sharedItems containsBlank="1"/>
    </cacheField>
    <cacheField name="المقاول " numFmtId="0">
      <sharedItems count="44">
        <s v="شركة دقة الابعاد للمقاولات"/>
        <s v="شركة عوده مبارك البلادي و أبنائه للمقاولات المحدودة"/>
        <s v="شركة تاج العزيزية"/>
        <s v="شركة البنايات العربية"/>
        <s v="شركة البنايات العربية للمقاولات العامة "/>
        <s v="مؤسسة إبراهيم عتيق الفزي للمقاولات"/>
        <s v="شركة بنون و فنون للمقاولات"/>
        <s v="شبكة الإنشاء للمقاولات"/>
        <s v="مؤسسة سماء الرس للمقاولات"/>
        <s v="شركة  اضواء الخليل  للمقاولات"/>
        <s v="مؤسسه اشغال النهار للمقاولات"/>
        <s v="شركة ميلاف السعودية"/>
        <s v="شركة ركن المواثيق للمقاولات شركة شخص واحد"/>
        <s v="شركة مطلق القويرى للمقاولات"/>
        <s v="شركة الركائز الثابتة المحدودة"/>
        <s v="شركة خالد سليم الأحمدي للمقاولات شركة شخص واحد"/>
        <s v="شركة آشي وبشناق للمقاولات المحدودة"/>
        <s v="شركة المشروعات المتقدمة المحدودة"/>
        <s v=" شركة شبه الجزيرة للمقاولات"/>
        <s v="شركة سماء التشييد والبناء للتجارة والمقاولات"/>
        <s v="شركة روابط الحمرور المحدودة"/>
        <s v="شركة الأولات للصناعة والإنشاء المحدودة "/>
        <s v="شركة بيان الانشاء للمقاولات"/>
        <s v="شركة ابداع الحياة للاستثمار"/>
        <s v="شركه بيان الإنشاء للمقاولات"/>
        <s v="شركة ركن المواثيق للمقاولات"/>
        <s v="مؤسسة منصور  الغامدي للمقاولات العامة"/>
        <s v="مؤسسة عبدالله ناصر الموسي للمقاولات"/>
        <s v="الشركة الوطنية لأعمال المياه"/>
        <s v="شركة العاذرية المحدودة للتجارة"/>
        <s v="مؤسسة اعمار الجنوب للمقاولات"/>
        <s v="مجموعة سعد على العيسى للمقاولات"/>
        <s v="شركه أفاق الدولية "/>
        <s v="شركة أعمال متكاملة للمقاولات"/>
        <s v="شركة افاق الدولية "/>
        <s v="شركة عبدالمحسن شعبان القحطاني للمقاولات"/>
        <s v="شركة خزام ناصر سعيد الشهراني للمقاولات"/>
        <s v="شركة خالد سليم الأحمدي للمقاولات"/>
        <s v="شركة كيان كاك المملكة "/>
        <s v="شركة الرخيص للمقاولات"/>
        <s v="شركة ثروات المجد للمقاولات العامة"/>
        <s v="شركة العزم للإنشاء والتعمير"/>
        <s v="شركة مسعود بالعيد حيدر ال حيدر وشركاه للتجاره والمقاولات العامه"/>
        <s v="شركه اعمال المحترفون للتجارة والمقاولات"/>
      </sharedItems>
    </cacheField>
    <cacheField name="الإستشاري" numFmtId="0">
      <sharedItems count="2">
        <s v="فيوتشر"/>
        <s v="دورش"/>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7">
        <s v="متأخر"/>
        <s v="متعثر"/>
        <s v="متقدم"/>
        <s v="مكتمل التنفيذ"/>
        <s v="منتظم"/>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ount="47">
        <d v="2024-06-25T00:00:00"/>
        <d v="2025-11-18T00:00:00"/>
        <d v="2025-02-13T00:00:00"/>
        <d v="2024-07-08T00:00:00"/>
        <d v="2024-08-06T00:00:00"/>
        <d v="2024-08-18T00:00:00"/>
        <d v="2025-04-27T00:00:00"/>
        <d v="2024-01-25T00:00:00"/>
        <d v="2025-02-20T00:00:00"/>
        <d v="2025-01-28T00:00:00"/>
        <d v="2025-10-28T00:00:00"/>
        <d v="2025-09-01T00:00:00"/>
        <d v="2025-09-08T00:00:00"/>
        <d v="2025-11-17T00:00:00"/>
        <d v="2025-10-12T00:00:00"/>
        <d v="2025-04-15T00:00:00"/>
        <d v="2024-04-22T00:00:00"/>
        <d v="2025-10-22T00:00:00"/>
        <d v="2025-10-09T00:00:00"/>
        <d v="2025-07-30T00:00:00"/>
        <d v="2025-09-02T00:00:00"/>
        <d v="2023-12-28T00:00:00"/>
        <d v="2024-09-30T00:00:00"/>
        <d v="2025-10-19T00:00:00"/>
        <d v="2024-02-18T00:00:00"/>
        <d v="2024-06-04T00:00:00"/>
        <d v="2024-10-17T00:00:00"/>
        <d v="2024-07-17T00:00:00"/>
        <d v="2023-10-16T00:00:00"/>
        <d v="2023-11-19T00:00:00"/>
        <d v="2025-09-10T00:00:00"/>
        <d v="2023-09-21T00:00:00"/>
        <d v="2025-04-06T00:00:00"/>
        <d v="2025-11-20T00:00:00"/>
        <d v="2026-01-11T00:00:00"/>
        <d v="2026-03-16T00:00:00"/>
        <d v="2024-09-24T00:00:00"/>
        <d v="2024-05-19T00:00:00"/>
        <d v="2024-08-22T00:00:00"/>
        <d v="2024-02-20T00:00:00"/>
        <d v="2024-09-09T00:00:00"/>
        <d v="2025-03-16T00:00:00"/>
        <d v="2024-12-22T00:00:00"/>
        <d v="2023-10-25T00:00:00"/>
        <d v="2023-11-07T00:00:00"/>
        <d v="2026-01-13T00:00:00"/>
        <d v="2026-08-11T00:00:00"/>
      </sharedItems>
      <fieldGroup par="74"/>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ount="47">
        <d v="2027-04-03T00:00:00"/>
        <d v="2027-05-13T00:00:00"/>
        <d v="2026-08-12T00:00:00"/>
        <d v="2026-09-03T00:00:00"/>
        <d v="2026-07-29T00:00:00"/>
        <d v="2026-10-27T00:00:00"/>
        <d v="2026-12-23T00:00:00"/>
        <d v="2026-05-24T00:00:00"/>
        <d v="2029-04-09T00:00:00"/>
        <d v="2028-10-26T00:00:00"/>
        <d v="2028-08-31T00:00:00"/>
        <d v="2029-05-01T00:00:00"/>
        <d v="2029-05-03T00:00:00"/>
        <d v="2029-06-17T00:00:00"/>
        <d v="2028-04-13T00:00:00"/>
        <d v="2028-09-18T00:00:00"/>
        <d v="2028-09-07T00:00:00"/>
        <d v="2029-07-10T00:00:00"/>
        <d v="2029-07-01T00:00:00"/>
        <d v="2029-07-04T00:00:00"/>
        <d v="2029-05-14T00:00:00"/>
        <d v="2027-12-20T00:00:00"/>
        <d v="2028-10-31T00:00:00"/>
        <d v="2029-07-02T00:00:00"/>
        <d v="2027-05-25T00:00:00"/>
        <d v="2028-07-02T00:00:00"/>
        <d v="2027-10-25T00:00:00"/>
        <d v="2027-12-16T00:00:00"/>
        <d v="2026-03-30T00:00:00"/>
        <d v="2027-01-24T00:00:00"/>
        <d v="2026-10-15T00:00:00"/>
        <d v="2029-07-05T00:00:00"/>
        <d v="2027-11-15T00:00:00"/>
        <d v="2028-04-23T00:00:00"/>
        <d v="2029-07-08T00:00:00"/>
        <d v="2028-08-30T00:00:00"/>
        <d v="2028-07-27T00:00:00"/>
        <d v="2027-12-13T00:00:00"/>
        <d v="2028-10-03T00:00:00"/>
        <d v="2027-11-03T00:00:00"/>
        <d v="2028-10-25T00:00:00"/>
        <d v="2028-03-29T00:00:00"/>
        <d v="2028-12-26T00:00:00"/>
        <d v="2027-12-09T00:00:00"/>
        <d v="2027-02-11T00:00:00"/>
        <d v="2027-07-01T00:00:00"/>
        <d v="2027-04-11T00:00:00"/>
      </sharedItems>
      <fieldGroup par="77"/>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0" maxValue="1" count="1176">
        <n v="0.35589999999999999"/>
        <n v="0.30520000000000003"/>
        <n v="1"/>
        <n v="0.67749999999999999"/>
        <n v="0.56910000000000005"/>
        <n v="0.43240000000000001"/>
        <n v="0.24590000000000001"/>
        <n v="0.1661"/>
        <n v="0.1469"/>
        <n v="5.3499999999999999E-2"/>
        <n v="8.2000000000000003E-2"/>
        <n v="0.41909999999999997"/>
        <n v="0.50560000000000005"/>
        <n v="0.19489999999999999"/>
        <n v="4.5999999999999999E-2"/>
        <n v="0.10349999999999999"/>
        <n v="8.1799999999999998E-2"/>
        <n v="8.8499999999999995E-2"/>
        <n v="0.50390000000000001"/>
        <n v="0.13719999999999999"/>
        <n v="5.6099999999999997E-2"/>
        <n v="0.59260000000000002"/>
        <n v="0.19769999999999999"/>
        <n v="0.2495"/>
        <n v="0.41189999999999999"/>
        <n v="0.50090000000000001"/>
        <n v="0.98540000000000005"/>
        <n v="0.63639999999999997"/>
        <n v="5.57E-2"/>
        <n v="0.50290000000000001"/>
        <n v="0.1555"/>
        <n v="9.2499999999999999E-2"/>
        <n v="2.87E-2"/>
        <n v="2.7400000000000001E-2"/>
        <n v="5.2299999999999999E-2"/>
        <n v="0.51719999999999999"/>
        <n v="0.24709999999999999"/>
        <n v="0.25009999999999999"/>
        <n v="0.44"/>
        <n v="0.1462"/>
        <n v="0.21190000000000001"/>
        <n v="0.1"/>
        <n v="0.28639999999999999"/>
        <n v="0.62429999999999997"/>
        <n v="7.5800000000000006E-2"/>
        <n v="2.3E-3"/>
        <n v="0.34229999999999999" u="1"/>
        <n v="0.24600000000000002" u="1"/>
        <n v="0.63139999999999996" u="1"/>
        <n v="0.64150000000000007" u="1"/>
        <n v="0.99890000000000001" u="1"/>
        <n v="0.55640000000000001" u="1"/>
        <n v="0.43180000000000002" u="1"/>
        <n v="0.24049999999999999" u="1"/>
        <n v="0.16539999999999999" u="1"/>
        <n v="0.1467" u="1"/>
        <n v="5.2600000000000001E-2" u="1"/>
        <n v="0.41409999999999997" u="1"/>
        <n v="0.50450000000000006" u="1"/>
        <n v="0.19359999999999999" u="1"/>
        <n v="4.41E-2" u="1"/>
        <n v="0.10300000000000001" u="1"/>
        <n v="8.0199999999999994E-2" u="1"/>
        <n v="8.72E-2" u="1"/>
        <n v="0.50369999999999993" u="1"/>
        <n v="0.13639999999999999" u="1"/>
        <n v="0.59160000000000001" u="1"/>
        <n v="0.1966" u="1"/>
        <n v="0.2487" u="1"/>
        <n v="0.41100000000000003" u="1"/>
        <n v="0.95430000000000004" u="1"/>
        <n v="0.61609999999999998" u="1"/>
        <n v="5.2999999999999999E-2" u="1"/>
        <n v="0.50219999999999998" u="1"/>
        <n v="0.15379999999999999" u="1"/>
        <n v="9.0999999999999998E-2" u="1"/>
        <n v="2.69E-2" u="1"/>
        <n v="5.1799999999999999E-2" u="1"/>
        <n v="0.51380000000000003" u="1"/>
        <n v="0.24510000000000001" u="1"/>
        <n v="0.2419" u="1"/>
        <n v="0.43880000000000002" u="1"/>
        <n v="0.20989999999999998" u="1"/>
        <n v="9.7199999999999995E-2" u="1"/>
        <n v="0.28559999999999997" u="1"/>
        <n v="0.62060000000000004" u="1"/>
        <n v="9.8299999999999998E-2" u="1"/>
        <n v="0" u="1"/>
        <n v="0.22819999999999999" u="1"/>
        <n v="8.1600000000000006E-2" u="1"/>
        <n v="7.9000000000000001E-2" u="1"/>
        <n v="0.19339999999999999" u="1"/>
        <n v="0.15229999999999999" u="1"/>
        <n v="9.4600000000000004E-2" u="1"/>
        <n v="0.33110000000000001" u="1"/>
        <n v="0.28449999999999998" u="1"/>
        <n v="0.622" u="1"/>
        <n v="0.98819999999999997" u="1"/>
        <n v="0.63380000000000003" u="1"/>
        <n v="0.99450000000000005" u="1"/>
        <n v="0.55179999999999996" u="1"/>
        <n v="0.43059999999999998" u="1"/>
        <n v="0.16500000000000001" u="1"/>
        <n v="0.14660000000000001" u="1"/>
        <n v="5.2499999999999998E-2" u="1"/>
        <n v="0.41260000000000002" u="1"/>
        <n v="0.50329999999999997" u="1"/>
        <n v="0.193" u="1"/>
        <n v="4.3400000000000001E-2" u="1"/>
        <n v="0.1028" u="1"/>
        <n v="0.97199999999999998" u="1"/>
        <n v="8.7099999999999997E-2" u="1"/>
        <n v="0.50370000000000004" u="1"/>
        <n v="0.13600000000000001" u="1"/>
        <n v="0.59119999999999995" u="1"/>
        <n v="0.2485" u="1"/>
        <n v="0.6089" u="1"/>
        <n v="5.2400000000000002E-2" u="1"/>
        <n v="0.41060000000000002" u="1"/>
        <n v="0.50170000000000003" u="1"/>
        <n v="9.01E-2" u="1"/>
        <n v="2.63E-2" u="1"/>
        <n v="5.0799999999999998E-2" u="1"/>
        <n v="0.51249999999999996" u="1"/>
        <n v="0.2424" u="1"/>
        <n v="0.23619999999999999" u="1"/>
        <n v="0.4385" u="1"/>
        <n v="0.14549999999999999" u="1"/>
        <n v="0.20519999999999999" u="1"/>
        <n v="0.28470000000000001" u="1"/>
        <n v="0.6169" u="1"/>
        <n v="0.311" u="1"/>
        <n v="0.27200000000000002" u="1"/>
        <n v="0.60829999999999995" u="1"/>
        <n v="0.60440000000000005" u="1"/>
        <n v="0.98560000000000003" u="1"/>
        <n v="0.54390000000000005" u="1"/>
        <n v="0.43" u="1"/>
        <n v="0.221" u="1"/>
        <n v="0.1464" u="1"/>
        <n v="5.2200000000000003E-2" u="1"/>
        <n v="8.0699999999999994E-2" u="1"/>
        <n v="0.41070000000000001" u="1"/>
        <n v="0.50209999999999999" u="1"/>
        <n v="4.2299999999999997E-2" u="1"/>
        <n v="0.1022" u="1"/>
        <n v="0.96550000000000002" u="1"/>
        <n v="7.8399999999999997E-2" u="1"/>
        <n v="8.6800000000000002E-2" u="1"/>
        <n v="0.50529999999999997" u="1"/>
        <n v="0.13489999999999999" u="1"/>
        <n v="5.1999999999999998E-2" u="1"/>
        <n v="0.5907" u="1"/>
        <n v="0.18940000000000001" u="1"/>
        <n v="0.24829999999999999" u="1"/>
        <n v="0.59630000000000005" u="1"/>
        <n v="5.1200000000000002E-2" u="1"/>
        <n v="0.40939999999999999" u="1"/>
        <n v="0.50080000000000002" u="1"/>
        <n v="0.15090000000000001" u="1"/>
        <n v="2.52E-2" u="1"/>
        <n v="2.24E-2" u="1"/>
        <n v="4.7399999999999998E-2" u="1"/>
        <n v="0.51019999999999999" u="1"/>
        <n v="0.24" u="1"/>
        <n v="0.43769999999999998" u="1"/>
        <n v="0.14380000000000001" u="1"/>
        <n v="8.8900000000000007E-2" u="1"/>
        <n v="0.28349999999999997" u="1"/>
        <n v="0.60919999999999996" u="1"/>
        <n v="0.2923" u="1"/>
        <n v="0.246" u="1"/>
        <n v="0.59809999999999997" u="1"/>
        <n v="0.76619999999999999" u="1"/>
        <n v="0.94830000000000003" u="1"/>
        <n v="0.54400000000000004" u="1"/>
        <n v="0.96189999999999998" u="1"/>
        <n v="0.52439999999999998" u="1"/>
        <n v="0.42959999999999998" u="1"/>
        <n v="0.2172" u="1"/>
        <n v="0.16489999999999999" u="1"/>
        <n v="5.1900000000000002E-2" u="1"/>
        <n v="0.08" u="1"/>
        <n v="0.4088" u="1"/>
        <n v="0.50149999999999995" u="1"/>
        <n v="0.1928" u="1"/>
        <n v="4.1300000000000003E-2" u="1"/>
        <n v="0.10150000000000001" u="1"/>
        <n v="0.95989999999999998" u="1"/>
        <n v="7.7799999999999994E-2" u="1"/>
        <n v="8.5900000000000004E-2" u="1"/>
        <n v="0.50260000000000005" u="1"/>
        <n v="0.13400000000000001" u="1"/>
        <n v="4.6800000000000001E-2" u="1"/>
        <n v="5.0900000000000001E-2" u="1"/>
        <n v="0.5897" u="1"/>
        <n v="0.18779999999999999" u="1"/>
        <n v="0.24740000000000001" u="1"/>
        <n v="0.40689999999999998" u="1"/>
        <n v="0.49959999999999999" u="1"/>
        <n v="0.14940000000000001" u="1"/>
        <n v="8.9300000000000004E-2" u="1"/>
        <n v="2.4299999999999999E-2" u="1"/>
        <n v="3.9199999999999999E-2" u="1"/>
        <n v="0.50829999999999997" u="1"/>
        <n v="0.2382" u="1"/>
        <n v="0.2296" u="1"/>
        <n v="0.43690000000000001" u="1"/>
        <n v="0.14169999999999999" u="1"/>
        <n v="0.2051" u="1"/>
        <n v="8.5300000000000001E-2" u="1"/>
        <n v="0.28079999999999999" u="1"/>
        <n v="0.60529999999999995" u="1"/>
        <n v="0.27610000000000001" u="1"/>
        <n v="0.58699999999999997" u="1"/>
        <n v="0.76149999999999995" u="1"/>
        <n v="0.99990000000000001" u="1"/>
        <n v="0.92889999999999995" u="1"/>
        <n v="0.52200000000000002" u="1"/>
        <n v="0.94189999999999996" u="1"/>
        <n v="0.51219999999999999" u="1"/>
        <n v="0.4294" u="1"/>
        <n v="0.20419999999999999" u="1"/>
        <n v="0.1648" u="1"/>
        <n v="0.14630000000000001" u="1"/>
        <n v="5.1700000000000003E-2" u="1"/>
        <n v="7.8100000000000003E-2" u="1"/>
        <n v="0.40720000000000001" u="1"/>
        <n v="0.19239999999999999" u="1"/>
        <n v="4.0399999999999998E-2" u="1"/>
        <n v="0.1012" u="1"/>
        <n v="7.7200000000000005E-2" u="1"/>
        <n v="8.5500000000000007E-2" u="1"/>
        <n v="0.50160000000000005" u="1"/>
        <n v="0.1331" u="1"/>
        <n v="4.3799999999999999E-2" u="1"/>
        <n v="0.05" u="1"/>
        <n v="0.58740000000000003" u="1"/>
        <n v="0.18729999999999999" u="1"/>
        <n v="0.24610000000000001" u="1"/>
        <n v="0.40410000000000001" u="1"/>
        <n v="0.49840000000000001" u="1"/>
        <n v="0.1479" u="1"/>
        <n v="8.7400000000000005E-2" u="1"/>
        <n v="2.3599999999999999E-2" u="1"/>
        <n v="0.02" u="1"/>
        <n v="3.1699999999999999E-2" u="1"/>
        <n v="0.50749999999999995" u="1"/>
        <n v="0.23680000000000001" u="1"/>
        <n v="0.22869999999999999" u="1"/>
        <n v="0.43580000000000002" u="1"/>
        <n v="0.13789999999999999" u="1"/>
        <n v="0.2049" u="1"/>
        <n v="8.3400000000000002E-2" u="1"/>
        <n v="0.28000000000000003" u="1"/>
        <n v="0.59519999999999995" u="1"/>
        <n v="8.3000000000000004E-2" u="1"/>
        <n v="0.25650000000000001" u="1"/>
        <n v="0.57779999999999998" u="1"/>
        <n v="0.75360000000000005" u="1"/>
        <n v="0.47849999999999998" u="1"/>
        <n v="0.82679999999999998" u="1"/>
        <n v="0.50009999999999999" u="1"/>
        <n v="0.42930000000000001" u="1"/>
        <n v="0.19520000000000001" u="1"/>
        <n v="0.1646" u="1"/>
        <n v="5.1400000000000001E-2" u="1"/>
        <n v="7.7899999999999997E-2" u="1"/>
        <n v="0.40489999999999998" u="1"/>
        <n v="0.49990000000000001" u="1"/>
        <n v="0.1918" u="1"/>
        <n v="3.8800000000000001E-2" u="1"/>
        <n v="0.10059999999999999" u="1"/>
        <n v="7.6799999999999993E-2" u="1"/>
        <n v="8.5099999999999995E-2" u="1"/>
        <n v="0.50070000000000003" u="1"/>
        <n v="0.1323" u="1"/>
        <n v="4.24E-2" u="1"/>
        <n v="0.40029999999999999" u="1"/>
        <n v="4.9099999999999998E-2" u="1"/>
        <n v="0.58350000000000002" u="1"/>
        <n v="0.49740000000000001" u="1"/>
        <n v="0.18590000000000001" u="1"/>
        <n v="0.24299999999999999" u="1"/>
        <n v="8.5400000000000004E-2" u="1"/>
        <n v="2.2200000000000001E-2" u="1"/>
        <n v="1.8700000000000001E-2" u="1"/>
        <n v="2.5700000000000001E-2" u="1"/>
        <n v="0.50680000000000003" u="1"/>
        <n v="0.23519999999999999" u="1"/>
        <n v="0.22689999999999999" u="1"/>
        <n v="0.43469999999999998" u="1"/>
        <n v="0.1346" u="1"/>
        <n v="0.2041" u="1"/>
        <n v="8.2299999999999998E-2" u="1"/>
        <n v="0.27729999999999999" u="1"/>
        <n v="0.83030000000000004" u="1"/>
        <n v="0.5847" u="1"/>
        <n v="7.2999999999999995E-2" u="1"/>
        <n v="0.84719999999999995" u="1"/>
        <n v="0.42909999999999998" u="1"/>
        <n v="0.1883" u="1"/>
        <n v="0.16450000000000001" u="1"/>
        <n v="5.11E-2" u="1"/>
        <n v="7.7700000000000005E-2" u="1"/>
        <n v="0.4027" u="1"/>
        <n v="0.499" u="1"/>
        <n v="0.1913" u="1"/>
        <n v="3.7199999999999997E-2" u="1"/>
        <n v="9.9000000000000005E-2" u="1"/>
        <n v="0.94710000000000005" u="1"/>
        <n v="7.5899999999999995E-2" u="1"/>
        <n v="8.4599999999999995E-2" u="1"/>
        <n v="0.49980000000000002" u="1"/>
        <n v="0.13100000000000001" u="1"/>
        <n v="4.07E-2" u="1"/>
        <n v="0.39689999999999998" u="1"/>
        <n v="0.49669999999999997" u="1"/>
        <n v="0.14560000000000001" u="1"/>
        <n v="0.1842" u="1"/>
        <n v="2.0899999999999998E-2" u="1"/>
        <n v="1.7100000000000001E-2" u="1"/>
        <n v="0.50609999999999999" u="1"/>
        <n v="0.2349" u="1"/>
        <n v="0.22159999999999999" u="1"/>
        <n v="0.43369999999999997" u="1"/>
        <n v="0.1328" u="1"/>
        <n v="0.1978" u="1"/>
        <n v="7.9399999999999998E-2" u="1"/>
        <n v="0.27539999999999998" u="1"/>
        <n v="0.82669999999999999" u="1"/>
        <n v="0.58150000000000002" u="1"/>
        <n v="6.7299999999999999E-2" u="1"/>
        <n v="0.7389" u="1"/>
        <n v="0.23910000000000001" u="1"/>
        <n v="0.2306" u="1"/>
        <n v="0.5696" u="1"/>
        <n v="0.74609999999999999" u="1"/>
        <n v="0.44729999999999998" u="1"/>
        <n v="0.68459999999999999" u="1"/>
        <n v="0.4869" u="1"/>
        <n v="0.99960000000000004" u="1"/>
        <n v="0.42899999999999999" u="1"/>
        <n v="0.16439999999999999" u="1"/>
        <n v="0.14599999999999999" u="1"/>
        <n v="0.4" u="1"/>
        <n v="0.498" u="1"/>
        <n v="0.191" u="1"/>
        <n v="3.6299999999999999E-2" u="1"/>
        <n v="0.94340000000000002" u="1"/>
        <n v="9.8100000000000007E-2" u="1"/>
        <n v="0.1298" u="1"/>
        <n v="8.4500000000000006E-2" u="1"/>
        <n v="3.9100000000000003E-2" u="1"/>
        <n v="0.39500000000000002" u="1"/>
        <n v="0.18010000000000001" u="1"/>
        <n v="0.1434" u="1"/>
        <n v="7.22E-2" u="1"/>
        <n v="7.46E-2" u="1"/>
        <n v="0.16889999999999999" u="1"/>
        <n v="7.6999999999999999E-2" u="1"/>
        <n v="0.49619999999999997" u="1"/>
        <n v="0.58430000000000004" u="1"/>
        <n v="0.2384" u="1"/>
        <n v="8.1699999999999995E-2" u="1"/>
        <n v="1.84E-2" u="1"/>
        <n v="1.49E-2" u="1"/>
        <n v="0.67810000000000004" u="1"/>
        <n v="2.1399999999999999E-2" u="1"/>
        <n v="0.23369999999999999" u="1"/>
        <n v="0.2175" u="1"/>
        <n v="0.43280000000000002" u="1"/>
        <n v="0.27160000000000001" u="1"/>
        <n v="0.57799999999999996" u="1"/>
        <n v="6.1600000000000002E-2" u="1"/>
        <n v="0.82489999999999997" u="1"/>
        <n v="0.21970000000000001" u="1"/>
        <n v="0.55520000000000003" u="1"/>
        <n v="0.40150000000000002" u="1"/>
        <n v="0.2223" u="1"/>
        <n v="0.6452" u="1"/>
        <n v="0.73480000000000001" u="1"/>
        <n v="0.47120000000000001" u="1"/>
        <n v="0.99139999999999995" u="1"/>
        <n v="0.72499999999999998" u="1"/>
        <n v="0.3755" u="1"/>
        <n v="0.61350000000000005" u="1"/>
        <n v="0.53769999999999996" u="1"/>
        <n v="0.22120000000000001" u="1"/>
        <n v="0.46089999999999998" u="1"/>
        <n v="0.95040000000000002" u="1"/>
        <n v="0.39340000000000003" u="1"/>
        <n v="0.14580000000000001" u="1"/>
        <n v="0.42920000000000003" u="1"/>
        <n v="0.19070000000000001" u="1"/>
        <n v="0.93610000000000004" u="1"/>
        <n v="5.0599999999999999E-2" u="1"/>
        <n v="0.1641" u="1"/>
        <n v="0.1273" u="1"/>
        <n v="4.5699999999999998E-2" u="1"/>
        <n v="8.3199999999999996E-2" u="1"/>
        <n v="9.74E-2" u="1"/>
        <n v="0.49559999999999998" u="1"/>
        <n v="0.39829999999999999" u="1"/>
        <n v="3.8199999999999998E-2" u="1"/>
        <n v="3.5499999999999997E-2" u="1"/>
        <n v="0.4975" u="1"/>
        <n v="0.21829999999999999" u="1"/>
        <n v="0.2114" u="1"/>
        <n v="0.82310000000000005" u="1"/>
        <n v="0.67449999999999999" u="1"/>
        <n v="0.49569999999999997" u="1"/>
        <n v="1.6899999999999998E-2" u="1"/>
        <n v="0.57310000000000005" u="1"/>
        <n v="0.12870000000000001" u="1"/>
        <n v="0.58379999999999999" u="1"/>
        <n v="0.216" u="1"/>
        <n v="5.62E-2" u="1"/>
        <n v="0.18160000000000001" u="1"/>
        <n v="0.50439999999999996" u="1"/>
        <n v="0.43190000000000001" u="1"/>
        <n v="0.26650000000000001" u="1"/>
        <n v="0.23319999999999999" u="1"/>
        <n v="1.2800000000000001E-2" u="1"/>
        <n v="1.95E-2" u="1"/>
        <n v="0.3221" u="1"/>
        <n v="7.6499999999999999E-2" u="1"/>
        <n v="0.82079999999999997" u="1"/>
        <n v="0.71160000000000001" u="1"/>
        <n v="0.34360000000000002" u="1"/>
        <n v="0.5786" u="1"/>
        <n v="0.50549999999999995" u="1"/>
        <n v="0.31269999999999998" u="1"/>
        <n v="0.44340000000000002" u="1"/>
        <n v="0.65500000000000003" u="1"/>
        <n v="0.3921" u="1"/>
        <n v="0.1457" u="1"/>
        <n v="0.16239999999999999" u="1"/>
        <n v="0.1903" u="1"/>
        <n v="0.92830000000000001" u="1"/>
        <n v="5.04E-2" u="1"/>
        <n v="7.3800000000000004E-2" u="1"/>
        <n v="0.1636" u="1"/>
        <n v="0.12379999999999999" u="1"/>
        <n v="4.4200000000000003E-2" u="1"/>
        <n v="8.3099999999999993E-2" u="1"/>
        <n v="9.69E-2" u="1"/>
        <n v="0.49430000000000002" u="1"/>
        <n v="0.39639999999999997" u="1"/>
        <n v="3.7100000000000001E-2" u="1"/>
        <n v="3.4200000000000001E-2" u="1"/>
        <n v="0.21790000000000001" u="1"/>
        <n v="0.4924" u="1"/>
        <n v="0.1424" u="1"/>
        <n v="1.5699999999999999E-2" u="1"/>
        <n v="0.56830000000000003" u="1"/>
        <n v="0.12659999999999999" u="1"/>
        <n v="0.1774" u="1"/>
        <n v="0.58279999999999998" u="1"/>
        <n v="6.889090574891607E-2" u="1"/>
        <n v="0.21490000000000001" u="1"/>
        <n v="0.1777" u="1"/>
        <n v="0.50319999999999998" u="1"/>
        <n v="0.43099999999999999" u="1"/>
        <n v="0.26279999999999998" u="1"/>
        <n v="0.23250000000000001" u="1"/>
        <n v="1.11E-2" u="1"/>
        <n v="0.29809999999999998" u="1"/>
        <n v="0.81940000000000002" u="1"/>
        <n v="0.42359999999999998" u="1"/>
        <n v="0.69799999999999995" u="1"/>
        <n v="0.65280000000000005" u="1"/>
        <n v="0.38800000000000001" u="1"/>
        <n v="0.4289" u="1"/>
        <n v="0.1537" u="1"/>
        <n v="7.5999999999999998E-2" u="1"/>
        <n v="0.18990000000000001" u="1"/>
        <n v="0.91739999999999999" u="1"/>
        <n v="5.0299999999999997E-2" u="1"/>
        <n v="0.1628" u="1"/>
        <n v="0.12130000000000001" u="1"/>
        <n v="4.2500000000000003E-2" u="1"/>
        <n v="8.2900000000000001E-2" u="1"/>
        <n v="9.6000000000000002E-2" u="1"/>
        <n v="0.49359999999999998" u="1"/>
        <n v="0.39879999999999999" u="1"/>
        <n v="3.61E-2" u="1"/>
        <n v="0.48780000000000001" u="1"/>
        <n v="3.2800000000000003E-2" u="1"/>
        <n v="0.495" u="1"/>
        <n v="0.3266" u="1"/>
        <n v="0.53559999999999997" u="1"/>
        <n v="0.4839" u="1"/>
        <n v="0.14149999999999999" u="1"/>
        <n v="1.44E-2" u="1"/>
        <n v="0.56359999999999999" u="1"/>
        <n v="0.1244" u="1"/>
        <n v="0.17660000000000001" u="1"/>
        <n v="0.58220000000000005" u="1"/>
        <n v="6.4299999999999996E-2" u="1"/>
        <n v="4.5900000000000003E-2" u="1"/>
        <n v="0.1772" u="1"/>
        <n v="0.502" u="1"/>
        <n v="0.42870000000000003" u="1"/>
        <n v="0.26129999999999998" u="1"/>
        <n v="7.9100000000000004E-2" u="1"/>
        <n v="0.23019999999999999" u="1"/>
        <n v="9.1999999999999998E-3" u="1"/>
        <n v="1.26E-2" u="1"/>
        <n v="0.2671" u="1"/>
        <n v="0.81810000000000005" u="1"/>
        <n v="0.4052" u="1"/>
        <n v="0.68469999999999998" u="1"/>
        <n v="0.38379999999999997" u="1"/>
        <n v="0.1454" u="1"/>
        <n v="7.5499999999999998E-2" u="1"/>
        <n v="0.91180000000000005" u="1"/>
        <n v="4.9799999999999997E-2" u="1"/>
        <n v="7.2800000000000004E-2" u="1"/>
        <n v="0.16220000000000001" u="1"/>
        <n v="0.1193" u="1"/>
        <n v="4.1599999999999998E-2" u="1"/>
        <n v="8.2600000000000007E-2" u="1"/>
        <n v="9.4200000000000006E-2" u="1"/>
        <n v="0.49080000000000001" u="1"/>
        <n v="0.39660000000000001" u="1"/>
        <n v="3.5299999999999998E-2" u="1"/>
        <n v="0.48580000000000001" u="1"/>
        <n v="3.15E-2" u="1"/>
        <n v="0.49469999999999997" u="1"/>
        <n v="0.21659999999999999" u="1"/>
        <n v="0.31" u="1"/>
        <n v="0.54" u="1"/>
        <n v="0.57999999999999996" u="1"/>
        <n v="0.45369999999999999" u="1"/>
        <n v="0.14080000000000001" u="1"/>
        <n v="0.55889999999999995" u="1"/>
        <n v="0.1212" u="1"/>
        <n v="0.17519999999999999" u="1"/>
        <n v="0.58109999999999995" u="1"/>
        <n v="6.0100000000000001E-2" u="1"/>
        <n v="0.2107" u="1"/>
        <n v="3.9899999999999998E-2" u="1"/>
        <n v="0.17730000000000001" u="1"/>
        <n v="0.50129999999999997" u="1"/>
        <n v="0.4264" u="1"/>
        <n v="0.25900000000000001" u="1"/>
        <n v="7.8600000000000003E-2" u="1"/>
        <n v="0.2283" u="1"/>
        <n v="7.3000000000000001E-3" u="1"/>
        <n v="9.7999999999999997E-3" u="1"/>
        <n v="0.47060000000000002" u="1"/>
        <n v="0.63929999999999998" u="1"/>
        <n v="0.99529999999999996" u="1"/>
        <n v="0.26250000000000001" u="1"/>
        <n v="0.81689999999999996" u="1"/>
        <n v="0.3881" u="1"/>
        <n v="0.442" u="1"/>
        <n v="0.61580000000000001" u="1"/>
        <n v="0.6704" u="1"/>
        <n v="0.56599999999999995" u="1"/>
        <n v="0.38329999999999997" u="1"/>
        <n v="0.1452" u="1"/>
        <n v="0.42880000000000001" u="1"/>
        <n v="0.1371" u="1"/>
        <n v="7.4800000000000005E-2" u="1"/>
        <n v="0.18770000000000001" u="1"/>
        <n v="0.90549999999999997" u="1"/>
        <n v="4.9200000000000001E-2" u="1"/>
        <n v="7.2599999999999998E-2" u="1"/>
        <n v="0.16170000000000001" u="1"/>
        <n v="0.1176" u="1"/>
        <n v="4.1200000000000001E-2" u="1"/>
        <n v="8.2500000000000004E-2" u="1"/>
        <n v="9.3299999999999994E-2" u="1"/>
        <n v="0.48859999999999998" u="1"/>
        <n v="0.39450000000000002" u="1"/>
        <n v="3.4700000000000002E-2" u="1"/>
        <n v="0.48509999999999998" u="1"/>
        <n v="3.0499999999999999E-2" u="1"/>
        <n v="0.49320000000000003" u="1"/>
        <n v="0.43030000000000002" u="1"/>
        <n v="0.80789999999999995" u="1"/>
        <n v="0.13769999999999999" u="1"/>
        <n v="1.06E-2" u="1"/>
        <n v="0.55430000000000001" u="1"/>
        <n v="0.1186" u="1"/>
        <n v="0.17349999999999999" u="1"/>
        <n v="0.57950000000000002" u="1"/>
        <n v="5.6599999999999998E-2" u="1"/>
        <n v="0.21010000000000001" u="1"/>
        <n v="3.2000000000000001E-2" u="1"/>
        <n v="0.50060000000000004" u="1"/>
        <n v="0.4229" u="1"/>
        <n v="0.25509999999999999" u="1"/>
        <n v="4.1999999999999997E-3" u="1"/>
        <n v="0.245" u="1"/>
        <n v="0.81620000000000004" u="1"/>
        <n v="0.37059999999999998" u="1"/>
        <n v="0.42" u="1"/>
        <n v="0.57020000000000004" u="1"/>
        <n v="0.59040000000000004" u="1"/>
        <n v="0.65990000000000004" u="1"/>
        <n v="0.98850000000000005" u="1"/>
        <n v="0.55559999999999998" u="1"/>
        <n v="0.38269999999999998" u="1"/>
        <n v="0.12959999999999999" u="1"/>
        <n v="7.4200000000000002E-2" u="1"/>
        <n v="0.18659999999999999" u="1"/>
        <n v="0.89980000000000004" u="1"/>
        <n v="4.87E-2" u="1"/>
        <n v="7.1900000000000006E-2" u="1"/>
        <n v="0.1163" u="1"/>
        <n v="4.0300000000000002E-2" u="1"/>
        <n v="9.1200000000000003E-2" u="1"/>
        <n v="0.48830000000000001" u="1"/>
        <n v="0.39229999999999998" u="1"/>
        <n v="3.4099999999999998E-2" u="1"/>
        <n v="0.48470000000000002" u="1"/>
        <n v="0.67830000000000001" u="1"/>
        <n v="2.98E-2" u="1"/>
        <n v="0.49170000000000003" u="1"/>
        <n v="0.2152" u="1"/>
        <n v="0.13689999999999999" u="1"/>
        <n v="7.7999999999999996E-3" u="1"/>
        <n v="0.54920000000000002" u="1"/>
        <n v="0.1166" u="1"/>
        <n v="0.17150000000000001" u="1"/>
        <n v="0.57850000000000001" u="1"/>
        <n v="5.5100000000000003E-2" u="1"/>
        <n v="0.2092" u="1"/>
        <n v="2.4400000000000002E-2" u="1"/>
        <n v="0.17430000000000001" u="1"/>
        <n v="0.49930000000000002" u="1"/>
        <n v="0.41949999999999998" u="1"/>
        <n v="0.2535" u="1"/>
        <n v="7.7100000000000002E-2" u="1"/>
        <n v="0.22470000000000001" u="1"/>
        <n v="6.4000000000000003E-3" u="1"/>
        <n v="0.22220000000000001" u="1"/>
        <n v="0.80830000000000002" u="1"/>
        <n v="0.36020000000000002" u="1"/>
        <n v="0.39" u="1"/>
        <n v="0.55989999999999995" u="1"/>
        <n v="0.57240000000000002" u="1"/>
        <n v="0.65569999999999995" u="1"/>
        <n v="0.96730000000000005" u="1"/>
        <n v="0.54879999999999995" u="1"/>
        <n v="0.38229999999999997" u="1"/>
        <n v="0.14510000000000001" u="1"/>
        <n v="0.42849999999999999" u="1"/>
        <n v="0.1158" u="1"/>
        <n v="7.1999999999999995E-2" u="1"/>
        <n v="0.18609999999999999" u="1"/>
        <n v="0.89700000000000002" u="1"/>
        <n v="4.8599999999999997E-2" u="1"/>
        <n v="7.1300000000000002E-2" u="1"/>
        <n v="0.16159999999999999" u="1"/>
        <n v="0.11600000000000001" u="1"/>
        <n v="3.9300000000000002E-2" u="1"/>
        <n v="9.0300000000000005E-2" u="1"/>
        <n v="0.48799999999999999" u="1"/>
        <n v="0.3906" u="1"/>
        <n v="3.3700000000000001E-2" u="1"/>
        <n v="2.93E-2" u="1"/>
        <n v="0.49049999999999999" u="1"/>
        <n v="0.21440000000000001" u="1"/>
        <n v="0.1356" u="1"/>
        <n v="5.5999999999999999E-3" u="1"/>
        <n v="0.54559999999999997" u="1"/>
        <n v="0.11509999999999999" u="1"/>
        <n v="0.1686" u="1"/>
        <n v="0.57789999999999997" u="1"/>
        <n v="5.2699999999999997E-2" u="1"/>
        <n v="0.2034" u="1"/>
        <n v="1.9300000000000001E-2" u="1"/>
        <n v="0.49719999999999998" u="1"/>
        <n v="0.41799999999999998" u="1"/>
        <n v="0.25130000000000002" u="1"/>
        <n v="7.6899999999999996E-2" u="1"/>
        <n v="0.22370000000000001" u="1"/>
        <n v="5.3E-3" u="1"/>
        <n v="0.1961" u="1"/>
        <n v="0.79810000000000003" u="1"/>
        <n v="0.3387" u="1"/>
        <n v="0.34710000000000002" u="1"/>
        <n v="0.53039999999999998" u="1"/>
        <n v="0.88" u="1"/>
        <n v="0.78669999999999995" u="1"/>
        <n v="0.53539999999999999" u="1"/>
        <n v="0.38040000000000002" u="1"/>
        <n v="0.14499999999999999" u="1"/>
        <n v="0.42649999999999999" u="1"/>
        <n v="0.106" u="1"/>
        <n v="7.1099999999999997E-2" u="1"/>
        <n v="0.18049999999999999" u="1"/>
        <n v="0.88790000000000002" u="1"/>
        <n v="4.8399999999999999E-2" u="1"/>
        <n v="7.1199999999999999E-2" u="1"/>
        <n v="0.1613" u="1"/>
        <n v="0.1147" u="1"/>
        <n v="3.6700000000000003E-2" u="1"/>
        <n v="7.9299999999999995E-2" u="1"/>
        <n v="8.8200000000000001E-2" u="1"/>
        <n v="0.48559999999999998" u="1"/>
        <n v="0.3861" u="1"/>
        <n v="3.2599999999999997E-2" u="1"/>
        <n v="0.48459999999999998" u="1"/>
        <n v="2.86E-2" u="1"/>
        <n v="0.48699999999999999" u="1"/>
        <n v="0.1348" u="1"/>
        <n v="2.0999999999999999E-3" u="1"/>
        <n v="0.53300000000000003" u="1"/>
        <n v="0.53669999999999995" u="1"/>
        <n v="0.1132" u="1"/>
        <n v="0.16639999999999999" u="1"/>
        <n v="0.57709999999999995" u="1"/>
        <n v="0.1986" u="1"/>
        <n v="2.3999999999999998E-3" u="1"/>
        <n v="0.17050000000000001" u="1"/>
        <n v="0.41349999999999998" u="1"/>
        <n v="0.2462" u="1"/>
        <n v="7.4999999999999997E-2" u="1"/>
        <n v="0.6361" u="1"/>
        <n v="0.22090000000000001" u="1"/>
        <n v="2.8E-3" u="1"/>
        <n v="0.18110000000000001" u="1"/>
        <n v="0.79300000000000004" u="1"/>
        <n v="0.33029999999999998" u="1"/>
        <n v="0.33" u="1"/>
        <n v="0.79479999999999995" u="1"/>
        <n v="0.58730000000000004" u="1"/>
        <n v="0.53080000000000005" u="1"/>
        <n v="0.377" u="1"/>
        <n v="0.87919999999999998" u="1"/>
        <n v="0.42370000000000002" u="1"/>
        <n v="0.10050000000000001" u="1"/>
        <n v="7.0599999999999996E-2" u="1"/>
        <n v="0.17530000000000001" u="1"/>
        <n v="4.8300000000000003E-2" u="1"/>
        <n v="0.161" u="1"/>
        <n v="7.0999999999999994E-2" u="1"/>
        <n v="0.1118" u="1"/>
        <n v="3.5900000000000001E-2" u="1"/>
        <n v="7.8799999999999995E-2" u="1"/>
        <n v="8.7499999999999994E-2" u="1"/>
        <n v="0.48420000000000002" u="1"/>
        <n v="0.48449999999999999" u="1"/>
        <n v="2.8199999999999999E-2" u="1"/>
        <n v="8.9999999999999998E-4" u="1"/>
        <n v="0.5252" u="1"/>
        <n v="0.13450000000000001" u="1"/>
        <n v="0.51519999999999999" u="1"/>
        <n v="0.1123" u="1"/>
        <n v="0.57679999999999998" u="1"/>
        <n v="0.19470000000000001" u="1"/>
        <n v="0.16600000000000001" u="1"/>
        <n v="1E-3" u="1"/>
        <n v="4.9399999999999999E-2" u="1"/>
        <n v="0.20630000000000001" u="1"/>
        <n v="0.16769999999999999" u="1"/>
        <n v="0.49120000000000003" u="1"/>
        <n v="0.2432" u="1"/>
        <n v="0.497" u="1"/>
        <n v="7.3700000000000002E-2" u="1"/>
        <n v="0.61539999999999995" u="1"/>
        <n v="0.21859999999999999" u="1"/>
        <n v="1.1000000000000001E-3" u="1"/>
        <n v="0.68510000000000004" u="1"/>
        <n v="0.31759999999999999" u="1"/>
        <n v="0.375" u="1"/>
        <n v="0.67010000000000003" u="1"/>
        <n v="0.17399999999999999" u="1"/>
        <n v="0.71140000000000003" u="1"/>
        <n v="0.40570000000000001" u="1"/>
        <n v="0.78159999999999996" u="1"/>
        <n v="0.5232" u="1"/>
        <n v="0.99909999999999999" u="1"/>
        <n v="0.86799999999999999" u="1"/>
        <n v="0.42309999999999998" u="1"/>
        <n v="9.1899999999999996E-2" u="1"/>
        <n v="6.9699999999999998E-2" u="1"/>
        <n v="0.17380000000000001" u="1"/>
        <n v="4.82E-2" u="1"/>
        <n v="0.16070000000000001" u="1"/>
        <n v="0.1094" u="1"/>
        <n v="0.38240000000000002" u="1"/>
        <n v="0.48280000000000001" u="1"/>
        <n v="3.1600000000000003E-2" u="1"/>
        <n v="0.1341" u="1"/>
        <n v="2.7699999999999999E-2" u="1"/>
        <n v="4.0000000000000002E-4" u="1"/>
        <n v="0.49030000000000001" u="1"/>
        <n v="0.11" u="1"/>
        <n v="0.57599999999999996" u="1"/>
        <n v="0.19320000000000001" u="1"/>
        <n v="0.16520000000000001" u="1"/>
        <n v="4.3200000000000002E-2" u="1"/>
        <n v="0.2019" u="1"/>
        <n v="0.4894" u="1"/>
        <n v="0.40699999999999997" u="1"/>
        <n v="0.48359999999999997" u="1"/>
        <n v="0.2389" u="1"/>
        <n v="0.47420000000000001" u="1"/>
        <n v="0.30859999999999999" u="1"/>
        <n v="7.2400000000000006E-2" u="1"/>
        <n v="0.60319999999999996" u="1"/>
        <n v="0.21809999999999999" u="1"/>
        <n v="0.1326" u="1"/>
        <n v="0.51419999999999999" u="1"/>
        <n v="0.65490000000000004" u="1"/>
        <n v="0.15190000000000001" u="1"/>
        <n v="0.65559999999999996" u="1"/>
        <n v="0.3175" u="1"/>
        <n v="0.99480000000000002" u="1"/>
        <n v="0.1449" u="1"/>
        <n v="8.4199999999999997E-2" u="1"/>
        <n v="0.1734" u="1"/>
        <n v="4.7600000000000003E-2" u="1"/>
        <n v="0.16059999999999999" u="1"/>
        <n v="7.0199999999999999E-2" u="1"/>
        <n v="0.1024" u="1"/>
        <n v="0.19309999999999999" u="1"/>
        <n v="3.9800000000000002E-2" u="1"/>
        <n v="0.19750000000000001" u="1"/>
        <n v="0.48930000000000001" u="1"/>
        <n v="0.4047" u="1"/>
        <n v="0.48110000000000003" u="1"/>
        <n v="0.23710000000000001" u="1"/>
        <n v="0.45100000000000001" u="1"/>
        <n v="0.28960000000000002" u="1"/>
        <n v="0.59179999999999999" u="1"/>
        <n v="0.21579999999999999" u="1"/>
        <n v="0.54930000000000001" u="1"/>
        <n v="2.76E-2" u="1"/>
        <n v="2.9999999999999997E-4" u="1"/>
        <n v="3.8600000000000002E-2" u="1"/>
        <n v="2.35E-2" u="1"/>
        <n v="1.4999999999999999E-2" u="1"/>
        <n v="0.1487" u="1"/>
        <n v="0.53380000000000005" u="1"/>
        <n v="9.8000000000000004E-2" u="1"/>
        <n v="0.2162" u="1"/>
        <n v="2.0400000000000001E-2" u="1"/>
        <n v="1.29E-2" u="1"/>
        <n v="0.7802" u="1"/>
        <n v="0.33789999999999998" u="1"/>
        <n v="0.52949999999999997" u="1"/>
        <n v="0.22700000000000001" u="1"/>
        <n v="0.71130000000000004" u="1"/>
        <n v="0.91390000000000005" u="1"/>
        <n v="0.57940000000000003" u="1"/>
        <n v="0.1082" u="1"/>
        <n v="0.38490000000000002" u="1"/>
        <n v="4.8899999999999999E-2" u="1"/>
        <n v="7.4399999999999994E-2" u="1"/>
        <n v="4.3099999999999999E-2" u="1"/>
        <n v="0.47399999999999998" u="1"/>
        <n v="9.5399999999999999E-2" u="1"/>
        <n v="0.18229999999999999" u="1"/>
        <n v="5.0099999999999999E-2" u="1"/>
        <n v="0.12889999999999999" u="1"/>
        <n v="0.18190000000000001" u="1"/>
        <n v="0.75949999999999995" u="1"/>
        <n v="0.33050000000000002" u="1"/>
        <n v="0.51849999999999996" u="1"/>
        <n v="0.22170000000000001" u="1"/>
        <n v="0.63680000000000003" u="1"/>
        <n v="0.13089999999999999" u="1"/>
        <n v="0.26419999999999999" u="1"/>
        <n v="0.59750000000000003" u="1"/>
        <n v="0.60960000000000003" u="1"/>
        <n v="0.5091" u="1"/>
        <n v="0.1075" u="1"/>
        <n v="0.93469999999999998" u="1"/>
        <n v="0.90439999999999998" u="1"/>
        <n v="0.57279999999999998" u="1"/>
        <n v="0.50270000000000004" u="1"/>
        <n v="0.96899999999999997" u="1"/>
        <n v="0.85009999999999997" u="1"/>
        <n v="3.4599999999999999E-2" u="1"/>
        <n v="0.3669" u="1"/>
        <n v="0.27029999999999998" u="1"/>
        <n v="2.3300000000000001E-2" u="1"/>
        <n v="6.1400000000000003E-2" u="1"/>
        <n v="1.7999999999999999E-2" u="1"/>
        <n v="1.21E-2" u="1"/>
        <n v="0.13780000000000001" u="1"/>
        <n v="0.47760000000000002" u="1"/>
        <n v="0.23380000000000001" u="1"/>
        <n v="0.43109999999999998" u="1"/>
        <n v="8.1100000000000005E-2" u="1"/>
        <n v="0.27010000000000001" u="1"/>
        <n v="0.58550000000000002" u="1"/>
        <n v="0.52590000000000003" u="1"/>
        <n v="9.0399999999999994E-2" u="1"/>
        <n v="0.17019999999999999" u="1"/>
        <n v="0.54649999999999999" u="1"/>
        <n v="0.2069" u="1"/>
        <n v="4.3900000000000002E-2" u="1"/>
        <n v="1.6E-2" u="1"/>
        <n v="0.43009999999999998" u="1"/>
        <n v="0.3478" u="1"/>
        <n v="0.74297999999999997" u="1"/>
        <n v="0.30930000000000002" u="1"/>
        <n v="0.49590000000000001" u="1"/>
        <n v="0.17249999999999999" u="1"/>
        <n v="0.21629999999999999" u="1"/>
        <n v="0.62770000000000004" u="1"/>
        <n v="0.1159" u="1"/>
        <n v="0.252" u="1"/>
        <n v="0.58330000000000004" u="1"/>
        <n v="0.72019999999999995" u="1"/>
        <n v="0.88890000000000002" u="1"/>
        <n v="0.69589999999999996" u="1"/>
        <n v="0.56389999999999996" u="1"/>
        <n v="0.49459999999999998" u="1"/>
        <n v="0.93030000000000002" u="1"/>
        <n v="9.9299999999999999E-2" u="1"/>
        <n v="0.84399999999999997" u="1"/>
        <n v="7.2499999999999995E-2" u="1"/>
        <n v="0.3503" u="1"/>
        <n v="1.9400000000000001E-2" u="1"/>
        <n v="5.4100000000000002E-2" u="1"/>
        <n v="8.3999999999999995E-3" u="1"/>
        <n v="0.1239" u="1"/>
        <n v="0.24763178963416613" u="1"/>
        <n v="8.0500000000000002E-2" u="1"/>
        <n v="0.53620000000000001" u="1"/>
        <n v="0.56930000000000003" u="1"/>
        <n v="8.7900000000000006E-2" u="1"/>
        <n v="0.51500000000000001" u="1"/>
        <n v="0.26800000000000002" u="1"/>
        <n v="8.6099999999999996E-2" u="1"/>
        <n v="0.49280000000000002" u="1"/>
        <n v="0.16109999999999999" u="1"/>
        <n v="0.54320000000000002" u="1"/>
        <n v="0.20050000000000001" u="1"/>
        <n v="3.7699999999999997E-2" u="1"/>
        <n v="8.8000000000000005E-3" u="1"/>
        <n v="8.8599999999999998E-2" u="1"/>
        <n v="0.4128" u="1"/>
        <n v="0.45379999999999998" u="1"/>
        <n v="0.72340000000000004" u="1"/>
        <n v="0.69430000000000003" u="1"/>
        <n v="0.29270000000000002" u="1"/>
        <n v="0.48089999999999999" u="1"/>
        <n v="0.14829999999999999" u="1"/>
        <n v="0.2079" u="1"/>
        <n v="0.61799999999999999" u="1"/>
        <n v="0.11219999999999999" u="1"/>
        <n v="0.24179999999999999" u="1"/>
        <n v="0.86460000000000004" u="1"/>
        <n v="0.68149999999999999" u="1"/>
        <n v="0.37509999999999999" u="1"/>
        <n v="0.91810000000000003" u="1"/>
        <n v="0.55389999999999995" u="1"/>
        <n v="0.48520000000000002" u="1"/>
        <n v="0.89580000000000004" u="1"/>
        <n v="9.3899999999999997E-2" u="1"/>
        <n v="0.84079999999999999" u="1"/>
        <n v="6.7000000000000004E-2" u="1"/>
        <n v="0.34010000000000001" u="1"/>
        <n v="0.2467" u="1"/>
        <n v="3.5200000000000002E-2" u="1"/>
        <n v="6.8099999999999994E-2" u="1"/>
        <n v="1.4800000000000001E-2" u="1"/>
        <n v="8.9999999999999993E-3" u="1"/>
        <n v="6.4999999999999997E-3" u="1"/>
        <n v="0.1106" u="1"/>
        <n v="0.55759999999999998" u="1"/>
        <n v="7.8299999999999995E-2" u="1"/>
        <n v="0.49370000000000003" u="1"/>
        <n v="0.26369999999999999" u="1"/>
        <n v="7.4899999999999994E-2" u="1"/>
        <n v="0.42459999999999998" u="1"/>
        <n v="0.15409999999999999" u="1"/>
        <n v="0.1953" u="1"/>
        <n v="3.5000000000000003E-2" u="1"/>
        <n v="7.5200000000000003E-2" u="1"/>
        <n v="0.8327" u="1"/>
        <n v="0.39510000000000001" u="1"/>
        <n v="0.40039999999999998" u="1"/>
        <n v="0.29730000000000001" u="1"/>
        <n v="0.6603" u="1"/>
        <n v="0.64770000000000005" u="1"/>
        <n v="0.92569999999999997" u="1"/>
        <n v="0.34289999999999998" u="1"/>
        <n v="0.62170000000000003" u="1"/>
        <n v="0.84699999999999998" u="1"/>
        <n v="0.52190000000000003" u="1"/>
        <n v="0.45860000000000001" u="1"/>
        <n v="0.77239999999999998" u="1"/>
        <n v="8.5599999999999996E-2" u="1"/>
        <n v="0.81969999999999998" u="1"/>
        <n v="6.25E-2" u="1"/>
        <n v="2.3800000000000002E-2" u="1"/>
        <n v="5.96E-2" u="1"/>
        <n v="0.30830000000000002" u="1"/>
        <n v="0.2208" u="1"/>
        <n v="2.75E-2" u="1"/>
        <n v="5.28E-2" u="1"/>
        <n v="7.9000000000000008E-3" u="1"/>
        <n v="3.2099999999999997E-2" u="1"/>
        <n v="5.4999999999999997E-3" u="1"/>
        <n v="0.25309999999999999" u="1"/>
        <n v="0.25640000000000002" u="1"/>
        <n v="4.53E-2" u="1"/>
        <n v="0.43609999999999999" u="1"/>
        <n v="0.1142" u="1"/>
        <n v="0.47249999999999998" u="1"/>
        <n v="0.5454" u="1"/>
        <n v="0.59870000000000001" u="1"/>
        <n v="8.8700000000000001E-2" u="1"/>
        <n v="0.45929999999999999" u="1"/>
        <n v="0.19639999999999999" u="1"/>
        <n v="0.52900000000000003" u="1"/>
        <n v="0.18429999999999999" u="1"/>
        <n v="2.53E-2" u="1"/>
        <n v="4.7000000000000002E-3" u="1"/>
        <n v="1.4E-3" u="1"/>
        <n v="2.7799999999999998E-2" u="1"/>
        <n v="0.79500000000000004" u="1"/>
        <n v="0.63180000000000003" u="1"/>
        <n v="0.38290000000000002" u="1"/>
        <n v="0.3916" u="1"/>
        <n v="0.28699999999999998" u="1"/>
        <n v="0.69359999999999999" u="1"/>
        <n v="0.32419999999999999" u="1"/>
        <n v="0.54959999999999998" u="1"/>
        <n v="0.82379999999999998" u="1"/>
        <n v="0.50360000000000005" u="1"/>
        <n v="0.4506" u="1"/>
        <n v="0.73170000000000002" u="1"/>
        <n v="8.1500000000000003E-2" u="1"/>
        <n v="0.80969999999999998" u="1"/>
        <n v="5.91E-2" u="1"/>
        <n v="2.1499999999999998E-2" u="1"/>
        <n v="5.7099999999999998E-2" u="1"/>
        <n v="0.29870000000000002" u="1"/>
        <n v="0.2122" u="1"/>
        <n v="2.5399999999999999E-2" u="1"/>
        <n v="4.2799999999999998E-2" u="1"/>
        <n v="6.6E-3" u="1"/>
        <n v="1.9E-3" u="1"/>
        <n v="3.3E-3" u="1"/>
        <n v="0.44640000000000002" u="1"/>
        <n v="0.2404" u="1"/>
        <n v="0.24110000000000001" u="1"/>
        <n v="4.0099999999999997E-2" u="1"/>
        <n v="0.42409999999999998" u="1"/>
        <n v="0.1041" u="1"/>
        <n v="0.65229999999999999" u="1"/>
        <n v="0.46879999999999999" u="1"/>
        <n v="0.1757" u="1"/>
        <n v="0.53910000000000002" u="1"/>
        <n v="6.9900000000000004E-2" u="1"/>
        <n v="0.45019999999999999" u="1"/>
        <n v="0.13339999999999999" u="1"/>
        <n v="0.1865" u="1"/>
        <n v="0.52680000000000005" u="1"/>
        <n v="0.1797" u="1"/>
        <n v="3.2000000000000002E-3" u="1"/>
        <n v="1.3100000000000001E-2" u="1"/>
        <n v="0.77790000000000004" u="1"/>
        <n v="0.30969999999999998" u="1"/>
        <n v="0.62639999999999996" u="1"/>
        <n v="0.47899999999999998" u="1"/>
        <n v="0.36840000000000001" u="1"/>
        <n v="0.38030000000000003" u="1"/>
        <n v="0.27560000000000001" u="1"/>
        <n v="0.7954" u="1"/>
        <n v="0.44519999999999998" u="1"/>
        <n v="0.66190000000000004" u="1"/>
        <n v="0.80020000000000002" u="1"/>
        <n v="5.33E-2" u="1"/>
        <n v="1.9099999999999999E-2" u="1"/>
        <n v="5.4600000000000003E-2" u="1"/>
        <n v="0.2918" u="1"/>
        <n v="0.2024" u="1"/>
        <n v="3.7999999999999999E-2" u="1"/>
        <n v="5.7999999999999996E-3" u="1"/>
        <n v="0.43909999999999999" u="1"/>
        <n v="0.24010000000000001" u="1"/>
        <n v="0.2288" u="1"/>
        <n v="0.59540000000000004" u="1"/>
        <n v="0.41649999999999998" u="1"/>
        <n v="9.4100000000000003E-2" u="1"/>
        <n v="0.6411" u="1"/>
        <n v="0.46529999999999999" u="1"/>
        <n v="0.52370000000000005" u="1"/>
        <n v="0.56920000000000004" u="1"/>
        <n v="5.8700000000000002E-2" u="1"/>
        <n v="0.44409999999999999" u="1"/>
        <n v="0.13020000000000001" u="1"/>
        <n v="0.52390000000000003" u="1"/>
        <n v="7.3999999999999996E-2" u="1"/>
        <n v="0.17449999999999999" u="1"/>
        <n v="1.8599999999999998E-2" u="1"/>
        <n v="2.8999999999999998E-3" u="1"/>
        <n v="3.5000000000000001E-3" u="1"/>
        <n v="0.76829999999999998" u="1"/>
        <n v="0.2944" u="1"/>
        <n v="0.59460000000000002" u="1"/>
        <n v="0.39800000000000002" u="1"/>
        <n v="0.35699999999999998" u="1"/>
        <n v="0.36880000000000002" u="1"/>
        <n v="0.26879999999999998" u="1"/>
        <n v="0.77249999999999996" u="1"/>
        <n v="0.47189999999999999" u="1"/>
        <n v="0.44040000000000001" u="1"/>
        <n v="0.54800000000000004" u="1"/>
        <n v="7.2700000000000001E-2" u="1"/>
        <n v="0.79210000000000003" u="1"/>
        <n v="4.6600000000000003E-2" u="1"/>
        <n v="1.61E-2" u="1"/>
        <n v="0.28520000000000001" u="1"/>
        <n v="0.1923" u="1"/>
        <n v="2.2700000000000001E-2" u="1"/>
        <n v="5.1999999999999998E-3" u="1"/>
        <n v="1.78E-2" u="1"/>
        <n v="0.23880000000000001" u="1"/>
        <n v="0.217" u="1"/>
        <n v="3.1099999999999999E-2" u="1"/>
        <n v="0.5877" u="1"/>
        <n v="0.40360000000000001" u="1"/>
        <n v="8.3699999999999997E-2" u="1"/>
        <n v="0.62929999999999997" u="1"/>
        <n v="0.46079999999999999" u="1"/>
        <n v="0.1552" u="1"/>
        <n v="0.501" u="1"/>
        <n v="0.55879999999999996" u="1"/>
        <n v="5.3199999999999997E-2" u="1"/>
        <n v="0.43509999999999999" u="1"/>
        <n v="0.1246" u="1"/>
        <n v="0.17" u="1"/>
        <n v="0.52" u="1"/>
        <n v="6.7500000000000004E-2" u="1"/>
        <n v="0.1719" u="1"/>
        <n v="1.46E-2" u="1"/>
        <n v="2.2000000000000001E-3" u="1"/>
        <n v="0.75680000000000003" u="1"/>
        <n v="0.27939999999999998" u="1"/>
        <n v="0.5837" u="1"/>
        <n v="0.3357" u="1"/>
        <n v="0.34739999999999999" u="1"/>
        <n v="0.35320000000000001" u="1"/>
        <n v="0.75119999999999998" u="1"/>
        <n v="0.4592" u="1"/>
        <n v="0.43120000000000003" u="1"/>
        <n v="6.8400000000000002E-2" u="1"/>
        <n v="0.78200000000000003" u="1"/>
        <n v="4.0500000000000001E-2" u="1"/>
        <n v="1.4200000000000001E-2" u="1"/>
        <n v="0.27550000000000002" u="1"/>
        <n v="1.9800000000000002E-2" u="1"/>
        <n v="2.9899999999999999E-2" u="1"/>
        <n v="1.5599999999999999E-2" u="1"/>
        <n v="6.9999999999999999E-4" u="1"/>
        <n v="0.4239" u="1"/>
        <n v="0.23599999999999999" u="1"/>
        <n v="2.6800000000000001E-2" u="1"/>
        <n v="0.53200000000000003" u="1"/>
        <n v="7.3499999999999996E-2" u="1"/>
        <n v="0.61680000000000001" u="1"/>
        <n v="0.45419999999999999" u="1"/>
        <n v="0.14729999999999999" u="1"/>
        <n v="0.48259999999999997" u="1"/>
        <n v="0.24679999999999999" u="1"/>
        <n v="0.1172" u="1"/>
        <n v="0.15989999999999999" u="1"/>
        <n v="0.51490000000000002" u="1"/>
        <n v="5.8900000000000001E-2" u="1"/>
        <n v="0.1673" u="1"/>
        <n v="1.38E-2" u="1"/>
        <n v="8.0000000000000004E-4" u="1"/>
      </sharedItems>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308411214953273"/>
    </cacheField>
    <cacheField name="مدة المشروع المنقضية بالشهور" numFmtId="171">
      <sharedItems containsSemiMixedTypes="0" containsString="0" containsNumber="1" minValue="0.99999999999999989" maxValue="36.166666666666664"/>
    </cacheField>
    <cacheField name="مدة المشروع المتبقية بالشهور" numFmtId="2">
      <sharedItems containsSemiMixedTypes="0" containsString="0" containsNumber="1" minValue="-5.5" maxValue="34.466666666666661"/>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6-08-12T06:00:00" maxDate="2030-06-26T12:00:00"/>
    </cacheField>
    <cacheField name="PV" numFmtId="4">
      <sharedItems containsSemiMixedTypes="0" containsString="0" containsNumber="1" minValue="8645.84375" maxValue="59064092.302634001"/>
    </cacheField>
    <cacheField name="EV" numFmtId="4">
      <sharedItems containsSemiMixedTypes="0" containsString="0" containsNumber="1" minValue="0" maxValue="70003468.656000003"/>
    </cacheField>
    <cacheField name="Remaining Budget" numFmtId="4">
      <sharedItems containsSemiMixedTypes="0" containsString="0" containsNumber="1" minValue="1252982.4999999995" maxValue="291148439.39999998"/>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012917115177615"/>
    </cacheField>
    <cacheField name="Months (بداية المشروع التعاقدية)" numFmtId="0" databaseField="0">
      <fieldGroup base="17">
        <rangePr groupBy="months" startDate="2023-09-21T00:00:00" endDate="2026-08-12T00:00:00"/>
        <groupItems count="14">
          <s v="&lt;9/21/2023"/>
          <s v="Jan"/>
          <s v="Feb"/>
          <s v="Mar"/>
          <s v="Apr"/>
          <s v="May"/>
          <s v="Jun"/>
          <s v="Jul"/>
          <s v="Aug"/>
          <s v="Sep"/>
          <s v="Oct"/>
          <s v="Nov"/>
          <s v="Dec"/>
          <s v="&gt;8/12/2026"/>
        </groupItems>
      </fieldGroup>
    </cacheField>
    <cacheField name="Quarters (بداية المشروع التعاقدية)" numFmtId="0" databaseField="0">
      <fieldGroup base="17">
        <rangePr groupBy="quarters" startDate="2023-09-21T00:00:00" endDate="2026-08-12T00:00:00"/>
        <groupItems count="6">
          <s v="&lt;9/21/2023"/>
          <s v="Qtr1"/>
          <s v="Qtr2"/>
          <s v="Qtr3"/>
          <s v="Qtr4"/>
          <s v="&gt;8/12/2026"/>
        </groupItems>
      </fieldGroup>
    </cacheField>
    <cacheField name="Years (بداية المشروع التعاقدية)" numFmtId="0" databaseField="0">
      <fieldGroup base="17">
        <rangePr groupBy="years" startDate="2023-09-21T00:00:00" endDate="2026-08-12T00:00:00"/>
        <groupItems count="6">
          <s v="&lt;9/21/2023"/>
          <s v="2023"/>
          <s v="2024"/>
          <s v="2025"/>
          <s v="2026"/>
          <s v="&gt;8/12/2026"/>
        </groupItems>
      </fieldGroup>
    </cacheField>
    <cacheField name="Months (نهاية المشروع المعدلة EPPM)" numFmtId="0" databaseField="0">
      <fieldGroup base="19">
        <rangePr groupBy="months" startDate="2026-03-30T00:00:00" endDate="2029-07-11T00:00:00"/>
        <groupItems count="14">
          <s v="&lt;3/30/2026"/>
          <s v="Jan"/>
          <s v="Feb"/>
          <s v="Mar"/>
          <s v="Apr"/>
          <s v="May"/>
          <s v="Jun"/>
          <s v="Jul"/>
          <s v="Aug"/>
          <s v="Sep"/>
          <s v="Oct"/>
          <s v="Nov"/>
          <s v="Dec"/>
          <s v="&gt;7/11/2029"/>
        </groupItems>
      </fieldGroup>
    </cacheField>
    <cacheField name="Quarters (نهاية المشروع المعدلة EPPM)" numFmtId="0" databaseField="0">
      <fieldGroup base="19">
        <rangePr groupBy="quarters" startDate="2026-03-30T00:00:00" endDate="2029-07-11T00:00:00"/>
        <groupItems count="6">
          <s v="&lt;3/30/2026"/>
          <s v="Qtr1"/>
          <s v="Qtr2"/>
          <s v="Qtr3"/>
          <s v="Qtr4"/>
          <s v="&gt;7/11/2029"/>
        </groupItems>
      </fieldGroup>
    </cacheField>
    <cacheField name="Years (نهاية المشروع المعدلة EPPM)" numFmtId="0" databaseField="0">
      <fieldGroup base="19">
        <rangePr groupBy="years" startDate="2026-03-30T00:00:00" endDate="2029-07-11T00:00:00"/>
        <groupItems count="6">
          <s v="&lt;3/30/2026"/>
          <s v="2026"/>
          <s v="2027"/>
          <s v="2028"/>
          <s v="2029"/>
          <s v="&gt;7/11/2029"/>
        </groupItems>
      </fieldGroup>
    </cacheField>
  </cacheFields>
  <extLst>
    <ext xmlns:x14="http://schemas.microsoft.com/office/spreadsheetml/2009/9/main" uri="{725AE2AE-9491-48be-B2B4-4EB974FC3084}">
      <x14:pivotCacheDefinition pivotCacheId="37821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x v="0"/>
    <n v="0.37089069963472887"/>
    <n v="26.9"/>
    <n v="6.8333333333333357"/>
    <n v="1012"/>
    <n v="33.733333333333334"/>
    <n v="1265"/>
    <d v="2027-12-12T00:00:00"/>
    <n v="15972541.720443001"/>
    <n v="5924067.1736400006"/>
    <n v="38955229.596360005"/>
    <n v="10120281.421635002"/>
    <n v="0.2597926267281106"/>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x v="1"/>
    <n v="0.24606815203145477"/>
    <n v="9.8666666666666671"/>
    <n v="8.3000000000000007"/>
    <n v="545"/>
    <n v="18.166666666666668"/>
    <n v="681.25"/>
    <d v="2027-09-30T06:00:00"/>
    <n v="3650621.0745760007"/>
    <n v="898301.58158800006"/>
    <n v="11063104.298412001"/>
    <n v="0"/>
    <n v="0"/>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n v="1.0532110091743119"/>
    <s v="✔️"/>
    <x v="0"/>
    <n v="0.80920000000000003"/>
    <n v="19.133333333333333"/>
    <n v="-0.96666666666666579"/>
    <n v="545"/>
    <n v="18.166666666666668"/>
    <n v="681.25"/>
    <d v="2026-12-26T06:00:00"/>
    <n v="18952123.02"/>
    <n v="15336057.947784001"/>
    <n v="3616065.0722159995"/>
    <n v="0"/>
    <n v="0"/>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n v="1.0076142131979695"/>
    <s v="✔️"/>
    <x v="0"/>
    <n v="0.82"/>
    <n v="26.466666666666665"/>
    <n v="-0.19999999999999912"/>
    <n v="788"/>
    <n v="26.266666666666666"/>
    <n v="985"/>
    <d v="2027-03-20T00:00:00"/>
    <n v="18565680.5"/>
    <n v="15223858.01"/>
    <n v="3341822.4900000007"/>
    <n v="0"/>
    <n v="0"/>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n v="1.0595567867036011"/>
    <s v="❌"/>
    <x v="0"/>
    <n v="0.75"/>
    <n v="25.5"/>
    <n v="-1.4333333333333329"/>
    <n v="722"/>
    <n v="24.066666666666666"/>
    <n v="902.5"/>
    <d v="2027-01-25T12:00:00"/>
    <n v="26016906.329999998"/>
    <n v="19512679.747499999"/>
    <n v="6504226.5824999996"/>
    <n v="1855005.421329"/>
    <n v="0.28520000000000001"/>
  </r>
  <r>
    <n v="6"/>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0"/>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x v="0"/>
    <n v="0.87523570081709634"/>
    <n v="34.199999999999996"/>
    <n v="3.4666666666666686"/>
    <n v="1130"/>
    <n v="37.666666666666664"/>
    <n v="1412.5"/>
    <d v="2027-10-01T12:00:00"/>
    <n v="24082285.046487998"/>
    <n v="21077675.629940003"/>
    <n v="16763752.790059999"/>
    <n v="0"/>
    <n v="0"/>
  </r>
  <r>
    <n v="7"/>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0"/>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n v="0.64126712328767121"/>
    <s v="➖"/>
    <x v="0"/>
    <n v="0.75809676129548176"/>
    <n v="24.966666666666665"/>
    <n v="13.966666666666667"/>
    <n v="1168"/>
    <n v="38.93333333333333"/>
    <n v="1460"/>
    <d v="2028-08-21T00:00:00"/>
    <n v="7361125.0627159998"/>
    <n v="5580445.0695359996"/>
    <n v="23852282.090464"/>
    <n v="5615764.3421280002"/>
    <n v="0.23543928923988156"/>
  </r>
  <r>
    <n v="8"/>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0"/>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n v="0.42393509127789047"/>
    <s v="➖"/>
    <x v="0"/>
    <n v="0.31699999999999995"/>
    <n v="20.9"/>
    <n v="28.399999999999995"/>
    <n v="1479"/>
    <n v="49.3"/>
    <n v="1848.75"/>
    <d v="2030-01-13T18:00:00"/>
    <n v="2659001.25"/>
    <n v="842903.39624999999"/>
    <n v="25747109.103750002"/>
    <n v="0"/>
    <n v="0"/>
  </r>
  <r>
    <n v="9"/>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0"/>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n v="0.69787516600265609"/>
    <s v="➖"/>
    <x v="0"/>
    <n v="0.7856145251396649"/>
    <n v="35.033333333333339"/>
    <n v="15.166666666666666"/>
    <n v="1506"/>
    <n v="50.2"/>
    <n v="1882.5"/>
    <d v="2028-12-19T12:00:00"/>
    <n v="22403236.8204"/>
    <n v="17600308.256250001"/>
    <n v="60623283.993749999"/>
    <n v="14080246.604999999"/>
    <n v="0.23225806451612901"/>
  </r>
  <r>
    <n v="10"/>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0"/>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x v="0"/>
    <n v="0.85776069197501204"/>
    <n v="34.6"/>
    <n v="5.166666666666667"/>
    <n v="1193"/>
    <n v="39.766666666666666"/>
    <n v="1491.25"/>
    <d v="2027-12-07T06:00:00"/>
    <n v="30203455.075619996"/>
    <n v="25907336.525699999"/>
    <n v="22472376.874299999"/>
    <n v="11688538.757440001"/>
    <n v="0.52012917115177615"/>
  </r>
  <r>
    <n v="11"/>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0"/>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n v="0.449438202247191"/>
    <s v="➖"/>
    <x v="0"/>
    <n v="0"/>
    <n v="8"/>
    <n v="9.8000000000000007"/>
    <n v="534"/>
    <n v="17.8"/>
    <n v="667.5"/>
    <d v="2027-11-11T12:00:00"/>
    <n v="1091357.41658"/>
    <n v="0"/>
    <n v="14397855.1"/>
    <n v="0"/>
    <n v="0"/>
  </r>
  <r>
    <n v="12"/>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x v="1"/>
    <n v="0.39040590405904063"/>
    <n v="25.1"/>
    <n v="1.566666666666666"/>
    <n v="800"/>
    <n v="26.666666666666668"/>
    <n v="1000"/>
    <d v="2027-05-15T00:00:00"/>
    <n v="17444556.081149999"/>
    <n v="6810457.6877700007"/>
    <n v="18937964.572230004"/>
    <n v="3664000.4875980006"/>
    <n v="0.19347382732834806"/>
  </r>
  <r>
    <n v="13"/>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x v="0"/>
    <n v="0.46910000000000002"/>
    <n v="16.700000000000003"/>
    <n v="0.96666666666666656"/>
    <n v="530"/>
    <n v="17.666666666666668"/>
    <n v="662.5"/>
    <d v="2027-02-18T12:00:00"/>
    <n v="4936775.2"/>
    <n v="2315841.2463200004"/>
    <n v="2620933.9536799998"/>
    <n v="0"/>
    <n v="0"/>
  </r>
  <r>
    <n v="14"/>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x v="1"/>
    <n v="0.35793357933579334"/>
    <n v="31.966666666666661"/>
    <n v="3.4666666666666677"/>
    <n v="1063"/>
    <n v="35.43333333333333"/>
    <n v="1328.75"/>
    <d v="2027-09-14T18:00:00"/>
    <n v="15257794.514025001"/>
    <n v="5461277.0031749997"/>
    <n v="21349115.746824998"/>
    <n v="7560530.755499999"/>
    <n v="0.35413788773075472"/>
  </r>
  <r>
    <n v="15"/>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n v="1.1501014198782962"/>
    <s v="➖"/>
    <x v="0"/>
    <n v="0.1774"/>
    <n v="18.900000000000002"/>
    <n v="-2.4666666666666672"/>
    <n v="493"/>
    <n v="16.433333333333334"/>
    <n v="616.25"/>
    <d v="2026-10-29T06:00:00"/>
    <n v="20806386.5"/>
    <n v="3691052.9651000001"/>
    <n v="17115333.534899998"/>
    <n v="0"/>
    <n v="0"/>
  </r>
  <r>
    <n v="16"/>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n v="0.38511749347258484"/>
    <s v="➖"/>
    <x v="2"/>
    <n v="1.4808048103607769"/>
    <n v="19.666666666666668"/>
    <n v="31.400000000000002"/>
    <n v="1532"/>
    <n v="51.06666666666667"/>
    <n v="1915"/>
    <d v="2030-04-27T00:00:00"/>
    <n v="12820536.3336"/>
    <n v="18984711.874199998"/>
    <n v="10665002.125800001"/>
    <n v="0"/>
    <n v="0"/>
  </r>
  <r>
    <n v="17"/>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x v="2"/>
    <n v="1.4314762098413989"/>
    <n v="10.566666666666666"/>
    <n v="25.933333333333334"/>
    <n v="1095"/>
    <n v="36.5"/>
    <n v="1368.75"/>
    <d v="2029-07-27T18:00:00"/>
    <n v="48902991.313950002"/>
    <n v="70003468.656000003"/>
    <n v="128870021.844"/>
    <n v="0"/>
    <n v="0"/>
  </r>
  <r>
    <n v="18"/>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n v="0.34095063985374774"/>
    <s v="➖"/>
    <x v="2"/>
    <n v="1.5863937387116196"/>
    <n v="12.444698354661792"/>
    <n v="24.055301645338208"/>
    <n v="1095"/>
    <n v="36.5"/>
    <n v="1368.75"/>
    <d v="2029-05-31T18:00:00"/>
    <n v="3453277.093475"/>
    <n v="5478257.1591250002"/>
    <n v="15312092.590874998"/>
    <n v="0"/>
    <n v="0"/>
  </r>
  <r>
    <n v="19"/>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n v="0.27573253193087904"/>
    <s v="➖"/>
    <x v="2"/>
    <n v="1.7488087134104835"/>
    <n v="12.233333333333334"/>
    <n v="32.133333333333333"/>
    <n v="1331"/>
    <n v="44.366666666666667"/>
    <n v="1663.75"/>
    <d v="2030-03-29T18:00:00"/>
    <n v="6377296.25"/>
    <n v="11152671.25"/>
    <n v="32259828.75"/>
    <n v="0"/>
    <n v="0"/>
  </r>
  <r>
    <n v="20"/>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n v="0.23515439429928742"/>
    <s v="➖"/>
    <x v="2"/>
    <n v="3.1308411214953273"/>
    <n v="9.9"/>
    <n v="32.200000000000003"/>
    <n v="1263"/>
    <n v="42.1"/>
    <n v="1578.75"/>
    <d v="2030-03-14T18:00:00"/>
    <n v="1166365.4171249999"/>
    <n v="3651704.8106250004"/>
    <n v="18149517.939375002"/>
    <n v="0"/>
    <n v="0"/>
  </r>
  <r>
    <n v="21"/>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n v="0.24776785714285715"/>
    <s v="➖"/>
    <x v="2"/>
    <n v="1.8195121951219511"/>
    <n v="11.1"/>
    <n v="33.699999999999996"/>
    <n v="1344"/>
    <n v="44.8"/>
    <n v="1680"/>
    <d v="2030-05-19T00:00:00"/>
    <n v="28060851"/>
    <n v="51057060.600000001"/>
    <n v="291148439.39999998"/>
    <n v="0"/>
    <n v="0"/>
  </r>
  <r>
    <n v="22"/>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n v="0.46849315068493153"/>
    <s v="➖"/>
    <x v="2"/>
    <n v="1.1930326890956813"/>
    <n v="17.100000000000001"/>
    <n v="19.400000000000002"/>
    <n v="1095"/>
    <n v="36.5"/>
    <n v="1368.75"/>
    <d v="2029-01-12T18:00:00"/>
    <n v="24400507.602239996"/>
    <n v="29110603.199999999"/>
    <n v="29110603.199999999"/>
    <n v="0"/>
    <n v="0"/>
  </r>
  <r>
    <n v="23"/>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n v="0.54099378881987581"/>
    <s v="➖"/>
    <x v="2"/>
    <n v="1.120253164556962"/>
    <n v="29.033333333333335"/>
    <n v="24.633333333333329"/>
    <n v="1610"/>
    <n v="53.666666666666664"/>
    <n v="2012.5"/>
    <d v="2029-10-25T12:00:00"/>
    <n v="56513418.96704001"/>
    <n v="63309336.437760003"/>
    <n v="48465621.962240003"/>
    <n v="0"/>
    <n v="0"/>
  </r>
  <r>
    <n v="24"/>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n v="0.30703422053231938"/>
    <s v="➖"/>
    <x v="2"/>
    <n v="1.4284248332478193"/>
    <n v="10.766666666666667"/>
    <n v="24.300000000000004"/>
    <n v="1052"/>
    <n v="35.06666666666667"/>
    <n v="1315"/>
    <d v="2029-05-29T00:00:00"/>
    <n v="5931131.6449299995"/>
    <n v="8472175.7308799997"/>
    <n v="21959489.96912"/>
    <n v="0"/>
    <n v="0"/>
  </r>
  <r>
    <n v="25"/>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n v="0.24525547445255474"/>
    <s v="➖"/>
    <x v="2"/>
    <n v="1.7934782608695654"/>
    <n v="11.2"/>
    <n v="34.466666666666661"/>
    <n v="1370"/>
    <n v="45.666666666666664"/>
    <n v="1712.5"/>
    <d v="2030-06-17T12:00:00"/>
    <n v="3332699.9470999995"/>
    <n v="5977124.9051249996"/>
    <n v="66472873.944874994"/>
    <n v="0"/>
    <n v="0"/>
  </r>
  <r>
    <n v="26"/>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n v="0.28441649196366176"/>
    <s v="➖"/>
    <x v="2"/>
    <n v="1.4299516908212559"/>
    <n v="13.566666666666666"/>
    <n v="34.133333333333333"/>
    <n v="1431"/>
    <n v="47.7"/>
    <n v="1788.75"/>
    <d v="2030-06-22T18:00:00"/>
    <n v="4867224.4304999998"/>
    <n v="6959895.8039999995"/>
    <n v="40066427.196000002"/>
    <n v="0"/>
    <n v="0"/>
  </r>
  <r>
    <n v="27"/>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n v="0.28382147838214783"/>
    <s v="➖"/>
    <x v="2"/>
    <n v="1.3789731051344742"/>
    <n v="13.566666666666665"/>
    <n v="34.233333333333334"/>
    <n v="1434"/>
    <n v="47.8"/>
    <n v="1792.5"/>
    <d v="2030-06-26T12:00:00"/>
    <n v="9550803.8683000002"/>
    <n v="13170301.6668"/>
    <n v="103587691.83319999"/>
    <n v="0"/>
    <n v="0"/>
  </r>
  <r>
    <n v="28"/>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n v="0.27629629629629632"/>
    <s v="➖"/>
    <x v="2"/>
    <n v="1.3242937853107346"/>
    <n v="12.433333333333334"/>
    <n v="32.56666666666667"/>
    <n v="1350"/>
    <n v="45"/>
    <n v="1687.5"/>
    <d v="2030-04-16T12:00:00"/>
    <n v="7333318.2404999994"/>
    <n v="9711467.7716000006"/>
    <n v="73150885.228400007"/>
    <n v="0"/>
    <n v="0"/>
  </r>
  <r>
    <n v="29"/>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n v="0.67928423950447347"/>
    <s v="➖"/>
    <x v="2"/>
    <n v="1.0498114705298671"/>
    <n v="32.9"/>
    <n v="15.533333333333333"/>
    <n v="1453"/>
    <n v="48.43333333333333"/>
    <n v="1816.25"/>
    <d v="2028-12-17T06:00:00"/>
    <n v="59064092.302634001"/>
    <n v="62006161.595740005"/>
    <n v="55207754.464259997"/>
    <n v="0"/>
    <n v="0"/>
  </r>
  <r>
    <n v="30"/>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n v="0.47587131367292224"/>
    <s v="➖"/>
    <x v="2"/>
    <n v="1.1005830903790088"/>
    <n v="23.666666666666668"/>
    <n v="26.066666666666666"/>
    <n v="1492"/>
    <n v="49.733333333333334"/>
    <n v="1865"/>
    <d v="2029-11-08T00:00:00"/>
    <n v="3971945.8309999998"/>
    <n v="4371456.4174999995"/>
    <n v="24578586.0825"/>
    <n v="0"/>
    <n v="0"/>
  </r>
  <r>
    <n v="31"/>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n v="0.2411242603550296"/>
    <s v="➖"/>
    <x v="2"/>
    <n v="1.2210338680926918"/>
    <n v="10.866666666666667"/>
    <n v="34.200000000000003"/>
    <n v="1352"/>
    <n v="45.06666666666667"/>
    <n v="1690"/>
    <d v="2030-06-05T00:00:00"/>
    <n v="2128091.4029100002"/>
    <n v="2598471.6773500005"/>
    <n v="35335421.422650002"/>
    <n v="0"/>
    <n v="0"/>
  </r>
  <r>
    <n v="32"/>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n v="0.75342465753424659"/>
    <s v="➖"/>
    <x v="2"/>
    <n v="1.0097873776577793"/>
    <n v="31.166666666666668"/>
    <n v="10.199999999999999"/>
    <n v="1241"/>
    <n v="41.366666666666667"/>
    <n v="1551.25"/>
    <d v="2028-05-18T06:00:00"/>
    <n v="15494876.616869999"/>
    <n v="15646530.82608"/>
    <n v="10500746.623919999"/>
    <n v="0"/>
    <n v="0"/>
  </r>
  <r>
    <n v="33"/>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n v="0.55607790463398254"/>
    <s v="➖"/>
    <x v="2"/>
    <n v="1.4051593323216995"/>
    <n v="27.6"/>
    <n v="22.033333333333331"/>
    <n v="1489"/>
    <n v="49.633333333333333"/>
    <n v="1861.25"/>
    <d v="2029-07-09T06:00:00"/>
    <n v="4908917.2940999996"/>
    <n v="6897810.9473999999"/>
    <n v="17932322.0526"/>
    <n v="0"/>
    <n v="0"/>
  </r>
  <r>
    <n v="34"/>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n v="0.6339285714285714"/>
    <s v="➖"/>
    <x v="2"/>
    <n v="1.2144288577154307"/>
    <n v="23.666666666666668"/>
    <n v="13.666666666666668"/>
    <n v="1120"/>
    <n v="37.333333333333336"/>
    <n v="1400"/>
    <d v="2028-07-31T00:00:00"/>
    <n v="12528981.82"/>
    <n v="15215557.08"/>
    <n v="35000802.920000002"/>
    <n v="0"/>
    <n v="0"/>
  </r>
  <r>
    <n v="35"/>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n v="0.6"/>
    <s v="➖"/>
    <x v="2"/>
    <n v="1.005583879582423"/>
    <n v="23.099999999999998"/>
    <n v="15.4"/>
    <n v="1155"/>
    <n v="38.5"/>
    <n v="1443.75"/>
    <d v="2028-09-29T18:00:00"/>
    <n v="13214560.9716"/>
    <n v="13288349.4888"/>
    <n v="18793614.5112"/>
    <n v="0"/>
    <n v="0"/>
  </r>
  <r>
    <n v="36"/>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n v="1.3027522935779816"/>
    <s v="➖"/>
    <x v="2"/>
    <n v="0.52"/>
    <n v="23.666666666666668"/>
    <n v="-5.5"/>
    <n v="545"/>
    <n v="18.166666666666668"/>
    <n v="681.25"/>
    <d v="2026-08-12T06:00:00"/>
    <n v="17250000.460000001"/>
    <n v="8970000.2392000016"/>
    <n v="8280000.2208000002"/>
    <n v="4281450.1141720004"/>
    <n v="0.51708333333333334"/>
  </r>
  <r>
    <n v="37"/>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x v="2"/>
    <n v="0.94969055699740468"/>
    <n v="26.166666666666668"/>
    <n v="4.5333333333333314"/>
    <n v="921"/>
    <n v="30.7"/>
    <n v="1151.25"/>
    <d v="2027-09-11T06:00:00"/>
    <n v="11360171.71827"/>
    <n v="10788647.806710001"/>
    <n v="11890872.49329"/>
    <n v="0"/>
    <n v="0"/>
  </r>
  <r>
    <n v="38"/>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x v="2"/>
    <n v="0.98609701644002434"/>
    <n v="35.333333333333329"/>
    <n v="1.2000000000000004"/>
    <n v="1096"/>
    <n v="36.533333333333331"/>
    <n v="1370"/>
    <d v="2027-07-17T00:00:00"/>
    <n v="43628585"/>
    <n v="43022017.5"/>
    <n v="1252982.4999999995"/>
    <n v="0"/>
    <n v="0"/>
  </r>
  <r>
    <n v="39"/>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n v="0.26164874551971329"/>
    <s v="➖"/>
    <x v="2"/>
    <n v="0.90843806104129265"/>
    <n v="12.166666666666668"/>
    <n v="34.333333333333329"/>
    <n v="1395"/>
    <n v="46.5"/>
    <n v="1743.75"/>
    <d v="2030-06-19T18:00:00"/>
    <n v="1434511.7250000001"/>
    <n v="1303165.05"/>
    <n v="24451084.949999999"/>
    <n v="0"/>
    <n v="0"/>
  </r>
  <r>
    <n v="40"/>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n v="0.71569920844327173"/>
    <s v="➖"/>
    <x v="2"/>
    <n v="0.99821037979717631"/>
    <n v="36.166666666666664"/>
    <n v="14.366666666666669"/>
    <n v="1516"/>
    <n v="50.533333333333331"/>
    <n v="1895"/>
    <d v="2028-11-28T00:00:00"/>
    <n v="28539608.493140001"/>
    <n v="28488533.433200002"/>
    <n v="28261533.1668"/>
    <n v="0"/>
    <n v="0"/>
  </r>
  <r>
    <n v="41"/>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n v="0.51849405548216643"/>
    <s v="➖"/>
    <x v="2"/>
    <n v="0.97556270096463027"/>
    <n v="26.166666666666668"/>
    <n v="24.3"/>
    <n v="1514"/>
    <n v="50.466666666666669"/>
    <n v="1892.5"/>
    <d v="2029-09-21T12:00:00"/>
    <n v="9900029.178749999"/>
    <n v="9658099.2052500006"/>
    <n v="54007683.294750005"/>
    <n v="0"/>
    <n v="0"/>
  </r>
  <r>
    <n v="42"/>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n v="0.46900269541778977"/>
    <s v="➖"/>
    <x v="2"/>
    <n v="0.7567567567567568"/>
    <n v="17.400000000000002"/>
    <n v="19.700000000000003"/>
    <n v="1113"/>
    <n v="37.1"/>
    <n v="1391.25"/>
    <d v="2029-01-26T06:00:00"/>
    <n v="1429724.6247749999"/>
    <n v="1081953.7701000001"/>
    <n v="14374528.659899998"/>
    <n v="0"/>
    <n v="0"/>
  </r>
  <r>
    <n v="43"/>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n v="0.22171945701357465"/>
    <s v="➖"/>
    <x v="2"/>
    <n v="0.36585365853658541"/>
    <n v="9.8000000000000007"/>
    <n v="34.400000000000006"/>
    <n v="1326"/>
    <n v="44.2"/>
    <n v="1657.5"/>
    <d v="2030-06-04T12:00:00"/>
    <n v="1961787.4955"/>
    <n v="717727.13250000007"/>
    <n v="67637237.867500007"/>
    <n v="0"/>
    <n v="0"/>
  </r>
  <r>
    <n v="44"/>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n v="0.25155925155925157"/>
    <s v="➖"/>
    <x v="2"/>
    <n v="0"/>
    <n v="8.0666666666666682"/>
    <n v="24.000000000000004"/>
    <n v="962"/>
    <n v="32.06666666666667"/>
    <n v="1202.5"/>
    <d v="2029-04-27T12:00:00"/>
    <n v="1610461.66842"/>
    <n v="0"/>
    <n v="58775973.299999997"/>
    <n v="0"/>
    <n v="0"/>
  </r>
  <r>
    <n v="45"/>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n v="0.20601851851851852"/>
    <s v="➖"/>
    <x v="2"/>
    <n v="0.17782026768642445"/>
    <n v="5.9333333333333336"/>
    <n v="22.866666666666667"/>
    <n v="864"/>
    <n v="28.8"/>
    <n v="1080"/>
    <d v="2029-02-28T00:00:00"/>
    <n v="1139747.689855"/>
    <n v="202670.239305"/>
    <n v="21589828.610695001"/>
    <n v="0"/>
    <n v="0"/>
  </r>
  <r>
    <n v="46"/>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n v="0.60902896081771718"/>
    <s v="➖"/>
    <x v="2"/>
    <n v="0.9300077339520495"/>
    <n v="23.853634298693922"/>
    <n v="15.313032367972744"/>
    <n v="1175"/>
    <n v="39.166666666666664"/>
    <n v="1468.75"/>
    <d v="2028-10-01T18:00:00"/>
    <n v="12924397.1724"/>
    <n v="12019789.327"/>
    <n v="12969377.673"/>
    <n v="0"/>
    <n v="0"/>
  </r>
  <r>
    <n v="47"/>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n v="0.52816020025031285"/>
    <s v="➖"/>
    <x v="2"/>
    <n v="0.84985835694050993"/>
    <n v="28.133333333333329"/>
    <n v="25.133333333333336"/>
    <n v="1598"/>
    <n v="53.266666666666666"/>
    <n v="1997.5"/>
    <d v="2029-11-06T12:00:00"/>
    <n v="20733170.005449999"/>
    <n v="17620257.794999998"/>
    <n v="66285731.705000006"/>
    <n v="0"/>
    <n v="0"/>
  </r>
  <r>
    <n v="48"/>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x v="2"/>
    <n v="0.9286363636363637"/>
    <n v="31.099999999999998"/>
    <n v="19.366666666666671"/>
    <n v="1514"/>
    <n v="50.466666666666669"/>
    <n v="1892.5"/>
    <d v="2029-04-26T12:00:00"/>
    <n v="19201168.844000001"/>
    <n v="17830903.612860002"/>
    <n v="25808116.487139996"/>
    <n v="10621737.49234"/>
    <n v="0.41156577612445056"/>
  </r>
  <r>
    <n v="49"/>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n v="0.4777777777777778"/>
    <s v="➖"/>
    <x v="2"/>
    <n v="0.67099863201094401"/>
    <n v="24.366666666666667"/>
    <n v="26.633333333333329"/>
    <n v="1530"/>
    <n v="51"/>
    <n v="1912.5"/>
    <d v="2029-12-04T12:00:00"/>
    <n v="5247791.2510000002"/>
    <n v="3521260.7505000001"/>
    <n v="32373344.249500003"/>
    <n v="0"/>
    <n v="0"/>
  </r>
  <r>
    <n v="50"/>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n v="0.48963029756537418"/>
    <s v="➖"/>
    <x v="2"/>
    <n v="0.89664936290703157"/>
    <n v="18.100000000000001"/>
    <n v="18.866666666666671"/>
    <n v="1109"/>
    <n v="36.966666666666669"/>
    <n v="1386.25"/>
    <d v="2028-12-31T06:00:00"/>
    <n v="2988723.4194999998"/>
    <n v="2679836.9500000002"/>
    <n v="11424568.050000001"/>
    <n v="0"/>
    <n v="0"/>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n v="0.12345679012345678"/>
    <s v="➖"/>
    <x v="2"/>
    <n v="0"/>
    <n v="0.99999999999999989"/>
    <n v="7.1"/>
    <n v="243"/>
    <n v="8.1"/>
    <n v="303.75"/>
    <d v="2027-06-10T18:00:00"/>
    <n v="8645.84375"/>
    <n v="0"/>
    <n v="3759062.5"/>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r>
  <r>
    <n v="6"/>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r>
  <r>
    <n v="7"/>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r>
  <r>
    <n v="8"/>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r>
  <r>
    <n v="9"/>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r>
  <r>
    <n v="10"/>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r>
  <r>
    <n v="1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r>
  <r>
    <n v="12"/>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r>
  <r>
    <n v="13"/>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r>
  <r>
    <n v="14"/>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r>
  <r>
    <n v="15"/>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r>
  <r>
    <n v="16"/>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r>
  <r>
    <n v="17"/>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r>
  <r>
    <n v="18"/>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r>
  <r>
    <n v="19"/>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r>
  <r>
    <n v="20"/>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r>
  <r>
    <n v="21"/>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r>
  <r>
    <n v="22"/>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r>
  <r>
    <n v="23"/>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r>
  <r>
    <n v="24"/>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r>
  <r>
    <n v="25"/>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r>
  <r>
    <n v="26"/>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r>
  <r>
    <n v="27"/>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r>
  <r>
    <n v="28"/>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r>
  <r>
    <n v="29"/>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r>
  <r>
    <n v="30"/>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r>
  <r>
    <n v="3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r>
  <r>
    <n v="32"/>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r>
  <r>
    <n v="33"/>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4"/>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r>
  <r>
    <n v="34"/>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r>
  <r>
    <n v="35"/>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r>
  <r>
    <n v="36"/>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r>
  <r>
    <n v="37"/>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r>
  <r>
    <n v="38"/>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r>
  <r>
    <n v="39"/>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r>
  <r>
    <n v="40"/>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r>
  <r>
    <n v="41"/>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r>
  <r>
    <n v="42"/>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r>
  <r>
    <n v="43"/>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4"/>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r>
  <r>
    <n v="44"/>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r>
  <r>
    <n v="45"/>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r>
  <r>
    <n v="46"/>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r>
  <r>
    <n v="47"/>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4"/>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r>
  <r>
    <n v="48"/>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4"/>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r>
  <r>
    <n v="49"/>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4"/>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r>
  <r>
    <n v="50"/>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4"/>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s v="❌"/>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s v="✔️"/>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n v="1.0532110091743119"/>
    <s v="✔️"/>
    <s v="❌"/>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n v="1.0076142131979695"/>
    <s v="✔️"/>
    <s v="❌"/>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n v="1.0595567867036011"/>
    <s v="❌"/>
    <s v="❌"/>
  </r>
  <r>
    <n v="6"/>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s v="✔️"/>
  </r>
  <r>
    <n v="7"/>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s v="❌"/>
  </r>
  <r>
    <n v="8"/>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s v="✔️"/>
  </r>
  <r>
    <n v="9"/>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n v="1.1501014198782962"/>
    <s v="➖"/>
    <s v="❌"/>
  </r>
  <r>
    <n v="10"/>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n v="0.38511749347258484"/>
    <s v="➖"/>
    <s v="➖"/>
  </r>
  <r>
    <n v="1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s v="➖"/>
  </r>
  <r>
    <n v="12"/>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n v="0.34095063985374774"/>
    <s v="➖"/>
    <s v="➖"/>
  </r>
  <r>
    <n v="13"/>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n v="0.27573253193087904"/>
    <s v="➖"/>
    <s v="➖"/>
  </r>
  <r>
    <n v="14"/>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n v="0.23515439429928742"/>
    <s v="➖"/>
    <s v="➖"/>
  </r>
  <r>
    <n v="15"/>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n v="0.24776785714285715"/>
    <s v="➖"/>
    <s v="➖"/>
  </r>
  <r>
    <n v="16"/>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n v="0.46849315068493153"/>
    <s v="➖"/>
    <s v="➖"/>
  </r>
  <r>
    <n v="17"/>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n v="0.54099378881987581"/>
    <s v="➖"/>
    <s v="➖"/>
  </r>
  <r>
    <n v="18"/>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n v="0.30703422053231938"/>
    <s v="➖"/>
    <s v="➖"/>
  </r>
  <r>
    <n v="19"/>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n v="0.24525547445255474"/>
    <s v="➖"/>
    <s v="➖"/>
  </r>
  <r>
    <n v="20"/>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n v="0.28441649196366176"/>
    <s v="➖"/>
    <s v="➖"/>
  </r>
  <r>
    <n v="21"/>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n v="0.28382147838214783"/>
    <s v="➖"/>
    <s v="➖"/>
  </r>
  <r>
    <n v="22"/>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n v="0.27629629629629632"/>
    <s v="➖"/>
    <s v="➖"/>
  </r>
  <r>
    <n v="23"/>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n v="0.67928423950447347"/>
    <s v="➖"/>
    <s v="➖"/>
  </r>
  <r>
    <n v="24"/>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n v="0.47587131367292224"/>
    <s v="➖"/>
    <s v="➖"/>
  </r>
  <r>
    <n v="25"/>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n v="0.2411242603550296"/>
    <s v="➖"/>
    <s v="➖"/>
  </r>
  <r>
    <n v="26"/>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n v="0.75342465753424659"/>
    <s v="➖"/>
    <s v="➖"/>
  </r>
  <r>
    <n v="27"/>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n v="0.55607790463398254"/>
    <s v="➖"/>
    <s v="➖"/>
  </r>
  <r>
    <n v="28"/>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n v="0.6339285714285714"/>
    <s v="➖"/>
    <s v="➖"/>
  </r>
  <r>
    <n v="29"/>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n v="0.6"/>
    <s v="➖"/>
    <s v="➖"/>
  </r>
  <r>
    <n v="30"/>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n v="1.3027522935779816"/>
    <s v="➖"/>
    <s v="➖"/>
  </r>
  <r>
    <n v="3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s v="➖"/>
  </r>
  <r>
    <n v="32"/>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s v="➖"/>
  </r>
  <r>
    <n v="33"/>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4"/>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s v="➖"/>
  </r>
  <r>
    <n v="34"/>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n v="0.26164874551971329"/>
    <s v="➖"/>
    <s v="➖"/>
  </r>
  <r>
    <n v="35"/>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n v="0.71569920844327173"/>
    <s v="➖"/>
    <s v="➖"/>
  </r>
  <r>
    <n v="36"/>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n v="0.51849405548216643"/>
    <s v="➖"/>
    <s v="➖"/>
  </r>
  <r>
    <n v="37"/>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n v="0.46900269541778977"/>
    <s v="➖"/>
    <s v="➖"/>
  </r>
  <r>
    <n v="38"/>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n v="0.22171945701357465"/>
    <s v="➖"/>
    <s v="➖"/>
  </r>
  <r>
    <n v="39"/>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n v="0.25155925155925157"/>
    <s v="➖"/>
    <s v="➖"/>
  </r>
  <r>
    <n v="40"/>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n v="0.20601851851851852"/>
    <s v="➖"/>
    <s v="➖"/>
  </r>
  <r>
    <n v="41"/>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n v="0.60902896081771718"/>
    <s v="➖"/>
    <s v="➖"/>
  </r>
  <r>
    <n v="42"/>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n v="0.52816020025031285"/>
    <s v="➖"/>
    <s v="➖"/>
  </r>
  <r>
    <n v="43"/>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4"/>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n v="0.64126712328767121"/>
    <s v="➖"/>
    <s v="➖"/>
  </r>
  <r>
    <n v="44"/>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s v="➖"/>
  </r>
  <r>
    <n v="45"/>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n v="0.4777777777777778"/>
    <s v="➖"/>
    <s v="➖"/>
  </r>
  <r>
    <n v="46"/>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n v="0.48963029756537418"/>
    <s v="➖"/>
    <s v="➖"/>
  </r>
  <r>
    <n v="47"/>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4"/>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n v="0.42393509127789047"/>
    <s v="➖"/>
    <s v="➖"/>
  </r>
  <r>
    <n v="48"/>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4"/>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n v="0.69787516600265609"/>
    <s v="➖"/>
    <s v="➖"/>
  </r>
  <r>
    <n v="49"/>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4"/>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s v="➖"/>
  </r>
  <r>
    <n v="50"/>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4"/>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n v="0.449438202247191"/>
    <s v="➖"/>
    <s v="➖"/>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n v="0.12345679012345678"/>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x v="0"/>
    <x v="0"/>
    <x v="0"/>
    <s v="أحمد المطيري"/>
    <s v="محمود المختار"/>
    <x v="0"/>
    <x v="0"/>
    <x v="0"/>
    <s v="معتمد"/>
    <s v="❌"/>
    <n v="0.22550000000000001"/>
    <s v="إيقاف جزئي"/>
    <s v="متأخر"/>
    <x v="0"/>
    <x v="0"/>
    <d v="2026-06-25T00:00:00"/>
    <x v="0"/>
    <d v="2027-04-03T00:00:00"/>
    <n v="0"/>
    <s v="NA"/>
    <d v="2027-06-16T00:00:00"/>
    <d v="2027-07-14T00:00:00"/>
    <n v="564853.69371304289"/>
    <n v="0"/>
    <n v="0"/>
    <n v="5274485.38"/>
    <n v="14"/>
    <n v="5274485.38"/>
    <n v="14"/>
    <n v="28"/>
    <n v="39025475.450000003"/>
    <n v="44879296.770000003"/>
    <n v="0.34229999999999999"/>
    <n v="0.13200000000000001"/>
    <x v="0"/>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x v="0"/>
    <n v="0.37089069963472887"/>
    <n v="26.9"/>
    <n v="6.8333333333333357"/>
    <n v="1012"/>
    <n v="33.733333333333334"/>
    <n v="1265"/>
    <d v="2027-12-12T00:00:00"/>
    <n v="15972541.720443001"/>
    <n v="5924067.1736400006"/>
    <n v="38955229.596360005"/>
    <n v="10120281.421635002"/>
    <n v="0.2597926267281106"/>
  </r>
  <r>
    <n v="2"/>
    <s v="O855"/>
    <s v="3/25/2/2/O855/1"/>
    <x v="1"/>
    <x v="1"/>
    <x v="1"/>
    <s v="عادل الحيسوني"/>
    <s v="زيد المغذوي"/>
    <x v="1"/>
    <x v="0"/>
    <x v="1"/>
    <s v="معتمد"/>
    <s v="❌"/>
    <n v="0"/>
    <s v="تحت التنفيذ"/>
    <s v="متأخر"/>
    <x v="0"/>
    <x v="1"/>
    <d v="2027-05-19T00:00:00"/>
    <x v="1"/>
    <d v="2027-05-17T00:00:00"/>
    <n v="4"/>
    <s v="اجازة عيد الاضحي"/>
    <d v="2027-10-30T00:00:00"/>
    <d v="2028-01-10T00:00:00"/>
    <n v="709006.10540217394"/>
    <n v="0"/>
    <n v="0"/>
    <n v="82944.56"/>
    <n v="1"/>
    <n v="82944.56"/>
    <n v="1"/>
    <n v="72"/>
    <n v="10401222.5"/>
    <n v="11961405.880000001"/>
    <n v="0.24600000000000002"/>
    <n v="7.51E-2"/>
    <x v="1"/>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x v="1"/>
    <n v="0.24606815203145477"/>
    <n v="9.8666666666666671"/>
    <n v="8.3000000000000007"/>
    <n v="545"/>
    <n v="18.166666666666668"/>
    <n v="681.25"/>
    <d v="2027-09-30T06:00:00"/>
    <n v="3650621.0745760007"/>
    <n v="898301.58158800006"/>
    <n v="11063104.298412001"/>
    <n v="0"/>
    <n v="0"/>
  </r>
  <r>
    <n v="3"/>
    <s v="O394"/>
    <s v="3/25/2/2/O394/1"/>
    <x v="2"/>
    <x v="2"/>
    <x v="1"/>
    <s v="عادل الحيسوني"/>
    <s v="زيد المغذوي"/>
    <x v="2"/>
    <x v="0"/>
    <x v="1"/>
    <s v="معتمد"/>
    <s v="❌"/>
    <n v="0"/>
    <s v="تحت التنفيذ"/>
    <s v="متأخر"/>
    <x v="0"/>
    <x v="2"/>
    <d v="2026-08-12T00:00:00"/>
    <x v="2"/>
    <d v="2026-08-12T00:00:00"/>
    <n v="0"/>
    <s v="NA"/>
    <d v="2026-11-12T00:00:00"/>
    <d v="2027-02-19T00:00:00"/>
    <n v="1327256.9846956525"/>
    <n v="1255827.7400000002"/>
    <n v="1"/>
    <n v="12379525.140000001"/>
    <n v="13"/>
    <n v="13635352.880000001"/>
    <n v="14"/>
    <n v="99"/>
    <n v="16480106.970000001"/>
    <n v="18952123.02"/>
    <n v="1"/>
    <n v="0.80920000000000003"/>
    <x v="2"/>
    <n v="0.80920000000000003"/>
    <n v="0"/>
    <n v="0"/>
    <n v="-0.19079999999999997"/>
    <m/>
    <m/>
    <s v="نعم"/>
    <s v="نعم"/>
    <m/>
    <m/>
    <n v="0"/>
    <n v="-0.19737931034482772"/>
    <n v="1"/>
    <n v="0.90100000000000002"/>
    <n v="9.1799999999999993E-2"/>
    <n v="0.751"/>
    <n v="0"/>
    <n v="0.19079999999999997"/>
    <n v="-5.3211009174311874E-2"/>
    <n v="1.0532110091743119"/>
    <s v="✔️"/>
    <x v="0"/>
    <n v="0.80920000000000003"/>
    <n v="19.133333333333333"/>
    <n v="-0.96666666666666579"/>
    <n v="545"/>
    <n v="18.166666666666668"/>
    <n v="681.25"/>
    <d v="2026-12-26T06:00:00"/>
    <n v="18952123.02"/>
    <n v="15336057.947784001"/>
    <n v="3616065.0722159995"/>
    <n v="0"/>
    <n v="0"/>
  </r>
  <r>
    <n v="4"/>
    <s v="O1006"/>
    <s v="03/23/2/13/0033/1"/>
    <x v="3"/>
    <x v="3"/>
    <x v="1"/>
    <s v="عادل الحيسوني"/>
    <s v="بدر المحمدي"/>
    <x v="3"/>
    <x v="0"/>
    <x v="1"/>
    <s v="معتمد"/>
    <s v="❌"/>
    <n v="0"/>
    <s v="تحت التنفيذ"/>
    <s v="متأخر"/>
    <x v="0"/>
    <x v="3"/>
    <d v="2025-10-08T00:00:00"/>
    <x v="3"/>
    <d v="2026-09-04T00:00:00"/>
    <n v="1"/>
    <s v="NA"/>
    <d v="2026-11-18T00:00:00"/>
    <d v="2026-12-15T00:00:00"/>
    <n v="1161946.5999999996"/>
    <n v="0"/>
    <n v="0"/>
    <n v="5718720"/>
    <n v="3"/>
    <n v="5718720"/>
    <n v="3"/>
    <n v="27"/>
    <n v="16144070"/>
    <n v="18565680.5"/>
    <n v="1"/>
    <n v="0.82"/>
    <x v="2"/>
    <n v="0.82"/>
    <n v="0"/>
    <n v="0"/>
    <n v="-0.18000000000000005"/>
    <m/>
    <s v="-"/>
    <s v="نعم"/>
    <s v="نعم"/>
    <s v="نعم"/>
    <m/>
    <n v="-88"/>
    <n v="-0.90000000000000424"/>
    <n v="1.0000000012281889"/>
    <n v="0.90100000122818891"/>
    <n v="8.1000001228188956E-2"/>
    <n v="0.75100000122818888"/>
    <n v="0"/>
    <n v="0.18000000000000005"/>
    <n v="-7.6142131979695105E-3"/>
    <n v="1.0076142131979695"/>
    <s v="✔️"/>
    <x v="0"/>
    <n v="0.82"/>
    <n v="26.466666666666665"/>
    <n v="-0.19999999999999912"/>
    <n v="788"/>
    <n v="26.266666666666666"/>
    <n v="985"/>
    <d v="2027-03-20T00:00:00"/>
    <n v="18565680.5"/>
    <n v="15223858.01"/>
    <n v="3341822.4900000007"/>
    <n v="0"/>
    <n v="0"/>
  </r>
  <r>
    <n v="5"/>
    <n v="10277"/>
    <s v="03/23/2/02/0032/1"/>
    <x v="4"/>
    <x v="4"/>
    <x v="1"/>
    <s v="عادل الحيسوني"/>
    <s v="أحمد عدني"/>
    <x v="4"/>
    <x v="0"/>
    <x v="1"/>
    <s v="معتمد"/>
    <s v="✔️"/>
    <n v="7.1300000000000002E-2"/>
    <s v="إيقاف جزئي"/>
    <s v="متأخر"/>
    <x v="0"/>
    <x v="4"/>
    <d v="2026-02-06T00:00:00"/>
    <x v="4"/>
    <d v="2026-07-29T00:00:00"/>
    <n v="0"/>
    <s v="NA"/>
    <d v="2026-10-15T00:00:00"/>
    <d v="2026-11-07T00:00:00"/>
    <n v="1367962.1979130432"/>
    <n v="1457779.1000000015"/>
    <n v="1"/>
    <n v="14660560.669999998"/>
    <n v="17"/>
    <n v="16118339.77"/>
    <n v="18"/>
    <n v="23"/>
    <n v="22623396.800000001"/>
    <n v="26016906.329999998"/>
    <n v="1"/>
    <n v="0.75"/>
    <x v="2"/>
    <n v="0.75"/>
    <n v="0"/>
    <n v="0"/>
    <n v="-0.25"/>
    <m/>
    <m/>
    <s v="نعم"/>
    <s v="نعم"/>
    <s v="نعم"/>
    <m/>
    <n v="-121"/>
    <n v="-0.17441860465116285"/>
    <n v="1"/>
    <n v="0.90100000000000002"/>
    <n v="0.15100000000000002"/>
    <n v="0.751"/>
    <n v="1.0000000000000009E-3"/>
    <n v="0.25"/>
    <n v="-5.9556786703601095E-2"/>
    <n v="1.0595567867036011"/>
    <s v="❌"/>
    <x v="0"/>
    <n v="0.75"/>
    <n v="25.5"/>
    <n v="-1.4333333333333329"/>
    <n v="722"/>
    <n v="24.066666666666666"/>
    <n v="902.5"/>
    <d v="2027-01-25T12:00:00"/>
    <n v="26016906.329999998"/>
    <n v="19512679.747499999"/>
    <n v="6504226.5824999996"/>
    <n v="1855005.421329"/>
    <n v="0.28520000000000001"/>
  </r>
  <r>
    <n v="6"/>
    <n v="10281"/>
    <s v="03/23/2/02/0034/1"/>
    <x v="5"/>
    <x v="5"/>
    <x v="2"/>
    <s v="عبدالله المغذوي"/>
    <s v="أحمد السيد"/>
    <x v="5"/>
    <x v="0"/>
    <x v="2"/>
    <s v="معتمد"/>
    <s v="✔️"/>
    <n v="0.14230000000000001"/>
    <s v="إيقاف جزئي"/>
    <s v="متعثر"/>
    <x v="1"/>
    <x v="5"/>
    <d v="2026-08-18T00:00:00"/>
    <x v="5"/>
    <d v="2026-10-27T00:00:00"/>
    <n v="0"/>
    <s v="NA"/>
    <d v="2027-01-10T00:00:00"/>
    <d v="2027-02-07T00:00:00"/>
    <n v="180474.94333043415"/>
    <n v="491420.45999999903"/>
    <n v="1"/>
    <n v="5622271.0200000005"/>
    <n v="14"/>
    <n v="6113691.4799999995"/>
    <n v="15"/>
    <n v="28"/>
    <n v="22389932.399999999"/>
    <n v="25748422.260000002"/>
    <n v="0.64150000000000007"/>
    <n v="0.2601"/>
    <x v="3"/>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x v="1"/>
    <n v="0.39040590405904063"/>
    <n v="25.1"/>
    <n v="1.566666666666666"/>
    <n v="800"/>
    <n v="26.666666666666668"/>
    <n v="1000"/>
    <d v="2027-05-15T00:00:00"/>
    <n v="17444556.081149999"/>
    <n v="6810457.6877700007"/>
    <n v="18937964.572230004"/>
    <n v="3664000.4875980006"/>
    <n v="0.19347382732834806"/>
  </r>
  <r>
    <n v="7"/>
    <s v="O138"/>
    <s v="3/25/2/1/O138/1"/>
    <x v="6"/>
    <x v="6"/>
    <x v="3"/>
    <s v="عبدالله المغذوي "/>
    <s v="ياسين عويضه"/>
    <x v="6"/>
    <x v="0"/>
    <x v="0"/>
    <s v="معتمد"/>
    <s v="❌"/>
    <n v="0"/>
    <s v="تحت التنفيذ"/>
    <s v="متعثر"/>
    <x v="1"/>
    <x v="6"/>
    <d v="2026-04-26T00:00:00"/>
    <x v="3"/>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x v="2"/>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x v="0"/>
    <n v="0.46910000000000002"/>
    <n v="16.700000000000003"/>
    <n v="0.96666666666666656"/>
    <n v="530"/>
    <n v="17.666666666666668"/>
    <n v="662.5"/>
    <d v="2027-02-18T12:00:00"/>
    <n v="4936775.2"/>
    <n v="2315841.2463200004"/>
    <n v="2620933.9536799998"/>
    <n v="0"/>
    <n v="0"/>
  </r>
  <r>
    <n v="8"/>
    <n v="10204"/>
    <s v="03/23/2/01/0016/1"/>
    <x v="7"/>
    <x v="7"/>
    <x v="2"/>
    <s v="عبدالله المغذوي"/>
    <s v="أحمد السيد"/>
    <x v="7"/>
    <x v="0"/>
    <x v="2"/>
    <s v="معتمد"/>
    <s v="✔️"/>
    <n v="0.28199999999999997"/>
    <s v="إيقاف جزئي"/>
    <s v="متعثر"/>
    <x v="1"/>
    <x v="7"/>
    <d v="2026-12-23T00:00:00"/>
    <x v="6"/>
    <d v="2026-12-23T00:00:00"/>
    <n v="0"/>
    <s v="NA"/>
    <d v="2027-12-25T00:00:00"/>
    <d v="2027-01-22T00:00:00"/>
    <n v="393673.43723913049"/>
    <n v="181609.77999999933"/>
    <n v="1"/>
    <n v="4199579.580000001"/>
    <n v="19"/>
    <n v="4381189.3600000003"/>
    <n v="20"/>
    <n v="-337"/>
    <n v="23313385"/>
    <n v="26810392.75"/>
    <n v="0.55640000000000001"/>
    <n v="0.1961"/>
    <x v="4"/>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x v="1"/>
    <n v="0.35793357933579334"/>
    <n v="31.966666666666661"/>
    <n v="3.4666666666666677"/>
    <n v="1063"/>
    <n v="35.43333333333333"/>
    <n v="1328.75"/>
    <d v="2027-09-14T18:00:00"/>
    <n v="15257794.514025001"/>
    <n v="5461277.0031749997"/>
    <n v="21349115.746824998"/>
    <n v="7560530.755499999"/>
    <n v="0.35413788773075472"/>
  </r>
  <r>
    <n v="9"/>
    <s v="P829"/>
    <s v="3/24/2/1/P829/1"/>
    <x v="8"/>
    <x v="8"/>
    <x v="0"/>
    <s v="أحمد المطيري"/>
    <s v="خالد صحاف"/>
    <x v="0"/>
    <x v="0"/>
    <x v="0"/>
    <s v="معتمد"/>
    <s v="❌"/>
    <n v="0"/>
    <s v="تحت التنفيذ"/>
    <s v="متعثر"/>
    <x v="1"/>
    <x v="8"/>
    <d v="2026-02-20T00:00:00"/>
    <x v="7"/>
    <d v="2026-06-28T00:00:00"/>
    <n v="35"/>
    <s v="تم رفض اضافة 35 يوم بالبرنامج الزمني"/>
    <d v="2026-09-10T00:00:00"/>
    <d v="2026-10-10T00:00:00"/>
    <n v="269143.39573913021"/>
    <n v="0"/>
    <n v="0"/>
    <n v="3381538.0599999996"/>
    <n v="7"/>
    <n v="3381538.0599999996"/>
    <n v="7"/>
    <n v="30"/>
    <n v="18092510"/>
    <n v="20806386.5"/>
    <n v="1"/>
    <n v="0.17739999999999997"/>
    <x v="2"/>
    <n v="0.1774"/>
    <n v="0"/>
    <n v="0"/>
    <n v="-0.8226"/>
    <m/>
    <m/>
    <s v="نعم"/>
    <s v="نعم"/>
    <s v="نعم"/>
    <s v="نعم"/>
    <n v="-88"/>
    <n v="-0.33348648648648643"/>
    <n v="1"/>
    <n v="0.90100000000000002"/>
    <n v="0.72360000000000002"/>
    <n v="0.751"/>
    <n v="0.5736"/>
    <n v="0.8226"/>
    <n v="-0.15010141987829617"/>
    <n v="1.1501014198782962"/>
    <s v="➖"/>
    <x v="0"/>
    <n v="0.1774"/>
    <n v="18.900000000000002"/>
    <n v="-2.4666666666666672"/>
    <n v="493"/>
    <n v="16.433333333333334"/>
    <n v="616.25"/>
    <d v="2026-10-29T06:00:00"/>
    <n v="20806386.5"/>
    <n v="3691052.9651000001"/>
    <n v="17115333.534899998"/>
    <n v="0"/>
    <n v="0"/>
  </r>
  <r>
    <n v="10"/>
    <s v="AP247"/>
    <s v="03/23/2/01/0045/1"/>
    <x v="9"/>
    <x v="9"/>
    <x v="2"/>
    <s v="عبدالله المغذوي"/>
    <s v="عبدالعزيز فلاته "/>
    <x v="8"/>
    <x v="0"/>
    <x v="2"/>
    <s v="معتمد"/>
    <s v="❌"/>
    <n v="0"/>
    <s v="تحت التنفيذ"/>
    <s v="متقدم"/>
    <x v="2"/>
    <x v="9"/>
    <d v="2028-01-28T00:00:00"/>
    <x v="8"/>
    <d v="2029-04-09T00:00:00"/>
    <n v="0"/>
    <s v="NA"/>
    <d v="2029-06-21T00:00:00"/>
    <d v="2029-06-05T00:00:00"/>
    <n v="1427380.1172173899"/>
    <n v="6437120.4199999999"/>
    <n v="6"/>
    <n v="9509602.790000001"/>
    <n v="11"/>
    <n v="15946723.210000001"/>
    <n v="17"/>
    <n v="-16"/>
    <n v="25782360"/>
    <n v="29649714"/>
    <n v="0.43180000000000002"/>
    <n v="0.62290000000000001"/>
    <x v="5"/>
    <n v="0.64029999999999998"/>
    <n v="5.9999999999998943E-4"/>
    <n v="1.7399999999999971E-2"/>
    <n v="0.20789999999999997"/>
    <m/>
    <m/>
    <m/>
    <m/>
    <m/>
    <m/>
    <n v="-46"/>
    <n v="1.1455414012738854E-2"/>
    <n v="0.43244671938488183"/>
    <n v="0.3334467193848818"/>
    <n v="0"/>
    <n v="0.18344671938488183"/>
    <n v="0"/>
    <n v="0.35970000000000002"/>
    <n v="0.61488250652741516"/>
    <n v="0.38511749347258484"/>
    <s v="➖"/>
    <x v="2"/>
    <n v="1.4808048103607769"/>
    <n v="19.666666666666668"/>
    <n v="31.400000000000002"/>
    <n v="1532"/>
    <n v="51.06666666666667"/>
    <n v="1915"/>
    <d v="2030-04-27T00:00:00"/>
    <n v="12820536.3336"/>
    <n v="18984711.874199998"/>
    <n v="10665002.125800001"/>
    <n v="0"/>
    <n v="0"/>
  </r>
  <r>
    <n v="11"/>
    <s v="O1003"/>
    <s v="3/25/2/1/O1003/1"/>
    <x v="10"/>
    <x v="10"/>
    <x v="3"/>
    <s v="عبدالله المغذوي "/>
    <s v="عبد الله أورقنجي"/>
    <x v="9"/>
    <x v="1"/>
    <x v="0"/>
    <s v="معتمد"/>
    <s v="❌"/>
    <n v="0"/>
    <s v="تحت التنفيذ"/>
    <s v="متقدم"/>
    <x v="2"/>
    <x v="10"/>
    <d v="2028-10-26T00:00:00"/>
    <x v="9"/>
    <d v="2028-10-27T00:00:00"/>
    <n v="1"/>
    <s v="NA"/>
    <d v="2029-05-20T00:00:00"/>
    <d v="2029-05-29T00:00:00"/>
    <n v="48951.83873911947"/>
    <n v="11063097.43"/>
    <n v="1"/>
    <n v="50750150.850000001"/>
    <n v="7"/>
    <n v="61813248.280000001"/>
    <n v="8"/>
    <n v="9"/>
    <n v="172933470"/>
    <n v="198873490.5"/>
    <n v="0.23180000000000001"/>
    <n v="0.34119999999999995"/>
    <x v="6"/>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x v="2"/>
    <n v="1.4314762098413989"/>
    <n v="10.566666666666666"/>
    <n v="25.933333333333334"/>
    <n v="1095"/>
    <n v="36.5"/>
    <n v="1368.75"/>
    <d v="2029-07-27T18:00:00"/>
    <n v="48902991.313950002"/>
    <n v="70003468.656000003"/>
    <n v="128870021.844"/>
    <n v="0"/>
    <n v="0"/>
  </r>
  <r>
    <n v="12"/>
    <s v="AP264"/>
    <s v="3/25/2/1/AP264/1"/>
    <x v="11"/>
    <x v="11"/>
    <x v="2"/>
    <s v="عبدالله المغذوي"/>
    <s v="فارس الرويثي"/>
    <x v="10"/>
    <x v="0"/>
    <x v="2"/>
    <s v="معتمد"/>
    <s v="❌"/>
    <n v="0"/>
    <s v="تحت التنفيذ"/>
    <s v="متقدم"/>
    <x v="2"/>
    <x v="11"/>
    <d v="2027-09-01T00:00:00"/>
    <x v="1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x v="7"/>
    <n v="0.26350000000000001"/>
    <n v="7.0000000000000617E-4"/>
    <n v="0"/>
    <n v="9.7400000000000014E-2"/>
    <m/>
    <m/>
    <m/>
    <m/>
    <m/>
    <m/>
    <n v="-105"/>
    <n v="3.0616951342313757E-2"/>
    <n v="0.16788451019204234"/>
    <n v="6.8884510192042336E-2"/>
    <n v="0"/>
    <n v="0"/>
    <n v="0"/>
    <n v="0.73649999999999993"/>
    <n v="0.65904936014625226"/>
    <n v="0.34095063985374774"/>
    <s v="➖"/>
    <x v="2"/>
    <n v="1.5863937387116196"/>
    <n v="12.444698354661792"/>
    <n v="24.055301645338208"/>
    <n v="1095"/>
    <n v="36.5"/>
    <n v="1368.75"/>
    <d v="2029-05-31T18:00:00"/>
    <n v="3453277.093475"/>
    <n v="5478257.1591250002"/>
    <n v="15312092.590874998"/>
    <n v="0"/>
    <n v="0"/>
  </r>
  <r>
    <n v="13"/>
    <s v="P918"/>
    <s v="3/25/2/1/P918/1"/>
    <x v="12"/>
    <x v="12"/>
    <x v="3"/>
    <s v="عبدالله المغذوي"/>
    <s v="محمد بداي"/>
    <x v="11"/>
    <x v="0"/>
    <x v="0"/>
    <s v="معتمد"/>
    <s v="❌"/>
    <n v="0"/>
    <s v="تحت التنفيذ"/>
    <s v="متقدم"/>
    <x v="2"/>
    <x v="12"/>
    <d v="2028-09-06T00:00:00"/>
    <x v="11"/>
    <d v="2029-05-01T00:00:00"/>
    <n v="0"/>
    <s v="NA"/>
    <d v="2029-08-18T00:00:00"/>
    <d v="2029-08-30T00:00:00"/>
    <n v="983521.31304347795"/>
    <n v="4038033.4300000006"/>
    <n v="4"/>
    <n v="4511904.5599999996"/>
    <n v="4"/>
    <n v="8549937.9900000002"/>
    <n v="8"/>
    <n v="12"/>
    <n v="37750000"/>
    <n v="43412500"/>
    <n v="0.1467"/>
    <n v="0.25"/>
    <x v="8"/>
    <n v="0.25690000000000002"/>
    <n v="2.0000000000000573E-4"/>
    <n v="6.9000000000000172E-3"/>
    <n v="0.11000000000000001"/>
    <m/>
    <m/>
    <m/>
    <m/>
    <m/>
    <m/>
    <n v="-83"/>
    <n v="2.3125518672199169E-2"/>
    <n v="0.14736693139072848"/>
    <n v="4.8366931390728479E-2"/>
    <n v="0"/>
    <n v="0"/>
    <n v="0"/>
    <n v="0.74309999999999998"/>
    <n v="0.72426746806912101"/>
    <n v="0.27573253193087904"/>
    <s v="➖"/>
    <x v="2"/>
    <n v="1.7488087134104835"/>
    <n v="12.233333333333334"/>
    <n v="32.133333333333333"/>
    <n v="1331"/>
    <n v="44.366666666666667"/>
    <n v="1663.75"/>
    <d v="2030-03-29T18:00:00"/>
    <n v="6377296.25"/>
    <n v="11152671.25"/>
    <n v="32259828.75"/>
    <n v="0"/>
    <n v="0"/>
  </r>
  <r>
    <n v="14"/>
    <s v="AP248"/>
    <s v="3/25/2/1/AP248/1"/>
    <x v="13"/>
    <x v="13"/>
    <x v="3"/>
    <s v="عبدالله المغذوي "/>
    <s v="ياسين عويضه"/>
    <x v="12"/>
    <x v="0"/>
    <x v="0"/>
    <s v="معتمد"/>
    <s v="❌"/>
    <n v="0"/>
    <s v="تحت التنفيذ"/>
    <s v="متقدم"/>
    <x v="2"/>
    <x v="13"/>
    <d v="2028-11-16T00:00:00"/>
    <x v="12"/>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x v="9"/>
    <n v="0.16750000000000001"/>
    <n v="8.9999999999999802E-4"/>
    <n v="2.8000000000000247E-3"/>
    <n v="0.11400000000000002"/>
    <m/>
    <m/>
    <m/>
    <m/>
    <m/>
    <m/>
    <n v="-104"/>
    <n v="2.5854037267080743E-2"/>
    <n v="5.5612216956959448E-2"/>
    <n v="0"/>
    <n v="0"/>
    <n v="0"/>
    <n v="0"/>
    <n v="0.83250000000000002"/>
    <n v="0.76484560570071258"/>
    <n v="0.23515439429928742"/>
    <s v="➖"/>
    <x v="2"/>
    <n v="3.1308411214953273"/>
    <n v="9.9"/>
    <n v="32.200000000000003"/>
    <n v="1263"/>
    <n v="42.1"/>
    <n v="1578.75"/>
    <d v="2030-03-14T18:00:00"/>
    <n v="1166365.4171249999"/>
    <n v="3651704.8106250004"/>
    <n v="18149517.939375002"/>
    <n v="0"/>
    <n v="0"/>
  </r>
  <r>
    <n v="15"/>
    <s v="P824"/>
    <s v="3/25/2/1/P824/1"/>
    <x v="14"/>
    <x v="14"/>
    <x v="3"/>
    <s v="عبدالله المغذوي "/>
    <s v="فارس الرويثي "/>
    <x v="13"/>
    <x v="1"/>
    <x v="0"/>
    <s v="معتمد"/>
    <s v="❌"/>
    <n v="0"/>
    <s v="تحت التنفيذ"/>
    <s v="متقدم"/>
    <x v="2"/>
    <x v="14"/>
    <d v="2028-10-11T00:00:00"/>
    <x v="13"/>
    <d v="2029-06-17T00:00:00"/>
    <n v="0"/>
    <s v="NA"/>
    <d v="2029-08-11T00:00:00"/>
    <d v="2029-11-18T00:00:00"/>
    <n v="15270.521739125252"/>
    <n v="45358888.200000003"/>
    <n v="8"/>
    <n v="0"/>
    <n v="0"/>
    <n v="45358888.200000003"/>
    <n v="8"/>
    <n v="99"/>
    <n v="297570000"/>
    <n v="342205500"/>
    <n v="8.1600000000000006E-2"/>
    <n v="0.14380000000000001"/>
    <x v="10"/>
    <n v="0.1492"/>
    <n v="3.9999999999999758E-4"/>
    <n v="5.3999999999999881E-3"/>
    <n v="6.7199999999999996E-2"/>
    <m/>
    <m/>
    <m/>
    <m/>
    <m/>
    <m/>
    <n v="-132"/>
    <n v="2.5246290801186948E-2"/>
    <n v="8.2647753469771823E-2"/>
    <n v="0"/>
    <n v="0"/>
    <n v="0"/>
    <n v="0"/>
    <n v="0.8508"/>
    <n v="0.75223214285714279"/>
    <n v="0.24776785714285715"/>
    <s v="➖"/>
    <x v="2"/>
    <n v="1.8195121951219511"/>
    <n v="11.1"/>
    <n v="33.699999999999996"/>
    <n v="1344"/>
    <n v="44.8"/>
    <n v="1680"/>
    <d v="2030-05-19T00:00:00"/>
    <n v="28060851"/>
    <n v="51057060.600000001"/>
    <n v="291148439.39999998"/>
    <n v="0"/>
    <n v="0"/>
  </r>
  <r>
    <n v="16"/>
    <s v="AP243"/>
    <s v="3/25/2/1/AP243/1"/>
    <x v="15"/>
    <x v="15"/>
    <x v="2"/>
    <s v="عبدالله المغذوي"/>
    <s v="أحمد السيد"/>
    <x v="14"/>
    <x v="0"/>
    <x v="2"/>
    <s v="معتمد"/>
    <s v="❌"/>
    <n v="0"/>
    <s v="تحت التنفيذ"/>
    <s v="متقدم"/>
    <x v="2"/>
    <x v="15"/>
    <d v="2027-04-15T00:00:00"/>
    <x v="14"/>
    <d v="2028-04-14T00:00:00"/>
    <n v="1"/>
    <s v="NA"/>
    <d v="2028-07-15T00:00:00"/>
    <d v="2028-08-12T00:00:00"/>
    <n v="709764.42608695477"/>
    <n v="6355292.2300000004"/>
    <n v="5"/>
    <n v="19755786.640000001"/>
    <n v="9"/>
    <n v="26111078.870000001"/>
    <n v="14"/>
    <n v="28"/>
    <n v="50627136"/>
    <n v="58221206.399999999"/>
    <n v="0.41409999999999997"/>
    <n v="0.48"/>
    <x v="11"/>
    <n v="0.5"/>
    <n v="5.0000000000000044E-3"/>
    <n v="2.0000000000000018E-2"/>
    <n v="8.0900000000000027E-2"/>
    <m/>
    <m/>
    <m/>
    <m/>
    <m/>
    <m/>
    <n v="-103"/>
    <n v="2.5773195876288658E-2"/>
    <n v="0.42934345806170043"/>
    <n v="0.3303434580617004"/>
    <n v="0"/>
    <n v="0.18034345806170043"/>
    <n v="0"/>
    <n v="0.5"/>
    <n v="0.53150684931506853"/>
    <n v="0.46849315068493153"/>
    <s v="➖"/>
    <x v="2"/>
    <n v="1.1930326890956813"/>
    <n v="17.100000000000001"/>
    <n v="19.400000000000002"/>
    <n v="1095"/>
    <n v="36.5"/>
    <n v="1368.75"/>
    <d v="2029-01-12T18:00:00"/>
    <n v="24400507.602239996"/>
    <n v="29110603.199999999"/>
    <n v="29110603.199999999"/>
    <n v="0"/>
    <n v="0"/>
  </r>
  <r>
    <n v="17"/>
    <s v="P898-1"/>
    <s v="03/23/2/01/0023/1"/>
    <x v="16"/>
    <x v="16"/>
    <x v="0"/>
    <s v="أحمد المطيري"/>
    <s v="رائد الحجيلي"/>
    <x v="9"/>
    <x v="0"/>
    <x v="0"/>
    <s v="معتمد"/>
    <s v="✔️"/>
    <n v="0"/>
    <s v="تحت التنفيذ"/>
    <s v="متقدم"/>
    <x v="2"/>
    <x v="16"/>
    <d v="2027-04-22T00:00:00"/>
    <x v="15"/>
    <d v="2028-09-18T00:00:00"/>
    <n v="0"/>
    <s v="NA"/>
    <d v="2028-12-28T00:00:00"/>
    <d v="2029-01-08T00:00:00"/>
    <n v="3984308.3954782635"/>
    <n v="13836019.730000012"/>
    <n v="6"/>
    <n v="42722927.859999992"/>
    <n v="19"/>
    <n v="56558947.590000004"/>
    <n v="25"/>
    <n v="11"/>
    <n v="97195616"/>
    <n v="111774958.40000001"/>
    <n v="0.50450000000000006"/>
    <n v="0.5645"/>
    <x v="12"/>
    <n v="0.56640000000000001"/>
    <n v="1.0999999999999899E-3"/>
    <n v="1.9000000000000128E-3"/>
    <n v="6.0799999999999965E-2"/>
    <m/>
    <m/>
    <m/>
    <m/>
    <m/>
    <m/>
    <n v="-96"/>
    <n v="1.76021650879567E-2"/>
    <n v="0.50686404744839531"/>
    <n v="0.40786404744839533"/>
    <n v="0"/>
    <n v="0.25786404744839531"/>
    <n v="0"/>
    <n v="0.43359999999999999"/>
    <n v="0.45900621118012419"/>
    <n v="0.54099378881987581"/>
    <s v="➖"/>
    <x v="2"/>
    <n v="1.120253164556962"/>
    <n v="29.033333333333335"/>
    <n v="24.633333333333329"/>
    <n v="1610"/>
    <n v="53.666666666666664"/>
    <n v="2012.5"/>
    <d v="2029-10-25T12:00:00"/>
    <n v="56513418.96704001"/>
    <n v="63309336.437760003"/>
    <n v="48465621.962240003"/>
    <n v="0"/>
    <n v="0"/>
  </r>
  <r>
    <n v="18"/>
    <s v="AP269"/>
    <s v="3/25/2/1/AP269/1"/>
    <x v="17"/>
    <x v="17"/>
    <x v="3"/>
    <s v="عبدالله المغذوي "/>
    <s v="محمد بداي"/>
    <x v="15"/>
    <x v="0"/>
    <x v="0"/>
    <s v="معتمد"/>
    <s v="❌"/>
    <n v="0"/>
    <s v="تحت التنفيذ"/>
    <s v="متقدم"/>
    <x v="2"/>
    <x v="17"/>
    <d v="2027-10-22T00:00:00"/>
    <x v="16"/>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x v="13"/>
    <n v="0.27839999999999998"/>
    <n v="1.2999999999999956E-3"/>
    <n v="5.6999999999999829E-3"/>
    <n v="8.3499999999999991E-2"/>
    <m/>
    <m/>
    <m/>
    <m/>
    <m/>
    <m/>
    <n v="-76"/>
    <n v="2.9695473251028802E-2"/>
    <n v="0.2084955921095045"/>
    <n v="0.10949559210950449"/>
    <n v="0"/>
    <n v="0"/>
    <n v="0"/>
    <n v="0.72160000000000002"/>
    <n v="0.69296577946768068"/>
    <n v="0.30703422053231938"/>
    <s v="➖"/>
    <x v="2"/>
    <n v="1.4284248332478193"/>
    <n v="10.766666666666667"/>
    <n v="24.300000000000004"/>
    <n v="1052"/>
    <n v="35.06666666666667"/>
    <n v="1315"/>
    <d v="2029-05-29T00:00:00"/>
    <n v="5931131.6449299995"/>
    <n v="8472175.7308799997"/>
    <n v="21959489.96912"/>
    <n v="0"/>
    <n v="0"/>
  </r>
  <r>
    <n v="19"/>
    <s v="AP251"/>
    <s v="3/25/2/2/AP251/1"/>
    <x v="18"/>
    <x v="18"/>
    <x v="1"/>
    <s v="عادل الحيسوني"/>
    <s v="زيد المغذوي"/>
    <x v="16"/>
    <x v="0"/>
    <x v="1"/>
    <s v="معتمد"/>
    <s v="❌"/>
    <n v="0"/>
    <s v="تحت التنفيذ"/>
    <s v="متقدم"/>
    <x v="2"/>
    <x v="18"/>
    <d v="2028-10-08T00:00:00"/>
    <x v="17"/>
    <d v="2029-07-10T00:00:00"/>
    <n v="0"/>
    <s v="NA"/>
    <d v="2029-11-07T00:00:00"/>
    <d v="2029-12-10T00:00:00"/>
    <n v="182788.1868695654"/>
    <n v="4811435.99"/>
    <n v="5"/>
    <n v="339657.51"/>
    <n v="1"/>
    <n v="5151093.5"/>
    <n v="6"/>
    <n v="33"/>
    <n v="62999999"/>
    <n v="72449998.849999994"/>
    <n v="4.41E-2"/>
    <n v="8.0600000000000005E-2"/>
    <x v="14"/>
    <n v="8.2500000000000004E-2"/>
    <n v="1.8999999999999989E-3"/>
    <n v="1.8999999999999989E-3"/>
    <n v="3.6500000000000005E-2"/>
    <m/>
    <m/>
    <m/>
    <m/>
    <m/>
    <m/>
    <n v="-131"/>
    <n v="2.6619922630560931E-2"/>
    <n v="4.786990663285566E-2"/>
    <n v="0"/>
    <n v="0"/>
    <n v="0"/>
    <n v="0"/>
    <n v="0.91749999999999998"/>
    <n v="0.7547445255474452"/>
    <n v="0.24525547445255474"/>
    <s v="➖"/>
    <x v="2"/>
    <n v="1.7934782608695654"/>
    <n v="11.2"/>
    <n v="34.466666666666661"/>
    <n v="1370"/>
    <n v="45.666666666666664"/>
    <n v="1712.5"/>
    <d v="2030-06-17T12:00:00"/>
    <n v="3332699.9470999995"/>
    <n v="5977124.9051249996"/>
    <n v="66472873.944874994"/>
    <n v="0"/>
    <n v="0"/>
  </r>
  <r>
    <n v="20"/>
    <s v="P862"/>
    <s v="3/25/2/2/P862/1"/>
    <x v="19"/>
    <x v="19"/>
    <x v="1"/>
    <s v="عادل الحيسوني"/>
    <s v="محمد القطيلان"/>
    <x v="17"/>
    <x v="0"/>
    <x v="1"/>
    <s v="معتمد"/>
    <s v="❌"/>
    <n v="0"/>
    <s v="تحت التنفيذ"/>
    <s v="متقدم"/>
    <x v="2"/>
    <x v="19"/>
    <d v="2028-07-28T00:00:00"/>
    <x v="18"/>
    <d v="2029-06-30T00:00:00"/>
    <n v="-1"/>
    <s v="NA"/>
    <d v="2029-07-01T00:00:00"/>
    <d v="2029-07-05T00:00:00"/>
    <n v="299148.01965826098"/>
    <n v="3382817.4099999997"/>
    <n v="5"/>
    <n v="2433610.6800000002"/>
    <n v="5"/>
    <n v="5816428.0899999999"/>
    <n v="10"/>
    <n v="4"/>
    <n v="40892454.780000001"/>
    <n v="47026323"/>
    <n v="0.10300000000000001"/>
    <n v="0.14529999999999998"/>
    <x v="15"/>
    <n v="0.14799999999999999"/>
    <n v="4.9999999999998657E-4"/>
    <n v="2.7000000000000079E-3"/>
    <n v="4.4499999999999998E-2"/>
    <m/>
    <m/>
    <m/>
    <m/>
    <m/>
    <m/>
    <n v="-4"/>
    <n v="2.4960937499999999E-2"/>
    <n v="0.10455960178746718"/>
    <n v="5.5596017874671722E-3"/>
    <n v="0"/>
    <n v="0"/>
    <n v="0"/>
    <n v="0.85199999999999998"/>
    <n v="0.71558350803633819"/>
    <n v="0.28441649196366176"/>
    <s v="➖"/>
    <x v="2"/>
    <n v="1.4299516908212559"/>
    <n v="13.566666666666666"/>
    <n v="34.133333333333333"/>
    <n v="1431"/>
    <n v="47.7"/>
    <n v="1788.75"/>
    <d v="2030-06-22T18:00:00"/>
    <n v="4867224.4304999998"/>
    <n v="6959895.8039999995"/>
    <n v="40066427.196000002"/>
    <n v="0"/>
    <n v="0"/>
  </r>
  <r>
    <n v="21"/>
    <s v="P825"/>
    <s v="3/25/2/1/P825/1"/>
    <x v="20"/>
    <x v="20"/>
    <x v="0"/>
    <s v="أحمد المطيري"/>
    <s v="خالد اللهيبي"/>
    <x v="18"/>
    <x v="1"/>
    <x v="0"/>
    <s v="معتمد"/>
    <s v="✔️"/>
    <n v="0"/>
    <s v="تحت التنفيذ"/>
    <s v="متقدم"/>
    <x v="2"/>
    <x v="19"/>
    <d v="2028-07-28T00:00:00"/>
    <x v="19"/>
    <d v="2029-07-03T00:00:00"/>
    <n v="-1"/>
    <s v="NA"/>
    <d v="2029-10-20T00:00:00"/>
    <d v="2029-11-03T00:00:00"/>
    <n v="989845.02956521884"/>
    <n v="4282551.2299999986"/>
    <n v="5"/>
    <n v="6721958.3100000005"/>
    <n v="5"/>
    <n v="11004509.539999999"/>
    <n v="10"/>
    <n v="14"/>
    <n v="101528690"/>
    <n v="116757993.5"/>
    <n v="7.9399999999999998E-2"/>
    <n v="0.1109"/>
    <x v="16"/>
    <n v="0.1128"/>
    <n v="2.3999999999999994E-3"/>
    <n v="1.8999999999999989E-3"/>
    <n v="3.1E-2"/>
    <m/>
    <m/>
    <m/>
    <m/>
    <m/>
    <m/>
    <n v="-103"/>
    <n v="2.5916260954235638E-2"/>
    <n v="8.5647579003648291E-2"/>
    <n v="0"/>
    <n v="0"/>
    <n v="0"/>
    <n v="0"/>
    <n v="0.88719999999999999"/>
    <n v="0.71617852161785223"/>
    <n v="0.28382147838214783"/>
    <s v="➖"/>
    <x v="2"/>
    <n v="1.3789731051344742"/>
    <n v="13.566666666666665"/>
    <n v="34.233333333333334"/>
    <n v="1434"/>
    <n v="47.8"/>
    <n v="1792.5"/>
    <d v="2030-06-26T12:00:00"/>
    <n v="9550803.8683000002"/>
    <n v="13170301.6668"/>
    <n v="103587691.83319999"/>
    <n v="0"/>
    <n v="0"/>
  </r>
  <r>
    <n v="22"/>
    <s v="P861"/>
    <s v="3/25/2/2/P861/1"/>
    <x v="21"/>
    <x v="21"/>
    <x v="1"/>
    <s v="عادل الحيسوني"/>
    <s v="بدر المحمدي"/>
    <x v="19"/>
    <x v="0"/>
    <x v="1"/>
    <s v="معتمد"/>
    <s v="❌"/>
    <n v="0"/>
    <s v="تحت التنفيذ"/>
    <s v="متقدم"/>
    <x v="2"/>
    <x v="20"/>
    <d v="2028-08-31T00:00:00"/>
    <x v="20"/>
    <d v="2029-05-14T00:00:00"/>
    <n v="0"/>
    <s v="NA"/>
    <d v="2029-08-22T00:00:00"/>
    <d v="2029-09-19T00:00:00"/>
    <n v="749592.26278261002"/>
    <n v="2904257.8899999987"/>
    <n v="4"/>
    <n v="5133127.72"/>
    <n v="4"/>
    <n v="8037385.6099999985"/>
    <n v="8"/>
    <n v="28"/>
    <n v="72054220"/>
    <n v="82862353"/>
    <n v="8.72E-2"/>
    <n v="0.11460000000000001"/>
    <x v="17"/>
    <n v="0.1172"/>
    <n v="1.2999999999999956E-3"/>
    <n v="2.5999999999999912E-3"/>
    <n v="2.8700000000000003E-2"/>
    <m/>
    <m/>
    <m/>
    <m/>
    <m/>
    <m/>
    <n v="-104"/>
    <n v="2.7107471852610029E-2"/>
    <n v="8.8924586941462228E-2"/>
    <n v="0"/>
    <n v="0"/>
    <n v="0"/>
    <n v="0"/>
    <n v="0.88280000000000003"/>
    <n v="0.72370370370370374"/>
    <n v="0.27629629629629632"/>
    <s v="➖"/>
    <x v="2"/>
    <n v="1.3242937853107346"/>
    <n v="12.433333333333334"/>
    <n v="32.56666666666667"/>
    <n v="1350"/>
    <n v="45"/>
    <n v="1687.5"/>
    <d v="2030-04-16T12:00:00"/>
    <n v="7333318.2404999994"/>
    <n v="9711467.7716000006"/>
    <n v="73150885.228400007"/>
    <n v="0"/>
    <n v="0"/>
  </r>
  <r>
    <n v="23"/>
    <n v="10203"/>
    <s v="03/23/2/02/0011/1"/>
    <x v="22"/>
    <x v="22"/>
    <x v="1"/>
    <s v="عادل الحيسوني"/>
    <s v="محمد قطيلان"/>
    <x v="20"/>
    <x v="0"/>
    <x v="1"/>
    <s v="معتمد"/>
    <s v="✔️"/>
    <n v="0"/>
    <s v="تحت التنفيذ"/>
    <s v="متقدم"/>
    <x v="2"/>
    <x v="21"/>
    <d v="2026-12-28T00:00:00"/>
    <x v="21"/>
    <d v="2027-12-20T00:00:00"/>
    <n v="0"/>
    <s v="NA"/>
    <d v="2028-04-17T00:00:00"/>
    <d v="2028-05-15T00:00:00"/>
    <n v="4530236.2988556549"/>
    <n v="7066845.450000003"/>
    <n v="5"/>
    <n v="48838718.639999993"/>
    <n v="22"/>
    <n v="55905564.089999996"/>
    <n v="27"/>
    <n v="28"/>
    <n v="101925144.40000001"/>
    <n v="117213916.06"/>
    <n v="0.50369999999999993"/>
    <n v="0.5252"/>
    <x v="18"/>
    <n v="0.52900000000000003"/>
    <n v="2.00000000000089E-4"/>
    <n v="3.8000000000000256E-3"/>
    <n v="2.5100000000000011E-2"/>
    <m/>
    <m/>
    <m/>
    <m/>
    <m/>
    <m/>
    <n v="126"/>
    <n v="3.0321888412017165E-2"/>
    <n v="0.5041840902692355"/>
    <n v="0.40518409026923552"/>
    <n v="0"/>
    <n v="0.2551840902692355"/>
    <n v="0"/>
    <n v="0.47099999999999997"/>
    <n v="0.32071576049552653"/>
    <n v="0.67928423950447347"/>
    <s v="➖"/>
    <x v="2"/>
    <n v="1.0498114705298671"/>
    <n v="32.9"/>
    <n v="15.533333333333333"/>
    <n v="1453"/>
    <n v="48.43333333333333"/>
    <n v="1816.25"/>
    <d v="2028-12-17T06:00:00"/>
    <n v="59064092.302634001"/>
    <n v="62006161.595740005"/>
    <n v="55207754.464259997"/>
    <n v="0"/>
    <n v="0"/>
  </r>
  <r>
    <n v="24"/>
    <s v="NA-00033"/>
    <s v="03/23/2/01/0037/1"/>
    <x v="23"/>
    <x v="23"/>
    <x v="0"/>
    <s v="أحمد المطيري"/>
    <s v="محمود المختار​"/>
    <x v="0"/>
    <x v="0"/>
    <x v="0"/>
    <s v="معتمد"/>
    <s v="❌"/>
    <n v="0"/>
    <s v="تحت التنفيذ"/>
    <s v="متقدم"/>
    <x v="2"/>
    <x v="22"/>
    <d v="2027-09-30T00:00:00"/>
    <x v="22"/>
    <d v="2028-10-31T00:00:00"/>
    <n v="0"/>
    <s v="NA"/>
    <d v="2029-03-10T00:00:00"/>
    <d v="2029-04-07T00:00:00"/>
    <n v="1775004.3804347822"/>
    <n v="0"/>
    <n v="0"/>
    <n v="2330201.38"/>
    <n v="12"/>
    <n v="2330201.38"/>
    <n v="12"/>
    <n v="28"/>
    <n v="25173950"/>
    <n v="28950042.5"/>
    <n v="0.13639999999999999"/>
    <n v="0.151"/>
    <x v="19"/>
    <n v="0.151"/>
    <n v="7.9999999999999516E-4"/>
    <n v="0"/>
    <n v="1.3800000000000007E-2"/>
    <m/>
    <m/>
    <m/>
    <m/>
    <m/>
    <m/>
    <n v="-135"/>
    <n v="3.2570332480818413E-2"/>
    <n v="0.14361654845584423"/>
    <n v="4.4616548455844229E-2"/>
    <n v="0"/>
    <n v="0"/>
    <n v="0"/>
    <n v="0.84899999999999998"/>
    <n v="0.52412868632707776"/>
    <n v="0.47587131367292224"/>
    <s v="➖"/>
    <x v="2"/>
    <n v="1.1005830903790088"/>
    <n v="23.666666666666668"/>
    <n v="26.066666666666666"/>
    <n v="1492"/>
    <n v="49.733333333333334"/>
    <n v="1865"/>
    <d v="2029-11-08T00:00:00"/>
    <n v="3971945.8309999998"/>
    <n v="4371456.4174999995"/>
    <n v="24578586.0825"/>
    <n v="0"/>
    <n v="0"/>
  </r>
  <r>
    <n v="25"/>
    <s v="P917-3"/>
    <s v="3/25/2/1/P917-3/1"/>
    <x v="24"/>
    <x v="24"/>
    <x v="0"/>
    <s v="أحمد المطيري"/>
    <s v="رائد الحجيلي"/>
    <x v="15"/>
    <x v="0"/>
    <x v="0"/>
    <s v="معتمد"/>
    <s v="❌"/>
    <n v="0"/>
    <s v="تحت التنفيذ"/>
    <s v="متقدم"/>
    <x v="2"/>
    <x v="23"/>
    <d v="2028-10-18T00:00:00"/>
    <x v="23"/>
    <d v="2029-07-02T00:00:00"/>
    <n v="0"/>
    <s v="NA"/>
    <d v="2029-11-07T00:00:00"/>
    <d v="2029-10-15T00:00:00"/>
    <n v="117509.2760000003"/>
    <n v="799113.5699999996"/>
    <n v="5"/>
    <n v="1114180.9900000002"/>
    <n v="3"/>
    <n v="1913294.5599999998"/>
    <n v="8"/>
    <n v="-23"/>
    <n v="32985994"/>
    <n v="37933893.100000001"/>
    <n v="5.3499999999999999E-2"/>
    <n v="6.7500000000000004E-2"/>
    <x v="20"/>
    <n v="6.8500000000000005E-2"/>
    <n v="2.5999999999999981E-3"/>
    <n v="1.0000000000000009E-3"/>
    <n v="1.2400000000000008E-2"/>
    <m/>
    <m/>
    <m/>
    <m/>
    <m/>
    <m/>
    <n v="-96"/>
    <n v="2.7236842105263157E-2"/>
    <n v="6.3328492459656827E-2"/>
    <n v="0"/>
    <n v="0"/>
    <n v="0"/>
    <n v="0"/>
    <n v="0.93149999999999999"/>
    <n v="0.75887573964497035"/>
    <n v="0.2411242603550296"/>
    <s v="➖"/>
    <x v="2"/>
    <n v="1.2210338680926918"/>
    <n v="10.866666666666667"/>
    <n v="34.200000000000003"/>
    <n v="1352"/>
    <n v="45.06666666666667"/>
    <n v="1690"/>
    <d v="2030-06-05T00:00:00"/>
    <n v="2128091.4029100002"/>
    <n v="2598471.6773500005"/>
    <n v="35335421.422650002"/>
    <n v="0"/>
    <n v="0"/>
  </r>
  <r>
    <n v="26"/>
    <s v="P894-1"/>
    <s v="03/23/2/11/0019/1"/>
    <x v="25"/>
    <x v="25"/>
    <x v="0"/>
    <s v="أحمد المطيري"/>
    <s v="خالد صحاف"/>
    <x v="21"/>
    <x v="0"/>
    <x v="0"/>
    <s v="معتمد"/>
    <s v="✔️"/>
    <n v="0"/>
    <s v="تحت التنفيذ"/>
    <s v="متقدم"/>
    <x v="2"/>
    <x v="24"/>
    <d v="2026-02-18T00:00:00"/>
    <x v="24"/>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x v="21"/>
    <n v="0.59840000000000004"/>
    <n v="1.0000000000000009E-3"/>
    <n v="0"/>
    <n v="5.8000000000000274E-3"/>
    <m/>
    <m/>
    <m/>
    <m/>
    <m/>
    <m/>
    <n v="-140"/>
    <n v="3.9372549019607843E-2"/>
    <n v="0.59411694465952225"/>
    <n v="0.49511694465952227"/>
    <n v="0"/>
    <n v="0.34511694465952225"/>
    <n v="0"/>
    <n v="0.40159999999999996"/>
    <n v="0.24657534246575341"/>
    <n v="0.75342465753424659"/>
    <s v="➖"/>
    <x v="2"/>
    <n v="1.0097873776577793"/>
    <n v="31.166666666666668"/>
    <n v="10.199999999999999"/>
    <n v="1241"/>
    <n v="41.366666666666667"/>
    <n v="1551.25"/>
    <d v="2028-05-18T06:00:00"/>
    <n v="15494876.616869999"/>
    <n v="15646530.82608"/>
    <n v="10500746.623919999"/>
    <n v="0"/>
    <n v="0"/>
  </r>
  <r>
    <n v="27"/>
    <s v="P878"/>
    <s v="03/23/2/01/0028/1"/>
    <x v="26"/>
    <x v="26"/>
    <x v="0"/>
    <s v="أحمد المطيري"/>
    <s v="خالد اللهيبي"/>
    <x v="22"/>
    <x v="1"/>
    <x v="0"/>
    <s v="معتمد"/>
    <s v="✔️"/>
    <n v="0"/>
    <s v="تحت التنفيذ"/>
    <s v="متقدم"/>
    <x v="2"/>
    <x v="25"/>
    <d v="2027-06-04T00:00:00"/>
    <x v="25"/>
    <d v="2028-07-02T00:00:00"/>
    <n v="0"/>
    <s v="NA"/>
    <d v="2028-10-29T00:00:00"/>
    <d v="2028-11-12T00:00:00"/>
    <n v="106897.18078260869"/>
    <n v="793855.98999999976"/>
    <n v="3"/>
    <n v="3709066.03"/>
    <n v="11"/>
    <n v="4502922.0199999996"/>
    <n v="14"/>
    <n v="14"/>
    <n v="21591420"/>
    <n v="24830133"/>
    <n v="0.19500000000000001"/>
    <n v="0.27600000000000002"/>
    <x v="22"/>
    <n v="0.27779999999999999"/>
    <n v="2.6999999999999802E-3"/>
    <n v="1.7999999999999683E-3"/>
    <n v="8.0100000000000005E-2"/>
    <m/>
    <m/>
    <m/>
    <m/>
    <m/>
    <m/>
    <n v="-114"/>
    <n v="3.2777609682299549E-2"/>
    <n v="0.20469329668914782"/>
    <n v="0.10569329668914781"/>
    <n v="0"/>
    <n v="0"/>
    <n v="0"/>
    <n v="0.72219999999999995"/>
    <n v="0.44392209536601746"/>
    <n v="0.55607790463398254"/>
    <s v="➖"/>
    <x v="2"/>
    <n v="1.4051593323216995"/>
    <n v="27.6"/>
    <n v="22.033333333333331"/>
    <n v="1489"/>
    <n v="49.633333333333333"/>
    <n v="1861.25"/>
    <d v="2029-07-09T06:00:00"/>
    <n v="4908917.2940999996"/>
    <n v="6897810.9473999999"/>
    <n v="17932322.0526"/>
    <n v="0"/>
    <n v="0"/>
  </r>
  <r>
    <n v="28"/>
    <s v="NA-00034"/>
    <s v="03/23/2/02/0040/1"/>
    <x v="27"/>
    <x v="27"/>
    <x v="1"/>
    <s v="عادل الحيسوني"/>
    <s v="حسن عزي "/>
    <x v="23"/>
    <x v="0"/>
    <x v="1"/>
    <s v="معتمد"/>
    <s v="❌"/>
    <n v="0"/>
    <s v="تحت التنفيذ"/>
    <s v="متقدم"/>
    <x v="2"/>
    <x v="22"/>
    <d v="2026-09-30T00:00:00"/>
    <x v="26"/>
    <d v="2027-10-25T00:00:00"/>
    <n v="0"/>
    <s v="NA"/>
    <d v="2028-02-20T00:00:00"/>
    <d v="2028-03-06T00:00:00"/>
    <n v="503953.39130434394"/>
    <n v="5708730.8100000005"/>
    <n v="5"/>
    <n v="8023385.3900000006"/>
    <n v="15"/>
    <n v="13732116.200000001"/>
    <n v="20"/>
    <n v="15"/>
    <n v="43666400"/>
    <n v="50216360"/>
    <n v="0.2487"/>
    <n v="0.3"/>
    <x v="23"/>
    <n v="0.30299999999999999"/>
    <n v="7.9999999999999516E-4"/>
    <n v="3.0000000000000027E-3"/>
    <n v="5.3499999999999992E-2"/>
    <m/>
    <m/>
    <m/>
    <m/>
    <m/>
    <m/>
    <n v="-114"/>
    <n v="5.1000000000000004E-2"/>
    <n v="0.25718581037136101"/>
    <n v="0.15818581037136101"/>
    <n v="0"/>
    <n v="8.1858103713610131E-3"/>
    <n v="0"/>
    <n v="0.69700000000000006"/>
    <n v="0.3660714285714286"/>
    <n v="0.6339285714285714"/>
    <s v="➖"/>
    <x v="2"/>
    <n v="1.2144288577154307"/>
    <n v="23.666666666666668"/>
    <n v="13.666666666666668"/>
    <n v="1120"/>
    <n v="37.333333333333336"/>
    <n v="1400"/>
    <d v="2028-07-31T00:00:00"/>
    <n v="12528981.82"/>
    <n v="15215557.08"/>
    <n v="35000802.920000002"/>
    <n v="0"/>
    <n v="0"/>
  </r>
  <r>
    <n v="29"/>
    <s v="P802"/>
    <s v="03/23/2/01/0042/1"/>
    <x v="28"/>
    <x v="28"/>
    <x v="3"/>
    <s v="عبدالله المغذوي"/>
    <s v="عبدالله اورقنجي"/>
    <x v="24"/>
    <x v="0"/>
    <x v="0"/>
    <s v="معتمد"/>
    <s v="✔️"/>
    <n v="0"/>
    <s v="تحت التنفيذ"/>
    <s v="متقدم"/>
    <x v="2"/>
    <x v="26"/>
    <d v="2026-10-17T00:00:00"/>
    <x v="27"/>
    <d v="2027-12-16T00:00:00"/>
    <n v="0"/>
    <s v="NA"/>
    <d v="2028-02-10T00:00:00"/>
    <d v="2028-02-23T00:00:00"/>
    <n v="807097.68799999729"/>
    <n v="1420492.9800000042"/>
    <n v="5"/>
    <n v="10509795.849999998"/>
    <n v="15"/>
    <n v="11930288.830000002"/>
    <n v="20"/>
    <n v="13"/>
    <n v="27897360"/>
    <n v="32081964"/>
    <n v="0.41100000000000003"/>
    <n v="0.41240000000000004"/>
    <x v="24"/>
    <n v="0.41420000000000001"/>
    <n v="8.9999999999995639E-4"/>
    <n v="1.7999999999999683E-3"/>
    <n v="2.3000000000000242E-3"/>
    <m/>
    <m/>
    <m/>
    <m/>
    <m/>
    <m/>
    <n v="-59"/>
    <n v="3.8038961038961039E-2"/>
    <n v="0.4222597815707293"/>
    <n v="0.32325978157072932"/>
    <n v="0"/>
    <n v="0.1732597815707293"/>
    <n v="0"/>
    <n v="0.58579999999999999"/>
    <n v="0.4"/>
    <n v="0.6"/>
    <s v="➖"/>
    <x v="2"/>
    <n v="1.005583879582423"/>
    <n v="23.099999999999998"/>
    <n v="15.4"/>
    <n v="1155"/>
    <n v="38.5"/>
    <n v="1443.75"/>
    <d v="2028-09-29T18:00:00"/>
    <n v="13214560.9716"/>
    <n v="13288349.4888"/>
    <n v="18793614.5112"/>
    <n v="0"/>
    <n v="0"/>
  </r>
  <r>
    <n v="30"/>
    <s v="O267"/>
    <s v="03/23/2/02/0039/1"/>
    <x v="29"/>
    <x v="29"/>
    <x v="2"/>
    <s v="عبدالله المغذوي"/>
    <s v="عبدالعزيز فلاته "/>
    <x v="25"/>
    <x v="0"/>
    <x v="2"/>
    <s v="معتمد"/>
    <s v="❌"/>
    <n v="0.2482"/>
    <s v="مكتمل التنفيذ"/>
    <s v="مكتمل التنفيذ"/>
    <x v="3"/>
    <x v="22"/>
    <d v="2026-03-30T00:00:00"/>
    <x v="28"/>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x v="2"/>
    <n v="0.52"/>
    <n v="0"/>
    <n v="0"/>
    <n v="-0.48"/>
    <m/>
    <m/>
    <s v="نعم"/>
    <s v="نعم"/>
    <s v="نعم"/>
    <s v="نعم"/>
    <n v="-137"/>
    <n v="-8.7272727272727266E-2"/>
    <n v="1"/>
    <n v="0.90100000000000002"/>
    <n v="0.38100000000000001"/>
    <n v="0.751"/>
    <n v="0.23099999999999998"/>
    <n v="0.48"/>
    <n v="-0.30275229357798161"/>
    <n v="1.3027522935779816"/>
    <s v="➖"/>
    <x v="2"/>
    <n v="0.52"/>
    <n v="23.666666666666668"/>
    <n v="-5.5"/>
    <n v="545"/>
    <n v="18.166666666666668"/>
    <n v="681.25"/>
    <d v="2026-08-12T06:00:00"/>
    <n v="17250000.460000001"/>
    <n v="8970000.2392000016"/>
    <n v="8280000.2208000002"/>
    <n v="4281450.1141720004"/>
    <n v="0.51708333333333334"/>
  </r>
  <r>
    <n v="31"/>
    <n v="10279"/>
    <s v="03/23/2/02/0035/1"/>
    <x v="30"/>
    <x v="30"/>
    <x v="2"/>
    <s v="عبدالله المغذوي"/>
    <s v="عبدالعزيز فلاته "/>
    <x v="26"/>
    <x v="0"/>
    <x v="2"/>
    <s v="معتمد"/>
    <s v="❌"/>
    <n v="0"/>
    <s v="تحت التنفيذ"/>
    <s v="متأخر"/>
    <x v="4"/>
    <x v="27"/>
    <d v="2026-07-17T00:00:00"/>
    <x v="29"/>
    <d v="2027-01-24T00:00:00"/>
    <n v="0"/>
    <s v="NA"/>
    <d v="2027-02-25T00:00:00"/>
    <d v="2027-02-03T00:00:00"/>
    <n v="1037331.4271739125"/>
    <n v="0"/>
    <n v="0"/>
    <n v="8729358.9899999984"/>
    <n v="15"/>
    <n v="8729358.9900000002"/>
    <n v="15"/>
    <n v="-22"/>
    <n v="19721322"/>
    <n v="22679520.300000001"/>
    <n v="0.63139999999999996"/>
    <n v="0.46479999999999999"/>
    <x v="25"/>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x v="2"/>
    <n v="0.94969055699740468"/>
    <n v="26.166666666666668"/>
    <n v="4.5333333333333314"/>
    <n v="921"/>
    <n v="30.7"/>
    <n v="1151.25"/>
    <d v="2027-09-11T06:00:00"/>
    <n v="11360171.71827"/>
    <n v="10788647.806710001"/>
    <n v="11890872.49329"/>
    <n v="0"/>
    <n v="0"/>
  </r>
  <r>
    <n v="32"/>
    <n v="10128"/>
    <s v="03/23/2/02/0007/1"/>
    <x v="31"/>
    <x v="31"/>
    <x v="1"/>
    <s v="عادل الحيسوني"/>
    <s v="بدر المحمدي"/>
    <x v="27"/>
    <x v="0"/>
    <x v="1"/>
    <s v="معتمد"/>
    <s v="❌"/>
    <n v="0"/>
    <s v="تحت التنفيذ"/>
    <s v="متقدم"/>
    <x v="4"/>
    <x v="28"/>
    <d v="2026-10-16T00:00:00"/>
    <x v="30"/>
    <d v="2026-10-16T00:00:00"/>
    <n v="1"/>
    <s v="NA"/>
    <d v="2027-04-25T00:00:00"/>
    <d v="2027-06-03T00:00:00"/>
    <n v="3471607.9826086909"/>
    <n v="0"/>
    <n v="0"/>
    <n v="38719743.319999993"/>
    <n v="26"/>
    <n v="38719743.32"/>
    <n v="26"/>
    <n v="39"/>
    <n v="38500000"/>
    <n v="44275000"/>
    <n v="0.95430000000000004"/>
    <n v="0.9647"/>
    <x v="26"/>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x v="2"/>
    <n v="0.98609701644002434"/>
    <n v="35.333333333333329"/>
    <n v="1.2000000000000004"/>
    <n v="1096"/>
    <n v="36.533333333333331"/>
    <n v="1370"/>
    <d v="2027-07-17T00:00:00"/>
    <n v="43628585"/>
    <n v="43022017.5"/>
    <n v="1252982.4999999995"/>
    <n v="0"/>
    <n v="0"/>
  </r>
  <r>
    <n v="33"/>
    <n v="10137"/>
    <s v="03/23/2/02/0010/1"/>
    <x v="32"/>
    <x v="32"/>
    <x v="1"/>
    <s v="عادل الحيسوني"/>
    <s v="زيد المغذوي"/>
    <x v="28"/>
    <x v="0"/>
    <x v="1"/>
    <s v="معتمد"/>
    <s v="✔️"/>
    <n v="0"/>
    <s v="تحت التنفيذ"/>
    <s v="منتظم"/>
    <x v="4"/>
    <x v="29"/>
    <d v="2025-11-19T00:00:00"/>
    <x v="6"/>
    <d v="2026-12-23T00:00:00"/>
    <n v="0"/>
    <s v="NA"/>
    <d v="2027-02-17T00:00:00"/>
    <d v="2027-02-03T00:00:00"/>
    <n v="791033.84492817521"/>
    <n v="1319181.0100000016"/>
    <n v="5"/>
    <n v="18705008.27"/>
    <n v="20"/>
    <n v="20024189.280000001"/>
    <n v="25"/>
    <n v="-14"/>
    <n v="32905589.93"/>
    <n v="37841428.420000002"/>
    <n v="0.61609999999999998"/>
    <n v="0.55620000000000003"/>
    <x v="2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x v="2"/>
    <n v="0.87523570081709634"/>
    <n v="34.199999999999996"/>
    <n v="3.4666666666666686"/>
    <n v="1130"/>
    <n v="37.666666666666664"/>
    <n v="1412.5"/>
    <d v="2027-10-01T12:00:00"/>
    <n v="24082285.046487998"/>
    <n v="21077675.629940003"/>
    <n v="16763752.790059999"/>
    <n v="0"/>
    <n v="0"/>
  </r>
  <r>
    <n v="34"/>
    <s v="P871"/>
    <s v="3/25/2/2/P871/1"/>
    <x v="33"/>
    <x v="33"/>
    <x v="2"/>
    <s v="عبدالله المغذوي"/>
    <s v="عبدالعزيز فلاته "/>
    <x v="29"/>
    <x v="0"/>
    <x v="2"/>
    <s v="معتمد"/>
    <s v="❌"/>
    <n v="0"/>
    <s v="تحت التنفيذ"/>
    <s v="منتظم"/>
    <x v="4"/>
    <x v="30"/>
    <d v="2028-09-08T00:00:00"/>
    <x v="31"/>
    <d v="2029-07-06T00:00:00"/>
    <n v="1"/>
    <s v="NA"/>
    <d v="2029-07-06T00:00:00"/>
    <d v="2029-08-04T00:00:00"/>
    <n v="189986.83478260867"/>
    <n v="1017719.1399999999"/>
    <n v="6"/>
    <n v="0"/>
    <n v="0"/>
    <n v="1017719.1399999999"/>
    <n v="6"/>
    <n v="29"/>
    <n v="22395000"/>
    <n v="25754250"/>
    <n v="5.2999999999999999E-2"/>
    <n v="0.05"/>
    <x v="28"/>
    <n v="5.0599999999999999E-2"/>
    <n v="2.700000000000001E-3"/>
    <n v="5.9999999999999637E-4"/>
    <n v="-5.1000000000000004E-3"/>
    <m/>
    <m/>
    <m/>
    <m/>
    <m/>
    <m/>
    <n v="-25"/>
    <n v="2.7652427184466023E-2"/>
    <n v="6.1655673141326188E-2"/>
    <n v="0"/>
    <n v="0"/>
    <n v="0"/>
    <n v="0"/>
    <n v="0.94940000000000002"/>
    <n v="0.73835125448028671"/>
    <n v="0.26164874551971329"/>
    <s v="➖"/>
    <x v="2"/>
    <n v="0.90843806104129265"/>
    <n v="12.166666666666668"/>
    <n v="34.333333333333329"/>
    <n v="1395"/>
    <n v="46.5"/>
    <n v="1743.75"/>
    <d v="2030-06-19T18:00:00"/>
    <n v="1434511.7250000001"/>
    <n v="1303165.05"/>
    <n v="24451084.949999999"/>
    <n v="0"/>
    <n v="0"/>
  </r>
  <r>
    <n v="35"/>
    <n v="10101"/>
    <s v="03/23/2/01/0003/2"/>
    <x v="34"/>
    <x v="34"/>
    <x v="3"/>
    <s v="عبدالله المغذوي "/>
    <s v="عبدالله أورقنجي"/>
    <x v="30"/>
    <x v="0"/>
    <x v="0"/>
    <s v="معتمد"/>
    <s v="✔️"/>
    <n v="0"/>
    <s v="تحت التنفيذ"/>
    <s v="منتظم"/>
    <x v="4"/>
    <x v="31"/>
    <d v="2026-09-21T00:00:00"/>
    <x v="32"/>
    <d v="2027-11-15T00:00:00"/>
    <n v="0"/>
    <s v="NA"/>
    <d v="2028-03-26T00:00:00"/>
    <d v="2028-04-23T00:00:00"/>
    <n v="1932310.0262434743"/>
    <n v="716363.27000000328"/>
    <n v="4"/>
    <n v="25283288.32"/>
    <n v="26"/>
    <n v="25999651.590000004"/>
    <n v="30"/>
    <n v="28"/>
    <n v="49347884"/>
    <n v="56750066.600000001"/>
    <n v="0.50219999999999998"/>
    <n v="0.50109999999999999"/>
    <x v="29"/>
    <n v="0.502"/>
    <n v="7.0000000000003393E-4"/>
    <n v="9.000000000000119E-4"/>
    <n v="-9.000000000000119E-4"/>
    <m/>
    <m/>
    <m/>
    <m/>
    <m/>
    <m/>
    <n v="-137"/>
    <n v="3.466357308584686E-2"/>
    <n v="0.50543307103817481"/>
    <n v="0.40643307103817483"/>
    <n v="0"/>
    <n v="0.25643307103817481"/>
    <n v="0"/>
    <n v="0.498"/>
    <n v="0.28430079155672827"/>
    <n v="0.71569920844327173"/>
    <s v="➖"/>
    <x v="2"/>
    <n v="0.99821037979717631"/>
    <n v="36.166666666666664"/>
    <n v="14.366666666666669"/>
    <n v="1516"/>
    <n v="50.533333333333331"/>
    <n v="1895"/>
    <d v="2028-11-28T00:00:00"/>
    <n v="28539608.493140001"/>
    <n v="28488533.433200002"/>
    <n v="28261533.1668"/>
    <n v="0"/>
    <n v="0"/>
  </r>
  <r>
    <n v="36"/>
    <n v="10278"/>
    <s v="03/23/2/02/0031/1"/>
    <x v="35"/>
    <x v="35"/>
    <x v="1"/>
    <s v="عادل الحيسوني"/>
    <s v="محمد قطيلان"/>
    <x v="31"/>
    <x v="1"/>
    <x v="1"/>
    <s v="معتمد"/>
    <s v="❌"/>
    <n v="0"/>
    <s v="تحت التنفيذ"/>
    <s v="منتظم"/>
    <x v="4"/>
    <x v="27"/>
    <d v="2027-07-17T00:00:00"/>
    <x v="16"/>
    <d v="2028-09-08T00:00:00"/>
    <n v="1"/>
    <s v="NA"/>
    <d v="2029-02-01T00:00:00"/>
    <d v="2029-02-15T00:00:00"/>
    <n v="425395.64782608487"/>
    <n v="861430.06000000145"/>
    <n v="5"/>
    <n v="7689906.0599999996"/>
    <n v="15"/>
    <n v="8551336.120000001"/>
    <n v="20"/>
    <n v="14"/>
    <n v="55361550"/>
    <n v="63665782.5"/>
    <n v="0.153"/>
    <n v="0.1477"/>
    <x v="30"/>
    <n v="0.1517"/>
    <n v="2.5000000000000022E-3"/>
    <n v="4.0000000000000036E-3"/>
    <n v="-3.7999999999999978E-3"/>
    <m/>
    <m/>
    <m/>
    <m/>
    <m/>
    <m/>
    <n v="-137"/>
    <n v="3.4909465020576132E-2"/>
    <n v="0.15948886311889751"/>
    <n v="6.0488863118897507E-2"/>
    <n v="0"/>
    <n v="0"/>
    <n v="0"/>
    <n v="0.84830000000000005"/>
    <n v="0.48150594451783357"/>
    <n v="0.51849405548216643"/>
    <s v="➖"/>
    <x v="2"/>
    <n v="0.97556270096463027"/>
    <n v="26.166666666666668"/>
    <n v="24.3"/>
    <n v="1514"/>
    <n v="50.466666666666669"/>
    <n v="1892.5"/>
    <d v="2029-09-21T12:00:00"/>
    <n v="9900029.178749999"/>
    <n v="9658099.2052500006"/>
    <n v="54007683.294750005"/>
    <n v="0"/>
    <n v="0"/>
  </r>
  <r>
    <n v="37"/>
    <s v="P898-2"/>
    <s v="3/22/2/1/P898-2/1"/>
    <x v="36"/>
    <x v="36"/>
    <x v="0"/>
    <s v="أحمد المطيري"/>
    <s v="محمود المختار"/>
    <x v="32"/>
    <x v="0"/>
    <x v="0"/>
    <s v="معتمد"/>
    <s v="✔️"/>
    <n v="0"/>
    <s v="تحت التنفيذ"/>
    <s v="منتظم"/>
    <x v="4"/>
    <x v="32"/>
    <d v="2027-04-05T00:00:00"/>
    <x v="33"/>
    <d v="2028-04-23T00:00:00"/>
    <n v="0"/>
    <s v="NA"/>
    <d v="2028-09-02T00:00:00"/>
    <d v="2028-09-30T00:00:00"/>
    <n v="104604.40847826097"/>
    <n v="23014.719999999972"/>
    <n v="1"/>
    <n v="938643.98"/>
    <n v="7"/>
    <n v="961658.7"/>
    <n v="8"/>
    <n v="28"/>
    <n v="13440419.5"/>
    <n v="15456482.43"/>
    <n v="9.0999999999999998E-2"/>
    <n v="7.0000000000000007E-2"/>
    <x v="31"/>
    <n v="7.0000000000000007E-2"/>
    <n v="1.5000000000000013E-3"/>
    <n v="0"/>
    <n v="-2.2499999999999992E-2"/>
    <m/>
    <m/>
    <m/>
    <m/>
    <m/>
    <m/>
    <n v="-119"/>
    <n v="4.7208121827411159E-2"/>
    <n v="9.7702938956526084E-2"/>
    <n v="0"/>
    <n v="0"/>
    <n v="0"/>
    <n v="0"/>
    <n v="0.92999999999999994"/>
    <n v="0.53099730458221028"/>
    <n v="0.46900269541778977"/>
    <s v="➖"/>
    <x v="2"/>
    <n v="0.7567567567567568"/>
    <n v="17.400000000000002"/>
    <n v="19.700000000000003"/>
    <n v="1113"/>
    <n v="37.1"/>
    <n v="1391.25"/>
    <d v="2029-01-26T06:00:00"/>
    <n v="1429724.6247749999"/>
    <n v="1081953.7701000001"/>
    <n v="14374528.659899998"/>
    <n v="0"/>
    <n v="0"/>
  </r>
  <r>
    <n v="38"/>
    <s v="P832"/>
    <s v="3/25/2/1/P832/1"/>
    <x v="37"/>
    <x v="37"/>
    <x v="3"/>
    <s v="عبدالله المغذوي "/>
    <s v="عبد العزيز الردادي"/>
    <x v="15"/>
    <x v="0"/>
    <x v="0"/>
    <s v="معتمد"/>
    <s v="❌"/>
    <n v="0"/>
    <s v="تحت التنفيذ"/>
    <s v="منتظم"/>
    <x v="4"/>
    <x v="33"/>
    <d v="2028-11-19T00:00:00"/>
    <x v="34"/>
    <d v="2029-07-08T00:00:00"/>
    <n v="0"/>
    <s v="NA"/>
    <d v="2029-11-01T00:00:00"/>
    <d v="2029-11-29T00:00:00"/>
    <n v="15006.377826086944"/>
    <n v="345023.98"/>
    <n v="4"/>
    <n v="0"/>
    <n v="0"/>
    <n v="345023.98"/>
    <n v="4"/>
    <n v="28"/>
    <n v="59439100"/>
    <n v="68354965"/>
    <n v="2.69E-2"/>
    <n v="8.3999999999999995E-3"/>
    <x v="32"/>
    <n v="1.0500000000000001E-2"/>
    <n v="1.7999999999999995E-3"/>
    <n v="2.1000000000000012E-3"/>
    <n v="-1.8200000000000001E-2"/>
    <m/>
    <m/>
    <m/>
    <m/>
    <m/>
    <m/>
    <n v="-124"/>
    <n v="2.8764534883720928E-2"/>
    <n v="3.3297365550049501E-2"/>
    <n v="0"/>
    <n v="0"/>
    <n v="0"/>
    <n v="0"/>
    <n v="0.98950000000000005"/>
    <n v="0.77828054298642535"/>
    <n v="0.22171945701357465"/>
    <s v="➖"/>
    <x v="2"/>
    <n v="0.36585365853658541"/>
    <n v="9.8000000000000007"/>
    <n v="34.400000000000006"/>
    <n v="1326"/>
    <n v="44.2"/>
    <n v="1657.5"/>
    <d v="2030-06-04T12:00:00"/>
    <n v="1961787.4955"/>
    <n v="717727.13250000007"/>
    <n v="67637237.867500007"/>
    <n v="0"/>
    <n v="0"/>
  </r>
  <r>
    <n v="39"/>
    <s v="AP249"/>
    <s v="3/25/2/1/AP249/1"/>
    <x v="38"/>
    <x v="38"/>
    <x v="0"/>
    <s v="احمد المطيري"/>
    <m/>
    <x v="33"/>
    <x v="0"/>
    <x v="0"/>
    <s v="معتمد"/>
    <s v="❌"/>
    <n v="0"/>
    <s v="ايقاف كلي"/>
    <s v="منتظم"/>
    <x v="4"/>
    <x v="34"/>
    <d v="2028-01-11T00:00:00"/>
    <x v="35"/>
    <d v="2028-08-30T00:00:00"/>
    <n v="0"/>
    <s v="NA"/>
    <d v="2029-01-08T00:00:00"/>
    <d v="2029-01-08T00:00:00"/>
    <n v="0"/>
    <n v="0"/>
    <n v="0"/>
    <n v="0"/>
    <n v="0"/>
    <n v="0"/>
    <n v="0"/>
    <n v="0"/>
    <n v="51109542"/>
    <n v="58775973.299999997"/>
    <n v="2.7400000000000001E-2"/>
    <n v="0"/>
    <x v="33"/>
    <n v="0"/>
    <n v="0"/>
    <n v="0"/>
    <n v="-2.7400000000000001E-2"/>
    <m/>
    <m/>
    <m/>
    <m/>
    <m/>
    <m/>
    <n v="-111"/>
    <n v="4.1666666666666657E-2"/>
    <n v="3.5138480012205944E-2"/>
    <n v="0"/>
    <n v="0"/>
    <n v="0"/>
    <n v="0"/>
    <n v="1"/>
    <n v="0.74844074844074848"/>
    <n v="0.25155925155925157"/>
    <s v="➖"/>
    <x v="2"/>
    <n v="0"/>
    <n v="8.0666666666666682"/>
    <n v="24.000000000000004"/>
    <n v="962"/>
    <n v="32.06666666666667"/>
    <n v="1202.5"/>
    <d v="2029-04-27T12:00:00"/>
    <n v="1610461.66842"/>
    <n v="0"/>
    <n v="58775973.299999997"/>
    <n v="0"/>
    <n v="0"/>
  </r>
  <r>
    <n v="40"/>
    <s v="AP246"/>
    <s v="3/25/2/1/AP246/1"/>
    <x v="39"/>
    <x v="39"/>
    <x v="2"/>
    <s v="عبدالله المغذوي "/>
    <s v="فارس الرويثي"/>
    <x v="12"/>
    <x v="0"/>
    <x v="0"/>
    <s v="معتمد"/>
    <s v="❌"/>
    <n v="0"/>
    <s v="تحت التنفيذ"/>
    <s v="منتظم"/>
    <x v="4"/>
    <x v="35"/>
    <d v="2028-03-15T00:00:00"/>
    <x v="36"/>
    <d v="2028-07-27T00:00:00"/>
    <n v="0"/>
    <s v="NA"/>
    <d v="2028-11-04T00:00:00"/>
    <d v="2028-11-20T00:00:00"/>
    <n v="0"/>
    <n v="0"/>
    <n v="0"/>
    <n v="0"/>
    <n v="0"/>
    <n v="0"/>
    <n v="0"/>
    <n v="16"/>
    <n v="18949999"/>
    <n v="21792498.850000001"/>
    <n v="5.1799999999999999E-2"/>
    <n v="5.5000000000000005E-3"/>
    <x v="34"/>
    <n v="9.2999999999999992E-3"/>
    <n v="5.0000000000000044E-4"/>
    <n v="3.7999999999999987E-3"/>
    <n v="-4.2999999999999997E-2"/>
    <m/>
    <m/>
    <m/>
    <m/>
    <m/>
    <m/>
    <n v="-91"/>
    <n v="4.3325072886297375E-2"/>
    <n v="5.3459052952984316E-2"/>
    <n v="0"/>
    <n v="0"/>
    <n v="0"/>
    <n v="0"/>
    <n v="0.99070000000000003"/>
    <n v="0.79398148148148151"/>
    <n v="0.20601851851851852"/>
    <s v="➖"/>
    <x v="2"/>
    <n v="0.17782026768642445"/>
    <n v="5.9333333333333336"/>
    <n v="22.866666666666667"/>
    <n v="864"/>
    <n v="28.8"/>
    <n v="1080"/>
    <d v="2029-02-28T00:00:00"/>
    <n v="1139747.689855"/>
    <n v="202670.239305"/>
    <n v="21589828.610695001"/>
    <n v="0"/>
    <n v="0"/>
  </r>
  <r>
    <n v="41"/>
    <s v="NA-00031"/>
    <s v="03/23/2/01/0041/1"/>
    <x v="40"/>
    <x v="40"/>
    <x v="2"/>
    <s v="عبدالله المغذوي"/>
    <s v="عبدالعزيز فلاته "/>
    <x v="34"/>
    <x v="0"/>
    <x v="2"/>
    <s v="معتمد"/>
    <s v="❌"/>
    <n v="0"/>
    <s v="تحت التنفيذ"/>
    <s v="منتظم"/>
    <x v="4"/>
    <x v="36"/>
    <d v="2026-09-23T00:00:00"/>
    <x v="37"/>
    <d v="2027-12-13T00:00:00"/>
    <n v="0"/>
    <s v="NA"/>
    <d v="2028-04-27T00:00:00"/>
    <d v="2028-05-25T00:00:00"/>
    <n v="1066563.3882608693"/>
    <n v="990934.58999999985"/>
    <n v="2"/>
    <n v="9802306.6000000015"/>
    <n v="11"/>
    <n v="10793241.190000001"/>
    <n v="13"/>
    <n v="28"/>
    <n v="21729710"/>
    <n v="24989167"/>
    <n v="0.51380000000000003"/>
    <n v="0.48100000000000004"/>
    <x v="35"/>
    <n v="0.48099999999999998"/>
    <n v="3.3999999999999586E-3"/>
    <n v="0"/>
    <n v="-3.620000000000001E-2"/>
    <m/>
    <m/>
    <m/>
    <m/>
    <m/>
    <m/>
    <n v="-137"/>
    <n v="3.389269920734251E-2"/>
    <n v="0.52332386672440634"/>
    <n v="0.42432386672440636"/>
    <n v="0"/>
    <n v="0.27432386672440634"/>
    <n v="0"/>
    <n v="0.51900000000000002"/>
    <n v="0.39097103918228282"/>
    <n v="0.60902896081771718"/>
    <s v="➖"/>
    <x v="2"/>
    <n v="0.9300077339520495"/>
    <n v="23.853634298693922"/>
    <n v="15.313032367972744"/>
    <n v="1175"/>
    <n v="39.166666666666664"/>
    <n v="1468.75"/>
    <d v="2028-10-01T18:00:00"/>
    <n v="12924397.1724"/>
    <n v="12019789.327"/>
    <n v="12969377.673"/>
    <n v="0"/>
    <n v="0"/>
  </r>
  <r>
    <n v="42"/>
    <s v="P908"/>
    <s v="03/23/2/01/0026/1"/>
    <x v="41"/>
    <x v="41"/>
    <x v="3"/>
    <s v="عبدالله المغذوي "/>
    <s v="عبدالعزيز الردادي"/>
    <x v="35"/>
    <x v="0"/>
    <x v="0"/>
    <s v="معتمد"/>
    <s v="✔️"/>
    <n v="0"/>
    <s v="تحت التنفيذ"/>
    <s v="منتظم"/>
    <x v="4"/>
    <x v="37"/>
    <d v="2027-05-19T00:00:00"/>
    <x v="38"/>
    <d v="2028-10-03T00:00:00"/>
    <n v="0"/>
    <s v="NA"/>
    <d v="2029-02-12T00:00:00"/>
    <d v="2029-03-05T00:00:00"/>
    <n v="1237570.5530434772"/>
    <n v="259619.77000000328"/>
    <n v="1"/>
    <n v="15769619.909999998"/>
    <n v="15"/>
    <n v="16029239.680000002"/>
    <n v="16"/>
    <n v="21"/>
    <n v="72961730"/>
    <n v="83905989.5"/>
    <n v="0.24510000000000001"/>
    <n v="0.21"/>
    <x v="36"/>
    <n v="0.21"/>
    <n v="1.999999999999974E-3"/>
    <n v="0"/>
    <n v="-3.7099999999999994E-2"/>
    <m/>
    <m/>
    <m/>
    <m/>
    <m/>
    <m/>
    <n v="-131"/>
    <n v="3.143236074270557E-2"/>
    <n v="0.24513632965901427"/>
    <n v="0.14613632965901427"/>
    <n v="0"/>
    <n v="0"/>
    <n v="0"/>
    <n v="0.79"/>
    <n v="0.47183979974968715"/>
    <n v="0.52816020025031285"/>
    <s v="➖"/>
    <x v="2"/>
    <n v="0.84985835694050993"/>
    <n v="28.133333333333329"/>
    <n v="25.133333333333336"/>
    <n v="1598"/>
    <n v="53.266666666666666"/>
    <n v="1997.5"/>
    <d v="2029-11-06T12:00:00"/>
    <n v="20733170.005449999"/>
    <n v="17620257.794999998"/>
    <n v="66285731.705000006"/>
    <n v="0"/>
    <n v="0"/>
  </r>
  <r>
    <n v="43"/>
    <n v="10280"/>
    <s v="03/23/2/01/0036/1"/>
    <x v="42"/>
    <x v="42"/>
    <x v="3"/>
    <s v="عبدالله المغذوي"/>
    <s v="عبد الله أورقنجي"/>
    <x v="36"/>
    <x v="0"/>
    <x v="0"/>
    <s v="معتمد"/>
    <s v="✔️"/>
    <n v="0.1908"/>
    <s v="إيقاف جزئي"/>
    <s v="منتظم"/>
    <x v="4"/>
    <x v="38"/>
    <d v="2026-08-22T00:00:00"/>
    <x v="39"/>
    <d v="2027-11-03T00:00:00"/>
    <n v="0"/>
    <s v="NA"/>
    <d v="2028-03-14T00:00:00"/>
    <d v="2028-04-10T00:00:00"/>
    <n v="326805.06891443487"/>
    <n v="0"/>
    <n v="0"/>
    <n v="5204619.24"/>
    <n v="14"/>
    <n v="5204619.2399999993"/>
    <n v="14"/>
    <n v="27"/>
    <n v="25593675.789999999"/>
    <n v="29432727.16"/>
    <n v="0.2419"/>
    <n v="0.18960000000000002"/>
    <x v="37"/>
    <n v="0.18959999999999999"/>
    <n v="8.1999999999999851E-3"/>
    <n v="0"/>
    <n v="-6.0499999999999998E-2"/>
    <m/>
    <m/>
    <m/>
    <m/>
    <m/>
    <m/>
    <n v="-136"/>
    <n v="5.8023866348448687E-2"/>
    <n v="0.26120054402705245"/>
    <n v="0.16220054402705245"/>
    <n v="0"/>
    <n v="1.2200544027052451E-2"/>
    <n v="0"/>
    <n v="0.81040000000000001"/>
    <n v="0.35873287671232879"/>
    <n v="0.64126712328767121"/>
    <s v="➖"/>
    <x v="2"/>
    <n v="0.75809676129548176"/>
    <n v="24.966666666666665"/>
    <n v="13.966666666666667"/>
    <n v="1168"/>
    <n v="38.93333333333333"/>
    <n v="1460"/>
    <d v="2028-08-21T00:00:00"/>
    <n v="7361125.0627159998"/>
    <n v="5580445.0695359996"/>
    <n v="23852282.090464"/>
    <n v="5615764.3421280002"/>
    <n v="0.23543928923988156"/>
  </r>
  <r>
    <n v="44"/>
    <n v="10245"/>
    <s v="03/23/2/01/0020/1"/>
    <x v="43"/>
    <x v="43"/>
    <x v="0"/>
    <s v="أحمد المطيري"/>
    <s v="خالد اللهيبي"/>
    <x v="37"/>
    <x v="0"/>
    <x v="0"/>
    <s v="معتمد"/>
    <s v="❌"/>
    <n v="0.24340000000000001"/>
    <s v="إيقاف جزئي"/>
    <s v="منتظم"/>
    <x v="4"/>
    <x v="39"/>
    <d v="2027-02-20T00:00:00"/>
    <x v="14"/>
    <d v="2028-04-13T00:00:00"/>
    <n v="0"/>
    <s v="NA"/>
    <d v="2028-08-27T00:00:00"/>
    <d v="2028-09-25T00:00:00"/>
    <n v="1218102.1218695603"/>
    <n v="294286.95000000484"/>
    <n v="3"/>
    <n v="15825962.179999998"/>
    <n v="20"/>
    <n v="16120249.130000003"/>
    <n v="23"/>
    <n v="29"/>
    <n v="37946974"/>
    <n v="43639020.100000001"/>
    <n v="0.43880000000000002"/>
    <n v="0.40700000000000003"/>
    <x v="38"/>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x v="2"/>
    <n v="0.9286363636363637"/>
    <n v="31.099999999999998"/>
    <n v="19.366666666666671"/>
    <n v="1514"/>
    <n v="50.466666666666669"/>
    <n v="1892.5"/>
    <d v="2029-04-26T12:00:00"/>
    <n v="19201168.844000001"/>
    <n v="17830903.612860002"/>
    <n v="25808116.487139996"/>
    <n v="10621737.49234"/>
    <n v="0.41156577612445056"/>
  </r>
  <r>
    <n v="45"/>
    <s v="NA-00023"/>
    <s v="03/23/2/01/0038/1"/>
    <x v="44"/>
    <x v="44"/>
    <x v="0"/>
    <s v="أحمد المطيري"/>
    <s v="خالد صحاف"/>
    <x v="38"/>
    <x v="0"/>
    <x v="0"/>
    <s v="معتمد"/>
    <s v="✔️"/>
    <n v="0"/>
    <s v="تحت التنفيذ"/>
    <s v="منتظم"/>
    <x v="4"/>
    <x v="40"/>
    <d v="2027-09-09T00:00:00"/>
    <x v="40"/>
    <d v="2028-11-17T00:00:00"/>
    <n v="23"/>
    <s v="New PO = 17 Nov 2028 -23 days"/>
    <d v="2029-03-01T00:00:00"/>
    <s v="29/19/2029"/>
    <n v="195900.53956521768"/>
    <n v="243886.54999999981"/>
    <n v="2"/>
    <n v="3052088.5799999996"/>
    <n v="11"/>
    <n v="3295975.1299999994"/>
    <n v="13"/>
    <e v="#VALUE!"/>
    <n v="31212700"/>
    <n v="35894605"/>
    <n v="0.1462"/>
    <n v="9.8100000000000007E-2"/>
    <x v="39"/>
    <n v="9.8100000000000007E-2"/>
    <n v="0"/>
    <n v="0"/>
    <n v="-4.809999999999999E-2"/>
    <m/>
    <m/>
    <m/>
    <m/>
    <m/>
    <m/>
    <n v="-127"/>
    <n v="3.3863579474342938E-2"/>
    <n v="0.14845402832821253"/>
    <n v="4.9454028328212524E-2"/>
    <n v="0"/>
    <n v="0"/>
    <n v="0"/>
    <n v="0.90190000000000003"/>
    <n v="0.52222222222222214"/>
    <n v="0.4777777777777778"/>
    <s v="➖"/>
    <x v="2"/>
    <n v="0.67099863201094401"/>
    <n v="24.366666666666667"/>
    <n v="26.633333333333329"/>
    <n v="1530"/>
    <n v="51"/>
    <n v="1912.5"/>
    <d v="2029-12-04T12:00:00"/>
    <n v="5247791.2510000002"/>
    <n v="3521260.7505000001"/>
    <n v="32373344.249500003"/>
    <n v="0"/>
    <n v="0"/>
  </r>
  <r>
    <n v="46"/>
    <s v="P852"/>
    <s v="3/25/2/2/P852/1"/>
    <x v="45"/>
    <x v="45"/>
    <x v="1"/>
    <s v="عادل الحيسوني"/>
    <s v="احمد عدني"/>
    <x v="39"/>
    <x v="0"/>
    <x v="1"/>
    <s v="معتمد"/>
    <s v="❌"/>
    <n v="0"/>
    <s v="تحت التنفيذ"/>
    <s v="منتظم"/>
    <x v="4"/>
    <x v="41"/>
    <d v="2027-03-15T00:00:00"/>
    <x v="41"/>
    <d v="2028-03-29T00:00:00"/>
    <n v="0"/>
    <s v="NA"/>
    <d v="2028-03-29T00:00:00"/>
    <d v="2028-04-20T00:00:00"/>
    <n v="43810.513043478131"/>
    <n v="867352.99000000022"/>
    <n v="5"/>
    <n v="1480013.77"/>
    <n v="9"/>
    <n v="2347366.7600000002"/>
    <n v="14"/>
    <n v="22"/>
    <n v="12264700"/>
    <n v="14104405"/>
    <n v="0.20989999999999998"/>
    <n v="0.19"/>
    <x v="40"/>
    <n v="0.19"/>
    <n v="2.0000000000000295E-3"/>
    <n v="0"/>
    <n v="-2.1900000000000003E-2"/>
    <m/>
    <m/>
    <m/>
    <m/>
    <m/>
    <m/>
    <n v="-18"/>
    <n v="4.2932862190812715E-2"/>
    <n v="0.2117377372267765"/>
    <n v="0.11273773722677649"/>
    <n v="0"/>
    <n v="0"/>
    <n v="0"/>
    <n v="0.81"/>
    <n v="0.51036970243462587"/>
    <n v="0.48963029756537418"/>
    <s v="➖"/>
    <x v="2"/>
    <n v="0.89664936290703157"/>
    <n v="18.100000000000001"/>
    <n v="18.866666666666671"/>
    <n v="1109"/>
    <n v="36.966666666666669"/>
    <n v="1386.25"/>
    <d v="2028-12-31T06:00:00"/>
    <n v="2988723.4194999998"/>
    <n v="2679836.9500000002"/>
    <n v="11424568.050000001"/>
    <n v="0"/>
    <n v="0"/>
  </r>
  <r>
    <n v="47"/>
    <s v="NA-00112"/>
    <s v="03/23/2/01/0044/1"/>
    <x v="46"/>
    <x v="46"/>
    <x v="0"/>
    <s v="أحمد المطيري"/>
    <s v="رائد الحجيلي"/>
    <x v="40"/>
    <x v="1"/>
    <x v="0"/>
    <s v="معتمد"/>
    <s v="✔️"/>
    <n v="0"/>
    <s v="تحت التنفيذ"/>
    <s v="منتظم"/>
    <x v="4"/>
    <x v="42"/>
    <d v="2027-12-22T00:00:00"/>
    <x v="42"/>
    <d v="2029-01-09T00:00:00"/>
    <n v="14"/>
    <s v="New PO = 09 Jan 2029 - 14 days"/>
    <d v="2029-05-21T00:00:00"/>
    <d v="2029-06-04T00:00:00"/>
    <n v="28055.901086956495"/>
    <n v="0"/>
    <n v="0"/>
    <n v="810639.11"/>
    <n v="7"/>
    <n v="810639.11"/>
    <n v="7"/>
    <n v="14"/>
    <n v="23121750"/>
    <n v="26590012.5"/>
    <n v="9.5899999999999999E-2"/>
    <n v="3.1699999999999999E-2"/>
    <x v="41"/>
    <n v="3.1699999999999999E-2"/>
    <n v="4.1000000000000064E-3"/>
    <n v="0"/>
    <n v="-6.83E-2"/>
    <m/>
    <m/>
    <s v="نعم"/>
    <m/>
    <m/>
    <m/>
    <n v="-137"/>
    <n v="3.409507042253522E-2"/>
    <n v="0.10969541487573588"/>
    <n v="1.0695414875735873E-2"/>
    <n v="0"/>
    <n v="0"/>
    <n v="0"/>
    <n v="0.96830000000000005"/>
    <n v="0.57606490872210947"/>
    <n v="0.42393509127789047"/>
    <s v="➖"/>
    <x v="2"/>
    <n v="0.31699999999999995"/>
    <n v="20.9"/>
    <n v="28.399999999999995"/>
    <n v="1479"/>
    <n v="49.3"/>
    <n v="1848.75"/>
    <d v="2030-01-13T18:00:00"/>
    <n v="2659001.25"/>
    <n v="842903.39624999999"/>
    <n v="25747109.103750002"/>
    <n v="0"/>
    <n v="0"/>
  </r>
  <r>
    <n v="48"/>
    <n v="10129"/>
    <s v="03/23/2/02/0004/1"/>
    <x v="47"/>
    <x v="47"/>
    <x v="1"/>
    <s v="عادل الحيسوني"/>
    <s v="سلطان البركانى "/>
    <x v="3"/>
    <x v="0"/>
    <x v="1"/>
    <s v="معتمد"/>
    <s v="✔️"/>
    <n v="0.18"/>
    <s v="إيقاف جزئي"/>
    <s v="منتظم"/>
    <x v="4"/>
    <x v="43"/>
    <d v="2026-10-25T00:00:00"/>
    <x v="43"/>
    <d v="2027-12-09T00:00:00"/>
    <n v="0"/>
    <s v="NA"/>
    <d v="2028-04-18T00:00:00"/>
    <d v="2028-05-16T00:00:00"/>
    <n v="2527198.2402173858"/>
    <n v="262727.56000000425"/>
    <n v="5"/>
    <n v="14431302.720000001"/>
    <n v="22"/>
    <n v="14694030.280000005"/>
    <n v="27"/>
    <n v="28"/>
    <n v="68020515"/>
    <n v="78223592.25"/>
    <n v="0.28559999999999997"/>
    <n v="0.22500000000000001"/>
    <x v="42"/>
    <n v="0.22500000000000001"/>
    <n v="8.0000000000002292E-4"/>
    <n v="0"/>
    <n v="-6.1399999999999982E-2"/>
    <m/>
    <m/>
    <s v="نعم"/>
    <m/>
    <m/>
    <m/>
    <n v="-136"/>
    <n v="5.1098901098901105E-2"/>
    <n v="0.29290791090115864"/>
    <n v="0.19390791090115864"/>
    <n v="0"/>
    <n v="4.3907910901158642E-2"/>
    <n v="0"/>
    <n v="0.77500000000000002"/>
    <n v="0.30212483399734391"/>
    <n v="0.69787516600265609"/>
    <s v="➖"/>
    <x v="2"/>
    <n v="0.7856145251396649"/>
    <n v="35.033333333333339"/>
    <n v="15.166666666666666"/>
    <n v="1506"/>
    <n v="50.2"/>
    <n v="1882.5"/>
    <d v="2028-12-19T12:00:00"/>
    <n v="22403236.8204"/>
    <n v="17600308.256250001"/>
    <n v="60623283.993749999"/>
    <n v="14080246.604999999"/>
    <n v="0.23225806451612901"/>
  </r>
  <r>
    <n v="49"/>
    <n v="10136"/>
    <s v="03/23/2/02/0005/1"/>
    <x v="48"/>
    <x v="48"/>
    <x v="2"/>
    <s v="عبدالله المغذوي"/>
    <s v="أحمد السيد"/>
    <x v="41"/>
    <x v="0"/>
    <x v="2"/>
    <s v="معتمد"/>
    <s v="❌"/>
    <n v="0.24160000000000001"/>
    <s v="إيقاف جزئي"/>
    <s v="منتظم"/>
    <x v="4"/>
    <x v="44"/>
    <d v="2026-11-07T00:00:00"/>
    <x v="44"/>
    <d v="2027-02-12T00:00:00"/>
    <n v="1"/>
    <s v="NA"/>
    <d v="2027-05-26T00:00:00"/>
    <d v="2027-06-23T00:00:00"/>
    <n v="1733300.3565565236"/>
    <n v="447639.70999999717"/>
    <n v="1"/>
    <n v="23229340.810000006"/>
    <n v="27"/>
    <n v="23676980.520000003"/>
    <n v="28"/>
    <n v="28"/>
    <n v="42069316"/>
    <n v="48379713.399999999"/>
    <n v="0.62060000000000004"/>
    <n v="0.53060000000000007"/>
    <x v="43"/>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x v="2"/>
    <n v="0.85776069197501204"/>
    <n v="34.6"/>
    <n v="5.166666666666667"/>
    <n v="1193"/>
    <n v="39.766666666666666"/>
    <n v="1491.25"/>
    <d v="2027-12-07T06:00:00"/>
    <n v="30203455.075619996"/>
    <n v="25907336.525699999"/>
    <n v="22472376.874299999"/>
    <n v="11688538.757440001"/>
    <n v="0.52012917115177615"/>
  </r>
  <r>
    <n v="50"/>
    <s v="P921"/>
    <s v="3/25/2/2/P921/1"/>
    <x v="49"/>
    <x v="49"/>
    <x v="1"/>
    <s v="عادل الحيسوني"/>
    <m/>
    <x v="42"/>
    <x v="0"/>
    <x v="1"/>
    <s v="معتمد"/>
    <s v="❌"/>
    <n v="0"/>
    <s v="ايقاف كلي"/>
    <s v="منتظم"/>
    <x v="4"/>
    <x v="45"/>
    <d v="2027-01-13T00:00:00"/>
    <x v="45"/>
    <d v="2027-07-01T00:00:00"/>
    <n v="0"/>
    <s v="NA"/>
    <d v="2027-07-01T00:00:00"/>
    <d v="2027-07-01T00:00:00"/>
    <n v="0"/>
    <n v="0"/>
    <n v="0"/>
    <n v="0"/>
    <n v="0"/>
    <n v="0"/>
    <n v="0"/>
    <n v="0"/>
    <n v="12519874"/>
    <n v="14397855.1"/>
    <n v="7.5800000000000006E-2"/>
    <n v="0"/>
    <x v="44"/>
    <n v="0"/>
    <n v="0"/>
    <n v="0"/>
    <n v="-7.5800000000000006E-2"/>
    <m/>
    <m/>
    <s v="نعم"/>
    <m/>
    <m/>
    <m/>
    <n v="0"/>
    <n v="0.1020408163265306"/>
    <n v="0.1292363381612307"/>
    <n v="3.0236338161230697E-2"/>
    <n v="3.0236338161230697E-2"/>
    <n v="0"/>
    <n v="0"/>
    <n v="1"/>
    <n v="0.550561797752809"/>
    <n v="0.449438202247191"/>
    <s v="➖"/>
    <x v="2"/>
    <n v="0"/>
    <n v="8"/>
    <n v="9.8000000000000007"/>
    <n v="534"/>
    <n v="17.8"/>
    <n v="667.5"/>
    <d v="2027-11-11T12:00:00"/>
    <n v="1091357.41658"/>
    <n v="0"/>
    <n v="14397855.1"/>
    <n v="0"/>
    <n v="0"/>
  </r>
  <r>
    <n v="51"/>
    <s v="NA-00220"/>
    <s v="3/26/2/2/NA-00220/1"/>
    <x v="50"/>
    <x v="50"/>
    <x v="1"/>
    <s v="عادل الحيسوني"/>
    <m/>
    <x v="43"/>
    <x v="0"/>
    <x v="1"/>
    <s v="معتمد"/>
    <m/>
    <n v="0"/>
    <s v="تحت التنفيذ"/>
    <s v="منتظم"/>
    <x v="4"/>
    <x v="46"/>
    <d v="2027-04-11T00:00:00"/>
    <x v="46"/>
    <d v="2027-04-11T00:00:00"/>
    <n v="0"/>
    <s v="NA"/>
    <d v="2027-04-11T00:00:00"/>
    <d v="2027-04-11T00:00:00"/>
    <n v="0"/>
    <n v="0"/>
    <n v="0"/>
    <n v="0"/>
    <n v="0"/>
    <n v="0"/>
    <n v="0"/>
    <n v="0"/>
    <n v="3268750"/>
    <n v="3759062.5"/>
    <n v="0"/>
    <n v="0"/>
    <x v="45"/>
    <n v="0"/>
    <n v="0"/>
    <n v="0"/>
    <n v="-2.3E-3"/>
    <m/>
    <m/>
    <m/>
    <m/>
    <m/>
    <m/>
    <n v="0"/>
    <n v="0.14084507042253522"/>
    <n v="2.1600000000000001E-2"/>
    <n v="0"/>
    <n v="0"/>
    <n v="0"/>
    <n v="0"/>
    <n v="1"/>
    <n v="0.87654320987654322"/>
    <n v="0.12345679012345678"/>
    <s v="➖"/>
    <x v="2"/>
    <n v="0"/>
    <n v="0.99999999999999989"/>
    <n v="7.1"/>
    <n v="243"/>
    <n v="8.1"/>
    <n v="303.75"/>
    <d v="2027-06-10T18:00:00"/>
    <n v="8645.84375"/>
    <n v="0"/>
    <n v="3759062.5"/>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355BC-9AD7-40BA-A460-E045CA05015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 firstHeaderRow="0" firstDataRow="0"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items count="53">
        <item x="26"/>
        <item x="7"/>
        <item x="29"/>
        <item x="6"/>
        <item x="16"/>
        <item x="1"/>
        <item x="0"/>
        <item x="4"/>
        <item x="2"/>
        <item x="5"/>
        <item x="10"/>
        <item x="37"/>
        <item x="8"/>
        <item x="38"/>
        <item x="22"/>
        <item x="48"/>
        <item x="19"/>
        <item x="33"/>
        <item x="21"/>
        <item x="9"/>
        <item x="13"/>
        <item x="15"/>
        <item x="30"/>
        <item x="32"/>
        <item x="27"/>
        <item x="43"/>
        <item x="41"/>
        <item x="34"/>
        <item x="18"/>
        <item x="24"/>
        <item x="3"/>
        <item x="20"/>
        <item x="23"/>
        <item x="28"/>
        <item x="17"/>
        <item x="49"/>
        <item x="31"/>
        <item x="40"/>
        <item x="46"/>
        <item x="36"/>
        <item x="45"/>
        <item x="12"/>
        <item x="11"/>
        <item x="39"/>
        <item x="35"/>
        <item x="50"/>
        <item m="1" x="51"/>
        <item x="25"/>
        <item x="14"/>
        <item x="47"/>
        <item x="42"/>
        <item x="44"/>
        <item t="default"/>
      </items>
    </pivotField>
    <pivotField showAll="0"/>
    <pivotField showAll="0"/>
    <pivotField showAll="0"/>
    <pivotField showAll="0">
      <items count="45">
        <item x="18"/>
        <item x="28"/>
        <item x="7"/>
        <item x="9"/>
        <item x="23"/>
        <item x="16"/>
        <item x="33"/>
        <item x="34"/>
        <item x="21"/>
        <item x="3"/>
        <item x="4"/>
        <item x="39"/>
        <item x="14"/>
        <item x="29"/>
        <item x="41"/>
        <item x="17"/>
        <item x="6"/>
        <item x="22"/>
        <item x="2"/>
        <item x="40"/>
        <item x="37"/>
        <item x="15"/>
        <item x="36"/>
        <item x="0"/>
        <item x="25"/>
        <item x="12"/>
        <item x="20"/>
        <item x="19"/>
        <item x="35"/>
        <item x="1"/>
        <item x="38"/>
        <item x="42"/>
        <item x="13"/>
        <item x="11"/>
        <item x="43"/>
        <item x="32"/>
        <item x="24"/>
        <item x="31"/>
        <item x="5"/>
        <item x="30"/>
        <item x="8"/>
        <item x="27"/>
        <item x="26"/>
        <item x="10"/>
        <item t="default"/>
      </items>
    </pivotField>
    <pivotField showAll="0">
      <items count="3">
        <item x="1"/>
        <item x="0"/>
        <item t="default"/>
      </items>
    </pivotField>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items count="1177">
        <item m="1" x="87"/>
        <item m="1" x="1158"/>
        <item m="1" x="1175"/>
        <item m="1" x="595"/>
        <item m="1" x="1174"/>
        <item m="1" x="1153"/>
        <item m="1" x="1157"/>
        <item m="1" x="1155"/>
        <item m="1" x="1161"/>
        <item m="1" x="1156"/>
        <item m="1" x="1152"/>
        <item m="1" x="899"/>
        <item m="1" x="610"/>
        <item m="1" x="1172"/>
        <item m="1" x="1150"/>
        <item m="1" x="1163"/>
        <item m="1" x="1169"/>
        <item m="1" x="1166"/>
        <item m="1" x="1170"/>
        <item m="1" x="1173"/>
        <item m="1" x="862"/>
        <item m="1" x="630"/>
        <item m="1" x="1160"/>
        <item m="1" x="1168"/>
        <item m="1" x="1154"/>
        <item m="1" x="1142"/>
        <item m="1" x="1144"/>
        <item m="1" x="1145"/>
        <item m="1" x="1146"/>
        <item m="1" x="556"/>
        <item m="1" x="1159"/>
        <item m="1" x="563"/>
        <item m="1" x="1149"/>
        <item m="1" x="1165"/>
        <item m="1" x="1148"/>
        <item m="1" x="1167"/>
        <item m="1" x="313"/>
        <item m="1" x="1171"/>
        <item m="1" x="1162"/>
        <item m="1" x="1111"/>
        <item m="1" x="1143"/>
        <item m="1" x="1164"/>
        <item m="1" x="1147"/>
        <item m="1" x="1141"/>
        <item m="1" x="1151"/>
        <item x="2"/>
        <item m="1" x="1101"/>
        <item m="1" x="1102"/>
        <item m="1" x="1103"/>
        <item m="1" x="1104"/>
        <item m="1" x="1105"/>
        <item m="1" x="1106"/>
        <item m="1" x="1107"/>
        <item m="1" x="1108"/>
        <item m="1" x="1109"/>
        <item m="1" x="1110"/>
        <item m="1" x="1112"/>
        <item m="1" x="1113"/>
        <item m="1" x="1114"/>
        <item m="1" x="1115"/>
        <item m="1" x="72"/>
        <item m="1" x="1116"/>
        <item m="1" x="1117"/>
        <item m="1" x="1118"/>
        <item m="1" x="978"/>
        <item m="1" x="1119"/>
        <item m="1" x="1120"/>
        <item m="1" x="757"/>
        <item x="5"/>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064"/>
        <item m="1" x="1065"/>
        <item m="1" x="1066"/>
        <item m="1" x="1067"/>
        <item m="1" x="1068"/>
        <item m="1" x="1069"/>
        <item m="1" x="1070"/>
        <item m="1" x="1071"/>
        <item m="1" x="615"/>
        <item m="1" x="1072"/>
        <item m="1" x="1073"/>
        <item m="1" x="679"/>
        <item m="1" x="1074"/>
        <item m="1" x="1075"/>
        <item m="1" x="1076"/>
        <item m="1" x="1077"/>
        <item m="1" x="1078"/>
        <item m="1" x="1079"/>
        <item m="1" x="631"/>
        <item m="1" x="1080"/>
        <item m="1" x="1081"/>
        <item m="1" x="837"/>
        <item m="1" x="1020"/>
        <item m="1" x="767"/>
        <item m="1" x="1082"/>
        <item m="1" x="1083"/>
        <item m="1" x="1084"/>
        <item m="1" x="405"/>
        <item m="1" x="1085"/>
        <item m="1" x="1086"/>
        <item m="1" x="1087"/>
        <item m="1" x="1088"/>
        <item m="1" x="1089"/>
        <item m="1" x="760"/>
        <item m="1" x="1090"/>
        <item m="1" x="1091"/>
        <item m="1" x="1092"/>
        <item m="1" x="1093"/>
        <item m="1" x="1094"/>
        <item m="1" x="355"/>
        <item m="1" x="1095"/>
        <item m="1" x="1096"/>
        <item m="1" x="1097"/>
        <item m="1" x="1098"/>
        <item m="1" x="1099"/>
        <item m="1" x="1100"/>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x="33"/>
        <item m="1" x="1044"/>
        <item m="1" x="1045"/>
        <item m="1" x="304"/>
        <item m="1" x="1046"/>
        <item m="1" x="1047"/>
        <item m="1" x="1048"/>
        <item m="1" x="1049"/>
        <item m="1" x="1050"/>
        <item m="1" x="1051"/>
        <item m="1" x="1052"/>
        <item m="1" x="1053"/>
        <item m="1" x="1054"/>
        <item m="1" x="1055"/>
        <item m="1" x="415"/>
        <item m="1" x="1056"/>
        <item m="1" x="1057"/>
        <item m="1" x="1058"/>
        <item m="1" x="1059"/>
        <item m="1" x="1060"/>
        <item m="1" x="1061"/>
        <item m="1" x="285"/>
        <item m="1" x="1062"/>
        <item m="1" x="1063"/>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718"/>
        <item m="1" x="1004"/>
        <item m="1" x="352"/>
        <item m="1" x="1005"/>
        <item m="1" x="1006"/>
        <item m="1" x="1007"/>
        <item m="1" x="1008"/>
        <item m="1" x="1009"/>
        <item m="1" x="1010"/>
        <item m="1" x="859"/>
        <item m="1" x="1011"/>
        <item m="1" x="1012"/>
        <item m="1" x="1013"/>
        <item m="1" x="1014"/>
        <item m="1" x="887"/>
        <item m="1" x="1015"/>
        <item m="1" x="1016"/>
        <item m="1" x="1017"/>
        <item m="1" x="1018"/>
        <item m="1" x="1019"/>
        <item m="1" x="1021"/>
        <item m="1" x="941"/>
        <item m="1" x="942"/>
        <item m="1" x="864"/>
        <item m="1" x="943"/>
        <item m="1" x="944"/>
        <item m="1" x="945"/>
        <item m="1" x="946"/>
        <item m="1" x="947"/>
        <item m="1" x="948"/>
        <item m="1" x="949"/>
        <item m="1" x="950"/>
        <item m="1" x="951"/>
        <item m="1" x="952"/>
        <item m="1" x="953"/>
        <item m="1" x="954"/>
        <item m="1" x="955"/>
        <item m="1" x="956"/>
        <item m="1" x="957"/>
        <item m="1" x="958"/>
        <item m="1" x="959"/>
        <item m="1" x="960"/>
        <item m="1" x="620"/>
        <item m="1" x="961"/>
        <item m="1" x="962"/>
        <item m="1" x="963"/>
        <item m="1" x="964"/>
        <item m="1" x="965"/>
        <item m="1" x="966"/>
        <item m="1" x="818"/>
        <item m="1" x="967"/>
        <item m="1" x="968"/>
        <item m="1" x="969"/>
        <item m="1" x="970"/>
        <item m="1" x="971"/>
        <item m="1" x="972"/>
        <item m="1" x="973"/>
        <item m="1" x="974"/>
        <item m="1" x="644"/>
        <item m="1" x="975"/>
        <item m="1" x="976"/>
        <item m="1" x="689"/>
        <item m="1" x="977"/>
        <item m="1" x="494"/>
        <item m="1" x="549"/>
        <item m="1" x="979"/>
        <item m="1" x="901"/>
        <item m="1" x="902"/>
        <item m="1" x="903"/>
        <item m="1" x="904"/>
        <item m="1" x="905"/>
        <item m="1" x="906"/>
        <item m="1" x="907"/>
        <item m="1" x="908"/>
        <item m="1" x="909"/>
        <item m="1" x="910"/>
        <item m="1" x="911"/>
        <item m="1" x="912"/>
        <item m="1" x="913"/>
        <item m="1" x="914"/>
        <item m="1" x="915"/>
        <item m="1" x="916"/>
        <item m="1" x="917"/>
        <item m="1" x="918"/>
        <item m="1" x="919"/>
        <item m="1" x="706"/>
        <item m="1" x="920"/>
        <item m="1" x="921"/>
        <item m="1" x="635"/>
        <item m="1" x="353"/>
        <item m="1" x="607"/>
        <item m="1" x="922"/>
        <item m="1" x="923"/>
        <item m="1" x="844"/>
        <item m="1" x="924"/>
        <item m="1" x="925"/>
        <item m="1" x="926"/>
        <item m="1" x="927"/>
        <item m="1" x="928"/>
        <item m="1" x="929"/>
        <item m="1" x="930"/>
        <item m="1" x="931"/>
        <item m="1" x="932"/>
        <item m="1" x="933"/>
        <item m="1" x="934"/>
        <item m="1" x="473"/>
        <item m="1" x="935"/>
        <item m="1" x="936"/>
        <item m="1" x="937"/>
        <item m="1" x="938"/>
        <item m="1" x="838"/>
        <item m="1" x="939"/>
        <item m="1" x="940"/>
        <item x="0"/>
        <item m="1" x="863"/>
        <item m="1" x="865"/>
        <item m="1" x="461"/>
        <item m="1" x="866"/>
        <item m="1" x="867"/>
        <item m="1" x="868"/>
        <item m="1" x="869"/>
        <item m="1" x="870"/>
        <item m="1" x="871"/>
        <item m="1" x="872"/>
        <item m="1" x="873"/>
        <item m="1" x="874"/>
        <item m="1" x="875"/>
        <item m="1" x="876"/>
        <item m="1" x="877"/>
        <item m="1" x="878"/>
        <item m="1" x="109"/>
        <item m="1" x="879"/>
        <item m="1" x="880"/>
        <item m="1" x="881"/>
        <item m="1" x="882"/>
        <item m="1" x="60"/>
        <item m="1" x="547"/>
        <item m="1" x="883"/>
        <item m="1" x="884"/>
        <item m="1" x="885"/>
        <item m="1" x="886"/>
        <item m="1" x="888"/>
        <item m="1" x="889"/>
        <item m="1" x="890"/>
        <item m="1" x="891"/>
        <item m="1" x="892"/>
        <item m="1" x="745"/>
        <item m="1" x="893"/>
        <item m="1" x="780"/>
        <item m="1" x="894"/>
        <item m="1" x="372"/>
        <item m="1" x="895"/>
        <item m="1" x="896"/>
        <item m="1" x="897"/>
        <item m="1" x="898"/>
        <item m="1" x="900"/>
        <item m="1" x="132"/>
        <item m="1" x="845"/>
        <item m="1" x="846"/>
        <item m="1" x="847"/>
        <item m="1" x="848"/>
        <item m="1" x="810"/>
        <item m="1" x="811"/>
        <item m="1" x="849"/>
        <item m="1" x="861"/>
        <item m="1" x="774"/>
        <item m="1" x="850"/>
        <item m="1" x="851"/>
        <item m="1" x="809"/>
        <item m="1" x="814"/>
        <item m="1" x="852"/>
        <item m="1" x="778"/>
        <item m="1" x="836"/>
        <item m="1" x="853"/>
        <item m="1" x="779"/>
        <item m="1" x="854"/>
        <item m="1" x="816"/>
        <item m="1" x="121"/>
        <item m="1" x="722"/>
        <item m="1" x="839"/>
        <item m="1" x="824"/>
        <item m="1" x="180"/>
        <item m="1" x="825"/>
        <item m="1" x="826"/>
        <item m="1" x="827"/>
        <item m="1" x="828"/>
        <item m="1" x="857"/>
        <item m="1" x="210"/>
        <item m="1" x="804"/>
        <item m="1" x="805"/>
        <item m="1" x="831"/>
        <item m="1" x="858"/>
        <item m="1" x="840"/>
        <item m="1" x="832"/>
        <item m="1" x="841"/>
        <item m="1" x="833"/>
        <item m="1" x="842"/>
        <item m="1" x="860"/>
        <item m="1" x="843"/>
        <item m="1" x="855"/>
        <item m="1" x="856"/>
        <item m="1" x="749"/>
        <item m="1" x="812"/>
        <item m="1" x="775"/>
        <item m="1" x="813"/>
        <item m="1" x="770"/>
        <item m="1" x="820"/>
        <item m="1" x="821"/>
        <item m="1" x="793"/>
        <item m="1" x="794"/>
        <item m="1" x="822"/>
        <item m="1" x="796"/>
        <item m="1" x="786"/>
        <item m="1" x="360"/>
        <item m="1" x="823"/>
        <item m="1" x="829"/>
        <item m="1" x="830"/>
        <item m="1" x="834"/>
        <item m="1" x="815"/>
        <item m="1" x="781"/>
        <item m="1" x="817"/>
        <item m="1" x="819"/>
        <item m="1" x="787"/>
        <item m="1" x="528"/>
        <item m="1" x="192"/>
        <item m="1" x="835"/>
        <item m="1" x="771"/>
        <item m="1" x="772"/>
        <item m="1" x="773"/>
        <item m="1" x="769"/>
        <item m="1" x="777"/>
        <item m="1" x="691"/>
        <item m="1" x="782"/>
        <item m="1" x="783"/>
        <item m="1" x="784"/>
        <item m="1" x="737"/>
        <item m="1" x="785"/>
        <item m="1" x="189"/>
        <item m="1" x="312"/>
        <item m="1" x="788"/>
        <item m="1" x="747"/>
        <item m="1" x="808"/>
        <item m="1" x="790"/>
        <item m="1" x="791"/>
        <item m="1" x="792"/>
        <item m="1" x="795"/>
        <item m="1" x="797"/>
        <item m="1" x="798"/>
        <item m="1" x="799"/>
        <item m="1" x="800"/>
        <item m="1" x="801"/>
        <item m="1" x="802"/>
        <item m="1" x="803"/>
        <item m="1" x="806"/>
        <item m="1" x="807"/>
        <item m="1" x="776"/>
        <item m="1" x="789"/>
        <item m="1" x="768"/>
        <item m="1" x="726"/>
        <item m="1" x="727"/>
        <item m="1" x="729"/>
        <item m="1" x="730"/>
        <item m="1" x="731"/>
        <item m="1" x="732"/>
        <item m="1" x="734"/>
        <item m="1" x="735"/>
        <item m="1" x="736"/>
        <item m="1" x="738"/>
        <item m="1" x="739"/>
        <item m="1" x="740"/>
        <item m="1" x="741"/>
        <item m="1" x="742"/>
        <item m="1" x="743"/>
        <item m="1" x="513"/>
        <item m="1" x="744"/>
        <item m="1" x="746"/>
        <item m="1" x="591"/>
        <item m="1" x="748"/>
        <item m="1" x="506"/>
        <item m="1" x="751"/>
        <item m="1" x="752"/>
        <item m="1" x="753"/>
        <item m="1" x="754"/>
        <item m="1" x="755"/>
        <item m="1" x="756"/>
        <item m="1" x="758"/>
        <item m="1" x="759"/>
        <item m="1" x="761"/>
        <item m="1" x="157"/>
        <item m="1" x="578"/>
        <item m="1" x="762"/>
        <item m="1" x="763"/>
        <item m="1" x="764"/>
        <item m="1" x="765"/>
        <item m="1" x="766"/>
        <item m="1" x="728"/>
        <item m="1" x="733"/>
        <item m="1" x="750"/>
        <item m="1" x="682"/>
        <item m="1" x="683"/>
        <item m="1" x="684"/>
        <item m="1" x="685"/>
        <item m="1" x="686"/>
        <item m="1" x="687"/>
        <item m="1" x="688"/>
        <item m="1" x="690"/>
        <item m="1" x="692"/>
        <item m="1" x="693"/>
        <item m="1" x="694"/>
        <item m="1" x="695"/>
        <item m="1" x="696"/>
        <item m="1" x="697"/>
        <item m="1" x="698"/>
        <item m="1" x="699"/>
        <item m="1" x="700"/>
        <item m="1" x="701"/>
        <item m="1" x="702"/>
        <item m="1" x="703"/>
        <item m="1" x="704"/>
        <item m="1" x="705"/>
        <item m="1" x="707"/>
        <item m="1" x="711"/>
        <item m="1" x="429"/>
        <item m="1" x="708"/>
        <item m="1" x="710"/>
        <item m="1" x="712"/>
        <item m="1" x="713"/>
        <item m="1" x="714"/>
        <item m="1" x="716"/>
        <item m="1" x="715"/>
        <item m="1" x="717"/>
        <item m="1" x="303"/>
        <item m="1" x="541"/>
        <item m="1" x="719"/>
        <item m="1" x="580"/>
        <item m="1" x="709"/>
        <item m="1" x="720"/>
        <item m="1" x="721"/>
        <item m="1" x="723"/>
        <item m="1" x="724"/>
        <item m="1" x="725"/>
        <item m="1" x="639"/>
        <item m="1" x="640"/>
        <item m="1" x="641"/>
        <item m="1" x="642"/>
        <item m="1" x="643"/>
        <item m="1" x="645"/>
        <item m="1" x="646"/>
        <item m="1" x="647"/>
        <item m="1" x="648"/>
        <item m="1" x="649"/>
        <item m="1" x="650"/>
        <item m="1" x="651"/>
        <item m="1" x="652"/>
        <item m="1" x="653"/>
        <item m="1" x="654"/>
        <item m="1" x="655"/>
        <item m="1" x="656"/>
        <item m="1" x="657"/>
        <item m="1" x="658"/>
        <item m="1" x="659"/>
        <item m="1" x="141"/>
        <item m="1" x="660"/>
        <item m="1" x="661"/>
        <item m="1" x="662"/>
        <item m="1" x="663"/>
        <item m="1" x="618"/>
        <item m="1" x="588"/>
        <item m="1" x="664"/>
        <item m="1" x="665"/>
        <item m="1" x="666"/>
        <item m="1" x="667"/>
        <item m="1" x="668"/>
        <item m="1" x="669"/>
        <item m="1" x="670"/>
        <item m="1" x="671"/>
        <item m="1" x="672"/>
        <item m="1" x="673"/>
        <item m="1" x="674"/>
        <item m="1" x="675"/>
        <item m="1" x="632"/>
        <item m="1" x="676"/>
        <item m="1" x="677"/>
        <item m="1" x="678"/>
        <item m="1" x="680"/>
        <item m="1" x="681"/>
        <item m="1" x="596"/>
        <item m="1" x="597"/>
        <item m="1" x="598"/>
        <item m="1" x="599"/>
        <item m="1" x="600"/>
        <item m="1" x="601"/>
        <item m="1" x="602"/>
        <item m="1" x="603"/>
        <item m="1" x="604"/>
        <item m="1" x="605"/>
        <item m="1" x="562"/>
        <item m="1" x="503"/>
        <item m="1" x="606"/>
        <item m="1" x="608"/>
        <item m="1" x="609"/>
        <item m="1" x="611"/>
        <item m="1" x="570"/>
        <item m="1" x="612"/>
        <item m="1" x="613"/>
        <item m="1" x="614"/>
        <item m="1" x="616"/>
        <item m="1" x="617"/>
        <item m="1" x="619"/>
        <item m="1" x="621"/>
        <item m="1" x="622"/>
        <item m="1" x="623"/>
        <item m="1" x="624"/>
        <item m="1" x="625"/>
        <item m="1" x="626"/>
        <item m="1" x="627"/>
        <item m="1" x="628"/>
        <item m="1" x="629"/>
        <item m="1" x="633"/>
        <item m="1" x="634"/>
        <item m="1" x="636"/>
        <item m="1" x="637"/>
        <item m="1" x="638"/>
        <item m="1" x="554"/>
        <item m="1" x="555"/>
        <item m="1" x="557"/>
        <item m="1" x="558"/>
        <item m="1" x="559"/>
        <item m="1" x="560"/>
        <item m="1" x="561"/>
        <item m="1" x="564"/>
        <item m="1" x="565"/>
        <item m="1" x="566"/>
        <item m="1" x="567"/>
        <item m="1" x="568"/>
        <item m="1" x="569"/>
        <item m="1" x="571"/>
        <item m="1" x="572"/>
        <item m="1" x="573"/>
        <item m="1" x="574"/>
        <item m="1" x="575"/>
        <item m="1" x="576"/>
        <item m="1" x="577"/>
        <item m="1" x="579"/>
        <item m="1" x="416"/>
        <item m="1" x="581"/>
        <item m="1" x="582"/>
        <item m="1" x="583"/>
        <item m="1" x="584"/>
        <item m="1" x="585"/>
        <item m="1" x="586"/>
        <item m="1" x="587"/>
        <item m="1" x="589"/>
        <item m="1" x="590"/>
        <item m="1" x="497"/>
        <item m="1" x="592"/>
        <item m="1" x="593"/>
        <item m="1" x="594"/>
        <item m="1" x="290"/>
        <item m="1" x="509"/>
        <item m="1" x="510"/>
        <item m="1" x="511"/>
        <item m="1" x="551"/>
        <item m="1" x="552"/>
        <item m="1" x="512"/>
        <item m="1" x="553"/>
        <item m="1" x="50"/>
        <item m="1" x="514"/>
        <item m="1" x="242"/>
        <item m="1" x="515"/>
        <item m="1" x="153"/>
        <item m="1" x="516"/>
        <item m="1" x="517"/>
        <item m="1" x="518"/>
        <item m="1" x="519"/>
        <item m="1" x="520"/>
        <item m="1" x="521"/>
        <item m="1" x="522"/>
        <item m="1" x="523"/>
        <item m="1" x="524"/>
        <item m="1" x="525"/>
        <item m="1" x="526"/>
        <item m="1" x="527"/>
        <item m="1" x="529"/>
        <item m="1" x="530"/>
        <item m="1" x="534"/>
        <item m="1" x="535"/>
        <item m="1" x="423"/>
        <item m="1" x="536"/>
        <item m="1" x="537"/>
        <item m="1" x="538"/>
        <item m="1" x="539"/>
        <item m="1" x="540"/>
        <item m="1" x="542"/>
        <item m="1" x="543"/>
        <item m="1" x="544"/>
        <item m="1" x="545"/>
        <item m="1" x="546"/>
        <item m="1" x="548"/>
        <item m="1" x="550"/>
        <item m="1" x="533"/>
        <item m="1" x="531"/>
        <item m="1" x="532"/>
        <item m="1" x="467"/>
        <item m="1" x="468"/>
        <item m="1" x="469"/>
        <item m="1" x="470"/>
        <item m="1" x="471"/>
        <item m="1" x="472"/>
        <item m="1" x="127"/>
        <item m="1" x="474"/>
        <item m="1" x="475"/>
        <item m="1" x="476"/>
        <item m="1" x="477"/>
        <item m="1" x="478"/>
        <item m="1" x="298"/>
        <item m="1" x="479"/>
        <item m="1" x="480"/>
        <item m="1" x="481"/>
        <item m="1" x="482"/>
        <item m="1" x="483"/>
        <item m="1" x="484"/>
        <item m="1" x="485"/>
        <item m="1" x="486"/>
        <item m="1" x="487"/>
        <item m="1" x="488"/>
        <item m="1" x="489"/>
        <item m="1" x="179"/>
        <item m="1" x="490"/>
        <item m="1" x="491"/>
        <item m="1" x="492"/>
        <item m="1" x="493"/>
        <item m="1" x="495"/>
        <item m="1" x="496"/>
        <item m="1" x="498"/>
        <item m="1" x="499"/>
        <item m="1" x="460"/>
        <item m="1" x="500"/>
        <item m="1" x="501"/>
        <item m="1" x="502"/>
        <item m="1" x="504"/>
        <item m="1" x="505"/>
        <item m="1" x="507"/>
        <item m="1" x="508"/>
        <item m="1" x="427"/>
        <item m="1" x="428"/>
        <item m="1" x="430"/>
        <item m="1" x="431"/>
        <item m="1" x="432"/>
        <item m="1" x="433"/>
        <item m="1" x="434"/>
        <item m="1" x="435"/>
        <item m="1" x="436"/>
        <item m="1" x="342"/>
        <item m="1" x="437"/>
        <item m="1" x="426"/>
        <item m="1" x="438"/>
        <item m="1" x="439"/>
        <item m="1" x="440"/>
        <item m="1" x="441"/>
        <item m="1" x="442"/>
        <item m="1" x="443"/>
        <item m="1" x="444"/>
        <item m="1" x="445"/>
        <item m="1" x="446"/>
        <item m="1" x="447"/>
        <item m="1" x="448"/>
        <item m="1" x="449"/>
        <item m="1" x="450"/>
        <item m="1" x="402"/>
        <item m="1" x="451"/>
        <item m="1" x="452"/>
        <item m="1" x="453"/>
        <item m="1" x="454"/>
        <item m="1" x="455"/>
        <item m="1" x="456"/>
        <item m="1" x="457"/>
        <item m="1" x="458"/>
        <item m="1" x="459"/>
        <item m="1" x="462"/>
        <item m="1" x="463"/>
        <item m="1" x="464"/>
        <item m="1" x="328"/>
        <item m="1" x="465"/>
        <item m="1" x="466"/>
        <item m="1" x="384"/>
        <item m="1" x="385"/>
        <item m="1" x="386"/>
        <item m="1" x="387"/>
        <item m="1" x="425"/>
        <item m="1" x="389"/>
        <item m="1" x="390"/>
        <item m="1" x="391"/>
        <item m="1" x="392"/>
        <item m="1" x="393"/>
        <item m="1" x="359"/>
        <item m="1" x="394"/>
        <item m="1" x="395"/>
        <item m="1" x="396"/>
        <item m="1" x="358"/>
        <item m="1" x="397"/>
        <item m="1" x="398"/>
        <item m="1" x="399"/>
        <item m="1" x="400"/>
        <item m="1" x="401"/>
        <item m="1" x="403"/>
        <item m="1" x="404"/>
        <item m="1" x="406"/>
        <item m="1" x="407"/>
        <item m="1" x="409"/>
        <item m="1" x="410"/>
        <item m="1" x="411"/>
        <item m="1" x="356"/>
        <item m="1" x="412"/>
        <item m="1" x="413"/>
        <item m="1" x="414"/>
        <item m="1" x="357"/>
        <item m="1" x="417"/>
        <item m="1" x="418"/>
        <item m="1" x="419"/>
        <item m="1" x="420"/>
        <item m="1" x="421"/>
        <item m="1" x="182"/>
        <item m="1" x="422"/>
        <item m="1" x="424"/>
        <item m="1" x="388"/>
        <item m="1" x="408"/>
        <item m="1" x="343"/>
        <item m="1" x="344"/>
        <item m="1" x="122"/>
        <item m="1" x="345"/>
        <item m="1" x="346"/>
        <item m="1" x="347"/>
        <item m="1" x="348"/>
        <item m="1" x="349"/>
        <item m="1" x="350"/>
        <item m="1" x="306"/>
        <item m="1" x="351"/>
        <item m="1" x="354"/>
        <item m="1" x="279"/>
        <item m="1" x="361"/>
        <item m="1" x="362"/>
        <item m="1" x="363"/>
        <item m="1" x="364"/>
        <item m="1" x="365"/>
        <item m="1" x="366"/>
        <item m="1" x="367"/>
        <item m="1" x="368"/>
        <item m="1" x="149"/>
        <item m="1" x="369"/>
        <item m="1" x="238"/>
        <item m="1" x="370"/>
        <item m="1" x="314"/>
        <item m="1" x="371"/>
        <item m="1" x="373"/>
        <item m="1" x="374"/>
        <item m="1" x="375"/>
        <item m="1" x="376"/>
        <item m="1" x="377"/>
        <item m="1" x="378"/>
        <item m="1" x="379"/>
        <item m="1" x="380"/>
        <item m="1" x="381"/>
        <item m="1" x="382"/>
        <item m="1" x="383"/>
        <item m="1" x="300"/>
        <item m="1" x="301"/>
        <item m="1" x="302"/>
        <item x="39"/>
        <item m="1" x="305"/>
        <item m="1" x="307"/>
        <item m="1" x="308"/>
        <item m="1" x="309"/>
        <item m="1" x="310"/>
        <item m="1" x="311"/>
        <item m="1" x="315"/>
        <item m="1" x="316"/>
        <item m="1" x="280"/>
        <item m="1" x="317"/>
        <item m="1" x="318"/>
        <item m="1" x="319"/>
        <item m="1" x="53"/>
        <item m="1" x="253"/>
        <item m="1" x="320"/>
        <item m="1" x="321"/>
        <item m="1" x="244"/>
        <item m="1" x="322"/>
        <item m="1" x="323"/>
        <item m="1" x="324"/>
        <item m="1" x="325"/>
        <item m="1" x="326"/>
        <item m="1" x="327"/>
        <item m="1" x="329"/>
        <item m="1" x="330"/>
        <item m="1" x="331"/>
        <item m="1" x="332"/>
        <item m="1" x="333"/>
        <item m="1" x="334"/>
        <item m="1" x="335"/>
        <item m="1" x="336"/>
        <item m="1" x="337"/>
        <item m="1" x="338"/>
        <item m="1" x="339"/>
        <item m="1" x="340"/>
        <item m="1" x="341"/>
        <item m="1" x="257"/>
        <item m="1" x="171"/>
        <item m="1" x="258"/>
        <item m="1" x="259"/>
        <item m="1" x="260"/>
        <item m="1" x="261"/>
        <item m="1" x="262"/>
        <item m="1" x="263"/>
        <item m="1" x="264"/>
        <item m="1" x="265"/>
        <item m="1" x="224"/>
        <item m="1" x="266"/>
        <item m="1" x="267"/>
        <item m="1" x="268"/>
        <item m="1" x="269"/>
        <item m="1" x="270"/>
        <item m="1" x="271"/>
        <item m="1" x="272"/>
        <item m="1" x="70"/>
        <item m="1" x="273"/>
        <item m="1" x="274"/>
        <item m="1" x="275"/>
        <item m="1" x="276"/>
        <item m="1" x="277"/>
        <item m="1" x="278"/>
        <item m="1" x="281"/>
        <item x="8"/>
        <item m="1" x="282"/>
        <item m="1" x="283"/>
        <item m="1" x="284"/>
        <item m="1" x="286"/>
        <item m="1" x="287"/>
        <item m="1" x="288"/>
        <item m="1" x="289"/>
        <item m="1" x="291"/>
        <item m="1" x="292"/>
        <item m="1" x="293"/>
        <item m="1" x="294"/>
        <item m="1" x="295"/>
        <item m="1" x="296"/>
        <item m="1" x="297"/>
        <item m="1" x="299"/>
        <item m="1" x="213"/>
        <item m="1" x="214"/>
        <item m="1" x="215"/>
        <item m="1" x="216"/>
        <item m="1" x="217"/>
        <item m="1" x="218"/>
        <item m="1" x="219"/>
        <item m="1" x="220"/>
        <item m="1" x="221"/>
        <item m="1" x="222"/>
        <item m="1" x="223"/>
        <item m="1" x="225"/>
        <item m="1" x="226"/>
        <item m="1" x="227"/>
        <item m="1" x="158"/>
        <item m="1" x="228"/>
        <item m="1" x="229"/>
        <item m="1" x="230"/>
        <item m="1" x="188"/>
        <item m="1" x="231"/>
        <item m="1" x="232"/>
        <item m="1" x="233"/>
        <item m="1" x="234"/>
        <item m="1" x="235"/>
        <item m="1" x="236"/>
        <item m="1" x="237"/>
        <item m="1" x="239"/>
        <item m="1" x="240"/>
        <item m="1" x="241"/>
        <item m="1" x="243"/>
        <item m="1" x="245"/>
        <item m="1" x="246"/>
        <item m="1" x="247"/>
        <item m="1" x="248"/>
        <item m="1" x="249"/>
        <item m="1" x="250"/>
        <item m="1" x="251"/>
        <item m="1" x="252"/>
        <item m="1" x="256"/>
        <item m="1" x="254"/>
        <item m="1" x="255"/>
        <item x="44"/>
        <item m="1" x="170"/>
        <item m="1" x="172"/>
        <item m="1" x="173"/>
        <item m="1" x="174"/>
        <item m="1" x="175"/>
        <item m="1" x="176"/>
        <item m="1" x="177"/>
        <item m="1" x="178"/>
        <item m="1" x="139"/>
        <item m="1" x="181"/>
        <item m="1" x="183"/>
        <item m="1" x="184"/>
        <item m="1" x="185"/>
        <item m="1" x="186"/>
        <item m="1" x="187"/>
        <item m="1" x="190"/>
        <item m="1" x="191"/>
        <item m="1" x="193"/>
        <item m="1" x="194"/>
        <item m="1" x="195"/>
        <item m="1" x="196"/>
        <item m="1" x="197"/>
        <item m="1" x="198"/>
        <item m="1" x="199"/>
        <item m="1" x="200"/>
        <item m="1" x="201"/>
        <item m="1" x="202"/>
        <item m="1" x="161"/>
        <item m="1" x="203"/>
        <item m="1" x="204"/>
        <item m="1" x="205"/>
        <item m="1" x="206"/>
        <item m="1" x="207"/>
        <item m="1" x="208"/>
        <item m="1" x="209"/>
        <item m="1" x="211"/>
        <item m="1" x="212"/>
        <item m="1" x="131"/>
        <item m="1" x="133"/>
        <item m="1" x="97"/>
        <item m="1" x="134"/>
        <item m="1" x="135"/>
        <item m="1" x="136"/>
        <item m="1" x="137"/>
        <item m="1" x="138"/>
        <item m="1" x="102"/>
        <item m="1" x="140"/>
        <item m="1" x="142"/>
        <item m="1" x="143"/>
        <item m="1" x="107"/>
        <item m="1" x="144"/>
        <item m="1" x="145"/>
        <item m="1" x="146"/>
        <item m="1" x="147"/>
        <item m="1" x="148"/>
        <item m="1" x="150"/>
        <item m="1" x="151"/>
        <item m="1" x="152"/>
        <item m="1" x="154"/>
        <item m="1" x="155"/>
        <item m="1" x="156"/>
        <item m="1" x="159"/>
        <item m="1" x="120"/>
        <item m="1" x="160"/>
        <item m="1" x="162"/>
        <item m="1" x="163"/>
        <item m="1" x="164"/>
        <item m="1" x="125"/>
        <item m="1" x="165"/>
        <item m="1" x="166"/>
        <item m="1" x="128"/>
        <item m="1" x="167"/>
        <item m="1" x="168"/>
        <item m="1" x="169"/>
        <item m="1" x="94"/>
        <item m="1" x="95"/>
        <item m="1" x="96"/>
        <item m="1" x="98"/>
        <item m="1" x="99"/>
        <item m="1" x="100"/>
        <item m="1" x="101"/>
        <item m="1" x="88"/>
        <item m="1" x="103"/>
        <item m="1" x="104"/>
        <item m="1" x="89"/>
        <item m="1" x="105"/>
        <item m="1" x="106"/>
        <item m="1" x="108"/>
        <item m="1" x="110"/>
        <item m="1" x="90"/>
        <item m="1" x="111"/>
        <item m="1" x="112"/>
        <item m="1" x="113"/>
        <item m="1" x="114"/>
        <item m="1" x="91"/>
        <item m="1" x="115"/>
        <item m="1" x="116"/>
        <item m="1" x="117"/>
        <item m="1" x="118"/>
        <item m="1" x="119"/>
        <item m="1" x="92"/>
        <item m="1" x="123"/>
        <item m="1" x="124"/>
        <item m="1" x="126"/>
        <item m="1" x="93"/>
        <item m="1" x="129"/>
        <item m="1" x="130"/>
        <item m="1" x="46"/>
        <item m="1" x="47"/>
        <item m="1" x="48"/>
        <item m="1" x="49"/>
        <item m="1" x="51"/>
        <item m="1" x="52"/>
        <item m="1" x="54"/>
        <item m="1" x="55"/>
        <item m="1" x="56"/>
        <item m="1" x="57"/>
        <item m="1" x="58"/>
        <item m="1" x="59"/>
        <item m="1" x="61"/>
        <item m="1" x="63"/>
        <item m="1" x="64"/>
        <item m="1" x="65"/>
        <item x="9"/>
        <item m="1" x="66"/>
        <item m="1" x="68"/>
        <item m="1" x="69"/>
        <item m="1" x="71"/>
        <item m="1" x="73"/>
        <item m="1" x="75"/>
        <item m="1" x="76"/>
        <item m="1" x="77"/>
        <item m="1" x="78"/>
        <item m="1" x="79"/>
        <item m="1" x="80"/>
        <item m="1" x="81"/>
        <item m="1" x="82"/>
        <item m="1" x="84"/>
        <item m="1" x="85"/>
        <item m="1" x="86"/>
        <item x="10"/>
        <item m="1" x="62"/>
        <item m="1" x="67"/>
        <item m="1" x="74"/>
        <item m="1" x="83"/>
        <item x="1"/>
        <item x="3"/>
        <item x="4"/>
        <item x="6"/>
        <item x="7"/>
        <item x="11"/>
        <item x="12"/>
        <item x="13"/>
        <item x="14"/>
        <item x="15"/>
        <item x="16"/>
        <item x="17"/>
        <item x="18"/>
        <item x="19"/>
        <item x="20"/>
        <item x="21"/>
        <item x="22"/>
        <item x="23"/>
        <item x="24"/>
        <item x="25"/>
        <item x="26"/>
        <item x="27"/>
        <item x="28"/>
        <item x="29"/>
        <item x="30"/>
        <item x="31"/>
        <item x="32"/>
        <item x="34"/>
        <item x="35"/>
        <item x="36"/>
        <item x="37"/>
        <item x="38"/>
        <item x="40"/>
        <item x="41"/>
        <item x="42"/>
        <item x="43"/>
        <item x="45"/>
        <item t="default"/>
      </items>
    </pivotField>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pageFields count="1">
    <pageField fld="3" hier="-1"/>
  </pageFields>
  <formats count="6">
    <format dxfId="637">
      <pivotArea type="all" dataOnly="0" outline="0" fieldPosition="0"/>
    </format>
    <format dxfId="636">
      <pivotArea field="37" type="button" dataOnly="0" labelOnly="1" outline="0"/>
    </format>
    <format dxfId="635">
      <pivotArea dataOnly="0" labelOnly="1" grandRow="1" outline="0" fieldPosition="0"/>
    </format>
    <format dxfId="634">
      <pivotArea type="all" dataOnly="0" outline="0" fieldPosition="0"/>
    </format>
    <format dxfId="633">
      <pivotArea field="37" type="button" dataOnly="0" labelOnly="1" outline="0"/>
    </format>
    <format dxfId="6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CF878-ACE3-4C43-8B69-CC0A229364B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15"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dataField="1" numFmtId="171" showAll="0"/>
    <pivotField numFmtId="2" showAll="0"/>
    <pivotField numFmtId="2" showAll="0"/>
    <pivotField dataField="1"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2">
    <i>
      <x/>
    </i>
    <i i="1">
      <x v="1"/>
    </i>
  </colItems>
  <pageFields count="1">
    <pageField fld="3" hier="-1"/>
  </pageFields>
  <dataFields count="2">
    <dataField name="Sum of مدة المشروع المنقضية بالشهور" fld="61" baseField="0" baseItem="0" numFmtId="171"/>
    <dataField name="Sum of مدة المشروع الكلية بالشهور" fld="64" baseField="0" baseItem="0" numFmtId="2"/>
  </dataFields>
  <formats count="6">
    <format dxfId="643">
      <pivotArea type="all" dataOnly="0" outline="0" fieldPosition="0"/>
    </format>
    <format dxfId="642">
      <pivotArea outline="0" collapsedLevelsAreSubtotals="1" fieldPosition="0"/>
    </format>
    <format dxfId="641">
      <pivotArea dataOnly="0" labelOnly="1" outline="0" fieldPosition="0">
        <references count="1">
          <reference field="4294967294" count="2">
            <x v="0"/>
            <x v="1"/>
          </reference>
        </references>
      </pivotArea>
    </format>
    <format dxfId="640">
      <pivotArea type="all" dataOnly="0" outline="0" fieldPosition="0"/>
    </format>
    <format dxfId="639">
      <pivotArea outline="0" collapsedLevelsAreSubtotals="1" fieldPosition="0"/>
    </format>
    <format dxfId="638">
      <pivotArea dataOnly="0" labelOnly="1" outline="0" fieldPosition="0">
        <references count="1">
          <reference field="4294967294" count="2">
            <x v="0"/>
            <x v="1"/>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75915-7FB3-40B5-99CC-951202E31A3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9"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dataField="1" numFmtId="4" showAll="0"/>
    <pivotField dataField="1"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2">
    <i>
      <x/>
    </i>
    <i i="1">
      <x v="1"/>
    </i>
  </colItems>
  <pageFields count="1">
    <pageField fld="3" hier="-1"/>
  </pageFields>
  <dataFields count="2">
    <dataField name="Sum of PV" fld="67" baseField="0" baseItem="0" numFmtId="4"/>
    <dataField name="Sum of EV" fld="68" baseField="0" baseItem="0" numFmtId="4"/>
  </dataFields>
  <formats count="6">
    <format dxfId="649">
      <pivotArea type="all" dataOnly="0" outline="0" fieldPosition="0"/>
    </format>
    <format dxfId="648">
      <pivotArea outline="0" collapsedLevelsAreSubtotals="1" fieldPosition="0"/>
    </format>
    <format dxfId="647">
      <pivotArea dataOnly="0" labelOnly="1" outline="0" fieldPosition="0">
        <references count="1">
          <reference field="4294967294" count="2">
            <x v="0"/>
            <x v="1"/>
          </reference>
        </references>
      </pivotArea>
    </format>
    <format dxfId="646">
      <pivotArea type="all" dataOnly="0" outline="0" fieldPosition="0"/>
    </format>
    <format dxfId="645">
      <pivotArea outline="0" collapsedLevelsAreSubtotals="1" fieldPosition="0"/>
    </format>
    <format dxfId="644">
      <pivotArea dataOnly="0" labelOnly="1" outline="0" fieldPosition="0">
        <references count="1">
          <reference field="4294967294" count="2">
            <x v="0"/>
            <x v="1"/>
          </reference>
        </references>
      </pivotArea>
    </format>
  </formats>
  <chartFormats count="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1745E-B1A4-495B-8517-61D32214B5E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rowPageCount="1" colPageCount="1"/>
  <pivotFields count="78">
    <pivotField showAll="0"/>
    <pivotField showAll="0"/>
    <pivotField showAll="0"/>
    <pivotField axis="axisPage" multipleItemSelectionAllowed="1"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49"/>
        <item x="39"/>
        <item m="1" x="51"/>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numFmtId="165" showAll="0"/>
    <pivotField numFmtId="165"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dataField="1" numFmtId="10" showAll="0"/>
    <pivotField dataField="1" numFmtId="10" showAll="0"/>
    <pivotField dataField="1" numFmtId="10" showAll="0"/>
    <pivotField dataField="1"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0"/>
        <item x="4"/>
        <item x="5"/>
      </items>
    </pivotField>
  </pivotFields>
  <rowItems count="1">
    <i/>
  </rowItems>
  <colFields count="1">
    <field x="-2"/>
  </colFields>
  <colItems count="4">
    <i>
      <x/>
    </i>
    <i i="1">
      <x v="1"/>
    </i>
    <i i="2">
      <x v="2"/>
    </i>
    <i i="3">
      <x v="3"/>
    </i>
  </colItems>
  <pageFields count="1">
    <pageField fld="3" hier="-1"/>
  </pageFields>
  <dataFields count="4">
    <dataField name="Sum of المخطط % - الإسبوع السابق " fld="35" baseField="0" baseItem="0" numFmtId="10"/>
    <dataField name="Sum of المنفذ % - الإسبوع السابق" fld="36" baseField="0" baseItem="0" numFmtId="10"/>
    <dataField name="Sum of المخطط % التراكمي" fld="37" baseField="0" baseItem="0" numFmtId="10"/>
    <dataField name="Sum of المنفذ % التراكمي" fld="38" baseField="0" baseItem="0" numFmtId="10"/>
  </dataFields>
  <formats count="6">
    <format dxfId="655">
      <pivotArea type="all" dataOnly="0" outline="0" fieldPosition="0"/>
    </format>
    <format dxfId="654">
      <pivotArea outline="0" collapsedLevelsAreSubtotals="1" fieldPosition="0"/>
    </format>
    <format dxfId="653">
      <pivotArea dataOnly="0" labelOnly="1" outline="0" fieldPosition="0">
        <references count="1">
          <reference field="4294967294" count="2">
            <x v="2"/>
            <x v="3"/>
          </reference>
        </references>
      </pivotArea>
    </format>
    <format dxfId="652">
      <pivotArea type="all" dataOnly="0" outline="0" fieldPosition="0"/>
    </format>
    <format dxfId="651">
      <pivotArea outline="0" collapsedLevelsAreSubtotals="1" fieldPosition="0"/>
    </format>
    <format dxfId="650">
      <pivotArea dataOnly="0" labelOnly="1" outline="0" fieldPosition="0">
        <references count="1">
          <reference field="4294967294" count="2">
            <x v="2"/>
            <x v="3"/>
          </reference>
        </references>
      </pivotArea>
    </format>
  </formats>
  <chartFormats count="8">
    <chartFormat chart="0" format="95" series="1">
      <pivotArea type="data" outline="0" fieldPosition="0">
        <references count="1">
          <reference field="4294967294" count="1" selected="0">
            <x v="3"/>
          </reference>
        </references>
      </pivotArea>
    </chartFormat>
    <chartFormat chart="0" format="96" series="1">
      <pivotArea type="data" outline="0" fieldPosition="0">
        <references count="1">
          <reference field="4294967294" count="1" selected="0">
            <x v="2"/>
          </reference>
        </references>
      </pivotArea>
    </chartFormat>
    <chartFormat chart="0" format="97" series="1">
      <pivotArea type="data" outline="0" fieldPosition="0">
        <references count="1">
          <reference field="4294967294" count="1" selected="0">
            <x v="1"/>
          </reference>
        </references>
      </pivotArea>
    </chartFormat>
    <chartFormat chart="0" format="98" series="1">
      <pivotArea type="data" outline="0" fieldPosition="0">
        <references count="1">
          <reference field="4294967294" count="1" selected="0">
            <x v="0"/>
          </reference>
        </references>
      </pivotArea>
    </chartFormat>
    <chartFormat chart="4" format="103" series="1">
      <pivotArea type="data" outline="0" fieldPosition="0">
        <references count="1">
          <reference field="4294967294" count="1" selected="0">
            <x v="0"/>
          </reference>
        </references>
      </pivotArea>
    </chartFormat>
    <chartFormat chart="4" format="104" series="1">
      <pivotArea type="data" outline="0" fieldPosition="0">
        <references count="1">
          <reference field="4294967294" count="1" selected="0">
            <x v="1"/>
          </reference>
        </references>
      </pivotArea>
    </chartFormat>
    <chartFormat chart="4" format="105" series="1">
      <pivotArea type="data" outline="0" fieldPosition="0">
        <references count="1">
          <reference field="4294967294" count="1" selected="0">
            <x v="2"/>
          </reference>
        </references>
      </pivotArea>
    </chartFormat>
    <chartFormat chart="4" format="10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65D877-2528-44A4-8511-EEEB204BDFDD}"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roject Status">
  <location ref="B13:C17"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8">
        <item x="1"/>
        <item x="2"/>
        <item x="4"/>
        <item x="0"/>
        <item m="1" x="6"/>
        <item m="1" x="5"/>
        <item x="3"/>
        <item t="default"/>
      </items>
      <autoSortScope>
        <pivotArea dataOnly="0" outline="0" fieldPosition="0">
          <references count="1">
            <reference field="4294967294" count="1" selected="0">
              <x v="0"/>
            </reference>
          </references>
        </pivotArea>
      </autoSortScope>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0"/>
        <item x="1"/>
        <item x="2"/>
        <item t="default"/>
      </items>
    </pivotField>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59"/>
  </rowFields>
  <rowItems count="4">
    <i>
      <x/>
    </i>
    <i>
      <x v="1"/>
    </i>
    <i>
      <x v="2"/>
    </i>
    <i t="grand">
      <x/>
    </i>
  </rowItems>
  <colItems count="1">
    <i/>
  </colItems>
  <dataFields count="1">
    <dataField name="Projects No." fld="4" subtotal="count" baseField="0" baseItem="0"/>
  </dataFields>
  <formats count="19">
    <format dxfId="399">
      <pivotArea type="all" dataOnly="0" outline="0" fieldPosition="0"/>
    </format>
    <format dxfId="398">
      <pivotArea outline="0" collapsedLevelsAreSubtotals="1" fieldPosition="0"/>
    </format>
    <format dxfId="397">
      <pivotArea field="16" type="button" dataOnly="0" labelOnly="1" outline="0"/>
    </format>
    <format dxfId="396">
      <pivotArea dataOnly="0" labelOnly="1" grandRow="1" outline="0" fieldPosition="0"/>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field="16" type="button" dataOnly="0" labelOnly="1" outline="0"/>
    </format>
    <format dxfId="391">
      <pivotArea dataOnly="0" labelOnly="1" grandRow="1" outline="0"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field="16" type="button" dataOnly="0" labelOnly="1" outline="0"/>
    </format>
    <format dxfId="386">
      <pivotArea dataOnly="0" labelOnly="1" grandRow="1" outline="0"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dataOnly="0" labelOnly="1" grandRow="1" outline="0" fieldPosition="0"/>
    </format>
    <format dxfId="38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0"/>
          </reference>
        </references>
      </pivotArea>
    </chartFormat>
    <chartFormat chart="3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398689-B162-49CA-BCB2-7E1EF7013F9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ject Status">
  <location ref="B44:C48" firstHeaderRow="1" firstDataRow="1" firstDataCol="1" rowPageCount="1" colPageCount="1"/>
  <pivotFields count="60">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s>
  <rowFields count="1">
    <field x="16"/>
  </rowFields>
  <rowItems count="4">
    <i>
      <x v="1"/>
    </i>
    <i>
      <x v="2"/>
    </i>
    <i>
      <x v="3"/>
    </i>
    <i t="grand">
      <x/>
    </i>
  </rowItems>
  <colItems count="1">
    <i/>
  </colItems>
  <pageFields count="1">
    <pageField fld="10" item="0" hier="-1"/>
  </pageFields>
  <dataFields count="1">
    <dataField name="Projects No." fld="4" subtotal="count" baseField="0" baseItem="0"/>
  </dataFields>
  <formats count="19">
    <format dxfId="418">
      <pivotArea type="all" dataOnly="0" outline="0" fieldPosition="0"/>
    </format>
    <format dxfId="417">
      <pivotArea outline="0" collapsedLevelsAreSubtotals="1" fieldPosition="0"/>
    </format>
    <format dxfId="416">
      <pivotArea field="16" type="button" dataOnly="0" labelOnly="1" outline="0" axis="axisRow" fieldPosition="0"/>
    </format>
    <format dxfId="415">
      <pivotArea dataOnly="0" labelOnly="1" grandRow="1" outline="0" fieldPosition="0"/>
    </format>
    <format dxfId="414">
      <pivotArea dataOnly="0" labelOnly="1" outline="0" axis="axisValues" fieldPosition="0"/>
    </format>
    <format dxfId="413">
      <pivotArea type="all" dataOnly="0" outline="0" fieldPosition="0"/>
    </format>
    <format dxfId="412">
      <pivotArea outline="0" collapsedLevelsAreSubtotals="1" fieldPosition="0"/>
    </format>
    <format dxfId="411">
      <pivotArea field="16" type="button" dataOnly="0" labelOnly="1" outline="0" axis="axisRow" fieldPosition="0"/>
    </format>
    <format dxfId="410">
      <pivotArea dataOnly="0" labelOnly="1" grandRow="1" outline="0"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field="16" type="button" dataOnly="0" labelOnly="1" outline="0" axis="axisRow" fieldPosition="0"/>
    </format>
    <format dxfId="405">
      <pivotArea dataOnly="0" labelOnly="1" grandRow="1" outline="0" fieldPosition="0"/>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dataOnly="0" labelOnly="1" grandRow="1" outline="0" fieldPosition="0"/>
    </format>
    <format dxfId="40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E9AC09-A48E-4E1F-9AB8-3E79CDFCEE5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ject Status">
  <location ref="B64:C69" firstHeaderRow="1" firstDataRow="1" firstDataCol="1" rowPageCount="1" colPageCount="1"/>
  <pivotFields count="57">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h="1" x="0"/>
        <item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6"/>
  </rowFields>
  <rowItems count="5">
    <i>
      <x/>
    </i>
    <i>
      <x v="1"/>
    </i>
    <i>
      <x v="2"/>
    </i>
    <i>
      <x v="6"/>
    </i>
    <i t="grand">
      <x/>
    </i>
  </rowItems>
  <colItems count="1">
    <i/>
  </colItems>
  <pageFields count="1">
    <pageField fld="10" hier="-1"/>
  </pageFields>
  <dataFields count="1">
    <dataField name="Projects No." fld="4" subtotal="count" baseField="0" baseItem="0"/>
  </dataFields>
  <formats count="19">
    <format dxfId="437">
      <pivotArea type="all" dataOnly="0" outline="0" fieldPosition="0"/>
    </format>
    <format dxfId="436">
      <pivotArea outline="0" collapsedLevelsAreSubtotals="1" fieldPosition="0"/>
    </format>
    <format dxfId="435">
      <pivotArea field="16" type="button" dataOnly="0" labelOnly="1" outline="0" axis="axisRow" fieldPosition="0"/>
    </format>
    <format dxfId="434">
      <pivotArea dataOnly="0" labelOnly="1" grandRow="1" outline="0" fieldPosition="0"/>
    </format>
    <format dxfId="433">
      <pivotArea dataOnly="0" labelOnly="1" outline="0" axis="axisValues" fieldPosition="0"/>
    </format>
    <format dxfId="432">
      <pivotArea type="all" dataOnly="0" outline="0" fieldPosition="0"/>
    </format>
    <format dxfId="431">
      <pivotArea outline="0" collapsedLevelsAreSubtotals="1" fieldPosition="0"/>
    </format>
    <format dxfId="430">
      <pivotArea field="16" type="button" dataOnly="0" labelOnly="1" outline="0" axis="axisRow" fieldPosition="0"/>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field="16" type="button" dataOnly="0" labelOnly="1" outline="0" axis="axisRow" fieldPosition="0"/>
    </format>
    <format dxfId="424">
      <pivotArea dataOnly="0" labelOnly="1" grandRow="1" outline="0" fieldPosition="0"/>
    </format>
    <format dxfId="423">
      <pivotArea dataOnly="0" labelOnly="1" outline="0" axis="axisValues" fieldPosition="0"/>
    </format>
    <format dxfId="422">
      <pivotArea type="all" dataOnly="0" outline="0" fieldPosition="0"/>
    </format>
    <format dxfId="421">
      <pivotArea outline="0" collapsedLevelsAreSubtotals="1" fieldPosition="0"/>
    </format>
    <format dxfId="420">
      <pivotArea dataOnly="0" labelOnly="1" grandRow="1" outline="0" fieldPosition="0"/>
    </format>
    <format dxfId="41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6" format="4">
      <pivotArea type="data" outline="0" fieldPosition="0">
        <references count="2">
          <reference field="4294967294" count="1" selected="0">
            <x v="0"/>
          </reference>
          <reference field="16" count="1" selected="0">
            <x v="3"/>
          </reference>
        </references>
      </pivotArea>
    </chartFormat>
    <chartFormat chart="6" format="5">
      <pivotArea type="data" outline="0" fieldPosition="0">
        <references count="2">
          <reference field="4294967294" count="1" selected="0">
            <x v="0"/>
          </reference>
          <reference field="16"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6" count="1" selected="0">
            <x v="1"/>
          </reference>
        </references>
      </pivotArea>
    </chartFormat>
    <chartFormat chart="11" format="2">
      <pivotArea type="data" outline="0" fieldPosition="0">
        <references count="2">
          <reference field="4294967294" count="1" selected="0">
            <x v="0"/>
          </reference>
          <reference field="16" count="1" selected="0">
            <x v="0"/>
          </reference>
        </references>
      </pivotArea>
    </chartFormat>
    <chartFormat chart="11"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B337CC-0F3B-43E0-AAEC-086F1DB793B3}"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ject Status">
  <location ref="B37:C41"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sortType="descending">
      <items count="8">
        <item x="1"/>
        <item x="2"/>
        <item x="4"/>
        <item x="0"/>
        <item m="1" x="6"/>
        <item m="1" x="5"/>
        <item x="3"/>
        <item t="default"/>
      </items>
      <autoSortScope>
        <pivotArea dataOnly="0" outline="0" fieldPosition="0">
          <references count="1">
            <reference field="4294967294" count="1" selected="0">
              <x v="0"/>
            </reference>
          </references>
        </pivotArea>
      </autoSortScope>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10"/>
  </rowFields>
  <rowItems count="4">
    <i>
      <x/>
    </i>
    <i>
      <x v="1"/>
    </i>
    <i>
      <x v="2"/>
    </i>
    <i t="grand">
      <x/>
    </i>
  </rowItems>
  <colItems count="1">
    <i/>
  </colItems>
  <dataFields count="1">
    <dataField name="Projects No." fld="4" subtotal="count" baseField="0" baseItem="0"/>
  </dataFields>
  <formats count="19">
    <format dxfId="456">
      <pivotArea type="all" dataOnly="0" outline="0" fieldPosition="0"/>
    </format>
    <format dxfId="455">
      <pivotArea outline="0" collapsedLevelsAreSubtotals="1" fieldPosition="0"/>
    </format>
    <format dxfId="454">
      <pivotArea field="16" type="button" dataOnly="0" labelOnly="1" outline="0"/>
    </format>
    <format dxfId="453">
      <pivotArea dataOnly="0" labelOnly="1" grandRow="1" outline="0" fieldPosition="0"/>
    </format>
    <format dxfId="452">
      <pivotArea dataOnly="0" labelOnly="1" outline="0" axis="axisValues" fieldPosition="0"/>
    </format>
    <format dxfId="451">
      <pivotArea type="all" dataOnly="0" outline="0" fieldPosition="0"/>
    </format>
    <format dxfId="450">
      <pivotArea outline="0" collapsedLevelsAreSubtotals="1" fieldPosition="0"/>
    </format>
    <format dxfId="449">
      <pivotArea field="16" type="button" dataOnly="0" labelOnly="1" outline="0"/>
    </format>
    <format dxfId="448">
      <pivotArea dataOnly="0" labelOnly="1" grandRow="1" outline="0" fieldPosition="0"/>
    </format>
    <format dxfId="447">
      <pivotArea dataOnly="0" labelOnly="1" outline="0" axis="axisValues" fieldPosition="0"/>
    </format>
    <format dxfId="446">
      <pivotArea type="all" dataOnly="0" outline="0" fieldPosition="0"/>
    </format>
    <format dxfId="445">
      <pivotArea outline="0" collapsedLevelsAreSubtotals="1" fieldPosition="0"/>
    </format>
    <format dxfId="444">
      <pivotArea field="16" type="button" dataOnly="0" labelOnly="1" outline="0"/>
    </format>
    <format dxfId="443">
      <pivotArea dataOnly="0" labelOnly="1" grandRow="1" outline="0"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dataOnly="0" labelOnly="1" grandRow="1" outline="0" fieldPosition="0"/>
    </format>
    <format dxfId="43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C327CA-5B25-4532-8CA0-936F9938896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ject Status">
  <location ref="B54:C59" firstHeaderRow="1" firstDataRow="1" firstDataCol="1" rowPageCount="1" colPageCount="1"/>
  <pivotFields count="57">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x="0"/>
        <item h="1" x="2"/>
        <item t="default"/>
      </items>
    </pivotField>
    <pivotField showAll="0"/>
    <pivotField showAll="0"/>
    <pivotField numFmtId="10" showAll="0"/>
    <pivotField showAll="0"/>
    <pivotField showAll="0"/>
    <pivotField axis="axisRow" showAll="0">
      <items count="8">
        <item x="1"/>
        <item x="2"/>
        <item x="4"/>
        <item x="0"/>
        <item m="1" x="6"/>
        <item m="1" x="5"/>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6"/>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475">
      <pivotArea type="all" dataOnly="0" outline="0" fieldPosition="0"/>
    </format>
    <format dxfId="474">
      <pivotArea outline="0" collapsedLevelsAreSubtotals="1" fieldPosition="0"/>
    </format>
    <format dxfId="473">
      <pivotArea field="16" type="button" dataOnly="0" labelOnly="1" outline="0" axis="axisRow" fieldPosition="0"/>
    </format>
    <format dxfId="472">
      <pivotArea dataOnly="0" labelOnly="1" grandRow="1" outline="0" fieldPosition="0"/>
    </format>
    <format dxfId="471">
      <pivotArea dataOnly="0" labelOnly="1" outline="0" axis="axisValues" fieldPosition="0"/>
    </format>
    <format dxfId="470">
      <pivotArea type="all" dataOnly="0" outline="0" fieldPosition="0"/>
    </format>
    <format dxfId="469">
      <pivotArea outline="0" collapsedLevelsAreSubtotals="1" fieldPosition="0"/>
    </format>
    <format dxfId="468">
      <pivotArea field="16" type="button" dataOnly="0" labelOnly="1" outline="0" axis="axisRow" fieldPosition="0"/>
    </format>
    <format dxfId="467">
      <pivotArea dataOnly="0" labelOnly="1" grandRow="1" outline="0" fieldPosition="0"/>
    </format>
    <format dxfId="466">
      <pivotArea dataOnly="0" labelOnly="1" outline="0" axis="axisValues" fieldPosition="0"/>
    </format>
    <format dxfId="465">
      <pivotArea type="all" dataOnly="0" outline="0" fieldPosition="0"/>
    </format>
    <format dxfId="464">
      <pivotArea outline="0" collapsedLevelsAreSubtotals="1" fieldPosition="0"/>
    </format>
    <format dxfId="463">
      <pivotArea field="16" type="button" dataOnly="0" labelOnly="1" outline="0" axis="axisRow" fieldPosition="0"/>
    </format>
    <format dxfId="462">
      <pivotArea dataOnly="0" labelOnly="1" grandRow="1" outline="0"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dataOnly="0" labelOnly="1" grandRow="1" outline="0" fieldPosition="0"/>
    </format>
    <format dxfId="45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6" format="4">
      <pivotArea type="data" outline="0" fieldPosition="0">
        <references count="2">
          <reference field="4294967294" count="1" selected="0">
            <x v="0"/>
          </reference>
          <reference field="16" count="1" selected="0">
            <x v="3"/>
          </reference>
        </references>
      </pivotArea>
    </chartFormat>
    <chartFormat chart="6"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B2856B-823D-4D4B-9904-AF6FDFA8754E}"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rowHeaderCaption="Project Status">
  <location ref="B5:C11" firstHeaderRow="1" firstDataRow="1" firstDataCol="1"/>
  <pivotFields count="78">
    <pivotField showAll="0"/>
    <pivotField showAll="0"/>
    <pivotField showAll="0"/>
    <pivotField showAll="0">
      <items count="53">
        <item x="34"/>
        <item x="31"/>
        <item x="32"/>
        <item x="47"/>
        <item x="48"/>
        <item x="22"/>
        <item x="7"/>
        <item x="25"/>
        <item x="43"/>
        <item x="41"/>
        <item x="16"/>
        <item x="27"/>
        <item x="0"/>
        <item x="26"/>
        <item x="30"/>
        <item x="42"/>
        <item x="3"/>
        <item x="35"/>
        <item x="5"/>
        <item x="44"/>
        <item x="23"/>
        <item x="4"/>
        <item x="40"/>
        <item x="29"/>
        <item x="28"/>
        <item x="46"/>
        <item x="36"/>
        <item x="9"/>
        <item x="2"/>
        <item x="8"/>
        <item x="45"/>
        <item x="15"/>
        <item x="6"/>
        <item x="19"/>
        <item x="12"/>
        <item x="24"/>
        <item x="33"/>
        <item x="11"/>
        <item x="17"/>
        <item x="20"/>
        <item x="10"/>
        <item x="37"/>
        <item x="1"/>
        <item x="18"/>
        <item x="21"/>
        <item x="14"/>
        <item x="13"/>
        <item x="38"/>
        <item x="39"/>
        <item x="49"/>
        <item m="1" x="51"/>
        <item x="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4"/>
        <item x="3"/>
        <item x="2"/>
        <item x="1"/>
        <item x="0"/>
        <item m="1" x="6"/>
        <item m="1" x="5"/>
        <item t="default"/>
      </items>
    </pivotField>
    <pivotField numFmtId="165" showAll="0">
      <items count="48">
        <item x="31"/>
        <item x="28"/>
        <item x="43"/>
        <item x="44"/>
        <item x="29"/>
        <item x="21"/>
        <item x="7"/>
        <item x="24"/>
        <item x="39"/>
        <item x="16"/>
        <item x="37"/>
        <item x="25"/>
        <item x="0"/>
        <item x="3"/>
        <item x="27"/>
        <item x="4"/>
        <item x="5"/>
        <item x="38"/>
        <item x="40"/>
        <item x="36"/>
        <item x="22"/>
        <item x="26"/>
        <item x="42"/>
        <item x="9"/>
        <item x="2"/>
        <item x="8"/>
        <item x="41"/>
        <item x="32"/>
        <item x="15"/>
        <item x="6"/>
        <item x="19"/>
        <item x="20"/>
        <item x="12"/>
        <item x="30"/>
        <item x="18"/>
        <item x="14"/>
        <item x="23"/>
        <item x="17"/>
        <item x="10"/>
        <item x="13"/>
        <item x="1"/>
        <item x="33"/>
        <item x="34"/>
        <item x="45"/>
        <item x="35"/>
        <item x="11"/>
        <item x="46"/>
        <item t="default"/>
      </items>
    </pivotField>
    <pivotField numFmtId="165" showAll="0"/>
    <pivotField numFmtId="165" showAll="0">
      <items count="48">
        <item x="28"/>
        <item x="6"/>
        <item x="10"/>
        <item x="9"/>
        <item x="21"/>
        <item x="43"/>
        <item x="8"/>
        <item x="41"/>
        <item x="37"/>
        <item x="33"/>
        <item x="38"/>
        <item x="32"/>
        <item x="11"/>
        <item x="13"/>
        <item x="12"/>
        <item x="23"/>
        <item x="15"/>
        <item x="34"/>
        <item x="35"/>
        <item x="27"/>
        <item x="19"/>
        <item x="22"/>
        <item x="20"/>
        <item x="18"/>
        <item x="17"/>
        <item x="40"/>
        <item x="24"/>
        <item x="39"/>
        <item x="25"/>
        <item x="45"/>
        <item x="26"/>
        <item x="14"/>
        <item x="36"/>
        <item x="3"/>
        <item x="5"/>
        <item x="42"/>
        <item x="0"/>
        <item x="4"/>
        <item x="1"/>
        <item x="2"/>
        <item x="7"/>
        <item x="16"/>
        <item x="30"/>
        <item x="31"/>
        <item x="44"/>
        <item x="46"/>
        <item x="29"/>
        <item t="default"/>
      </items>
    </pivotField>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s>
  <rowFields count="1">
    <field x="16"/>
  </rowFields>
  <rowItems count="6">
    <i>
      <x/>
    </i>
    <i>
      <x v="1"/>
    </i>
    <i>
      <x v="2"/>
    </i>
    <i>
      <x v="3"/>
    </i>
    <i>
      <x v="4"/>
    </i>
    <i t="grand">
      <x/>
    </i>
  </rowItems>
  <colItems count="1">
    <i/>
  </colItems>
  <dataFields count="1">
    <dataField name="Projects No." fld="4" subtotal="count" baseField="0" baseItem="0"/>
  </dataFields>
  <formats count="24">
    <format dxfId="499">
      <pivotArea type="all" dataOnly="0" outline="0" fieldPosition="0"/>
    </format>
    <format dxfId="498">
      <pivotArea outline="0" collapsedLevelsAreSubtotals="1" fieldPosition="0"/>
    </format>
    <format dxfId="497">
      <pivotArea field="16" type="button" dataOnly="0" labelOnly="1" outline="0" axis="axisRow" fieldPosition="0"/>
    </format>
    <format dxfId="496">
      <pivotArea dataOnly="0" labelOnly="1" fieldPosition="0">
        <references count="1">
          <reference field="16" count="0"/>
        </references>
      </pivotArea>
    </format>
    <format dxfId="495">
      <pivotArea dataOnly="0" labelOnly="1" grandRow="1" outline="0" fieldPosition="0"/>
    </format>
    <format dxfId="494">
      <pivotArea dataOnly="0" labelOnly="1" outline="0" axis="axisValues" fieldPosition="0"/>
    </format>
    <format dxfId="493">
      <pivotArea type="all" dataOnly="0" outline="0" fieldPosition="0"/>
    </format>
    <format dxfId="492">
      <pivotArea outline="0" collapsedLevelsAreSubtotals="1" fieldPosition="0"/>
    </format>
    <format dxfId="491">
      <pivotArea field="16" type="button" dataOnly="0" labelOnly="1" outline="0" axis="axisRow" fieldPosition="0"/>
    </format>
    <format dxfId="490">
      <pivotArea dataOnly="0" labelOnly="1" fieldPosition="0">
        <references count="1">
          <reference field="16" count="0"/>
        </references>
      </pivotArea>
    </format>
    <format dxfId="489">
      <pivotArea dataOnly="0" labelOnly="1" grandRow="1" outline="0" fieldPosition="0"/>
    </format>
    <format dxfId="488">
      <pivotArea dataOnly="0" labelOnly="1" outline="0" axis="axisValues" fieldPosition="0"/>
    </format>
    <format dxfId="487">
      <pivotArea type="all" dataOnly="0" outline="0" fieldPosition="0"/>
    </format>
    <format dxfId="486">
      <pivotArea outline="0" collapsedLevelsAreSubtotals="1" fieldPosition="0"/>
    </format>
    <format dxfId="485">
      <pivotArea field="16" type="button" dataOnly="0" labelOnly="1" outline="0" axis="axisRow" fieldPosition="0"/>
    </format>
    <format dxfId="484">
      <pivotArea dataOnly="0" labelOnly="1" fieldPosition="0">
        <references count="1">
          <reference field="16" count="0"/>
        </references>
      </pivotArea>
    </format>
    <format dxfId="483">
      <pivotArea dataOnly="0" labelOnly="1" grandRow="1" outline="0"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field="16" type="button" dataOnly="0" labelOnly="1" outline="0" axis="axisRow" fieldPosition="0"/>
    </format>
    <format dxfId="478">
      <pivotArea dataOnly="0" labelOnly="1" fieldPosition="0">
        <references count="1">
          <reference field="16" count="0"/>
        </references>
      </pivotArea>
    </format>
    <format dxfId="477">
      <pivotArea dataOnly="0" labelOnly="1" grandRow="1" outline="0" fieldPosition="0"/>
    </format>
    <format dxfId="476">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4"/>
          </reference>
        </references>
      </pivotArea>
    </chartFormat>
    <chartFormat chart="50" format="8" series="1">
      <pivotArea type="data" outline="0" fieldPosition="0">
        <references count="1">
          <reference field="4294967294" count="1" selected="0">
            <x v="0"/>
          </reference>
        </references>
      </pivotArea>
    </chartFormat>
    <chartFormat chart="50" format="9">
      <pivotArea type="data" outline="0" fieldPosition="0">
        <references count="2">
          <reference field="4294967294" count="1" selected="0">
            <x v="0"/>
          </reference>
          <reference field="16" count="1" selected="0">
            <x v="2"/>
          </reference>
        </references>
      </pivotArea>
    </chartFormat>
    <chartFormat chart="50" format="10">
      <pivotArea type="data" outline="0" fieldPosition="0">
        <references count="2">
          <reference field="4294967294" count="1" selected="0">
            <x v="0"/>
          </reference>
          <reference field="16" count="1" selected="0">
            <x v="4"/>
          </reference>
        </references>
      </pivotArea>
    </chartFormat>
    <chartFormat chart="50" format="11">
      <pivotArea type="data" outline="0" fieldPosition="0">
        <references count="2">
          <reference field="4294967294" count="1" selected="0">
            <x v="0"/>
          </reference>
          <reference field="16" count="1" selected="0">
            <x v="3"/>
          </reference>
        </references>
      </pivotArea>
    </chartFormat>
    <chartFormat chart="51" format="12" series="1">
      <pivotArea type="data" outline="0" fieldPosition="0">
        <references count="1">
          <reference field="4294967294" count="1" selected="0">
            <x v="0"/>
          </reference>
        </references>
      </pivotArea>
    </chartFormat>
    <chartFormat chart="51" format="13">
      <pivotArea type="data" outline="0" fieldPosition="0">
        <references count="2">
          <reference field="4294967294" count="1" selected="0">
            <x v="0"/>
          </reference>
          <reference field="16" count="1" selected="0">
            <x v="2"/>
          </reference>
        </references>
      </pivotArea>
    </chartFormat>
    <chartFormat chart="51" format="14">
      <pivotArea type="data" outline="0" fieldPosition="0">
        <references count="2">
          <reference field="4294967294" count="1" selected="0">
            <x v="0"/>
          </reference>
          <reference field="16" count="1" selected="0">
            <x v="4"/>
          </reference>
        </references>
      </pivotArea>
    </chartFormat>
    <chartFormat chart="51" format="15">
      <pivotArea type="data" outline="0" fieldPosition="0">
        <references count="2">
          <reference field="4294967294" count="1" selected="0">
            <x v="0"/>
          </reference>
          <reference field="16" count="1" selected="0">
            <x v="3"/>
          </reference>
        </references>
      </pivotArea>
    </chartFormat>
    <chartFormat chart="54" format="8" series="1">
      <pivotArea type="data" outline="0" fieldPosition="0">
        <references count="1">
          <reference field="4294967294" count="1" selected="0">
            <x v="0"/>
          </reference>
        </references>
      </pivotArea>
    </chartFormat>
    <chartFormat chart="54" format="9">
      <pivotArea type="data" outline="0" fieldPosition="0">
        <references count="2">
          <reference field="4294967294" count="1" selected="0">
            <x v="0"/>
          </reference>
          <reference field="16" count="1" selected="0">
            <x v="2"/>
          </reference>
        </references>
      </pivotArea>
    </chartFormat>
    <chartFormat chart="54" format="10">
      <pivotArea type="data" outline="0" fieldPosition="0">
        <references count="2">
          <reference field="4294967294" count="1" selected="0">
            <x v="0"/>
          </reference>
          <reference field="16" count="1" selected="0">
            <x v="4"/>
          </reference>
        </references>
      </pivotArea>
    </chartFormat>
    <chartFormat chart="54" format="11">
      <pivotArea type="data" outline="0" fieldPosition="0">
        <references count="2">
          <reference field="4294967294" count="1" selected="0">
            <x v="0"/>
          </reference>
          <reference field="16" count="1" selected="0">
            <x v="3"/>
          </reference>
        </references>
      </pivotArea>
    </chartFormat>
    <chartFormat chart="55" format="12" series="1">
      <pivotArea type="data" outline="0" fieldPosition="0">
        <references count="1">
          <reference field="4294967294" count="1" selected="0">
            <x v="0"/>
          </reference>
        </references>
      </pivotArea>
    </chartFormat>
    <chartFormat chart="55" format="13">
      <pivotArea type="data" outline="0" fieldPosition="0">
        <references count="2">
          <reference field="4294967294" count="1" selected="0">
            <x v="0"/>
          </reference>
          <reference field="16" count="1" selected="0">
            <x v="2"/>
          </reference>
        </references>
      </pivotArea>
    </chartFormat>
    <chartFormat chart="55" format="14">
      <pivotArea type="data" outline="0" fieldPosition="0">
        <references count="2">
          <reference field="4294967294" count="1" selected="0">
            <x v="0"/>
          </reference>
          <reference field="16" count="1" selected="0">
            <x v="4"/>
          </reference>
        </references>
      </pivotArea>
    </chartFormat>
    <chartFormat chart="55" format="15">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19"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7372B0-791A-47F0-A48B-4ABA4D011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ject Status">
  <location ref="B13:C17"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0"/>
        <item x="1"/>
        <item x="2"/>
        <item t="default"/>
      </items>
    </pivotField>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59"/>
  </rowFields>
  <rowItems count="4">
    <i>
      <x/>
    </i>
    <i>
      <x v="1"/>
    </i>
    <i>
      <x v="2"/>
    </i>
    <i t="grand">
      <x/>
    </i>
  </rowItems>
  <colItems count="1">
    <i/>
  </colItems>
  <dataFields count="1">
    <dataField name="Projects No." fld="4" subtotal="count" baseField="0" baseItem="0"/>
  </dataFields>
  <formats count="19">
    <format dxfId="280">
      <pivotArea type="all" dataOnly="0" outline="0" fieldPosition="0"/>
    </format>
    <format dxfId="279">
      <pivotArea outline="0" collapsedLevelsAreSubtotals="1" fieldPosition="0"/>
    </format>
    <format dxfId="278">
      <pivotArea field="16" type="button" dataOnly="0" labelOnly="1" outline="0"/>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16" type="button" dataOnly="0" labelOnly="1" outline="0"/>
    </format>
    <format dxfId="272">
      <pivotArea dataOnly="0" labelOnly="1" grandRow="1" outline="0"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16" type="button" dataOnly="0" labelOnly="1" outline="0"/>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dataOnly="0" labelOnly="1" grandRow="1" outline="0" fieldPosition="0"/>
    </format>
    <format dxfId="26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87C949-222E-425F-8BC3-6E86D0BFF7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37:C4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0"/>
  </rowFields>
  <rowItems count="4">
    <i>
      <x/>
    </i>
    <i>
      <x v="1"/>
    </i>
    <i>
      <x v="2"/>
    </i>
    <i t="grand">
      <x/>
    </i>
  </rowItems>
  <colItems count="1">
    <i/>
  </colItems>
  <dataFields count="1">
    <dataField name="Projects No." fld="4" subtotal="count" baseField="0" baseItem="0"/>
  </dataFields>
  <formats count="19">
    <format dxfId="299">
      <pivotArea type="all" dataOnly="0" outline="0" fieldPosition="0"/>
    </format>
    <format dxfId="298">
      <pivotArea outline="0" collapsedLevelsAreSubtotals="1" fieldPosition="0"/>
    </format>
    <format dxfId="297">
      <pivotArea field="16" type="button" dataOnly="0" labelOnly="1" outline="0"/>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16" type="button" dataOnly="0" labelOnly="1" outline="0"/>
    </format>
    <format dxfId="291">
      <pivotArea dataOnly="0" labelOnly="1" grandRow="1" outline="0"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16" type="button" dataOnly="0" labelOnly="1" outline="0"/>
    </format>
    <format dxfId="286">
      <pivotArea dataOnly="0" labelOnly="1" grandRow="1" outline="0" fieldPosition="0"/>
    </format>
    <format dxfId="285">
      <pivotArea dataOnly="0" labelOnly="1" outline="0" axis="axisValues" fieldPosition="0"/>
    </format>
    <format dxfId="284">
      <pivotArea type="all" dataOnly="0" outline="0" fieldPosition="0"/>
    </format>
    <format dxfId="283">
      <pivotArea outline="0" collapsedLevelsAreSubtotals="1" fieldPosition="0"/>
    </format>
    <format dxfId="282">
      <pivotArea dataOnly="0" labelOnly="1" grandRow="1" outline="0" fieldPosition="0"/>
    </format>
    <format dxfId="28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17405B-6B4F-4016-A6C9-82775F1411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44:C48"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4">
    <i>
      <x v="1"/>
    </i>
    <i>
      <x v="2"/>
    </i>
    <i>
      <x v="3"/>
    </i>
    <i t="grand">
      <x/>
    </i>
  </rowItems>
  <colItems count="1">
    <i/>
  </colItems>
  <pageFields count="1">
    <pageField fld="10" item="0" hier="-1"/>
  </pageFields>
  <dataFields count="1">
    <dataField name="Projects No." fld="4" subtotal="count" baseField="0" baseItem="0"/>
  </dataFields>
  <formats count="19">
    <format dxfId="318">
      <pivotArea type="all" dataOnly="0" outline="0" fieldPosition="0"/>
    </format>
    <format dxfId="317">
      <pivotArea outline="0" collapsedLevelsAreSubtotals="1" fieldPosition="0"/>
    </format>
    <format dxfId="316">
      <pivotArea field="16" type="button" dataOnly="0" labelOnly="1" outline="0" axis="axisRow" fieldPosition="0"/>
    </format>
    <format dxfId="315">
      <pivotArea dataOnly="0" labelOnly="1" grandRow="1" outline="0" fieldPosition="0"/>
    </format>
    <format dxfId="314">
      <pivotArea dataOnly="0" labelOnly="1" outline="0" axis="axisValues" fieldPosition="0"/>
    </format>
    <format dxfId="313">
      <pivotArea type="all" dataOnly="0" outline="0" fieldPosition="0"/>
    </format>
    <format dxfId="312">
      <pivotArea outline="0" collapsedLevelsAreSubtotals="1" fieldPosition="0"/>
    </format>
    <format dxfId="311">
      <pivotArea field="16" type="button" dataOnly="0" labelOnly="1" outline="0" axis="axisRow" fieldPosition="0"/>
    </format>
    <format dxfId="310">
      <pivotArea dataOnly="0" labelOnly="1" grandRow="1" outline="0"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field="16" type="button" dataOnly="0" labelOnly="1" outline="0" axis="axisRow" fieldPosition="0"/>
    </format>
    <format dxfId="305">
      <pivotArea dataOnly="0" labelOnly="1" grandRow="1" outline="0"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dataOnly="0" labelOnly="1" grandRow="1" outline="0" fieldPosition="0"/>
    </format>
    <format dxfId="30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6" count="1" selected="0">
            <x v="0"/>
          </reference>
        </references>
      </pivotArea>
    </chartFormat>
    <chartFormat chart="9" format="8">
      <pivotArea type="data" outline="0" fieldPosition="0">
        <references count="2">
          <reference field="4294967294" count="1" selected="0">
            <x v="0"/>
          </reference>
          <reference field="16" count="1" selected="0">
            <x v="1"/>
          </reference>
        </references>
      </pivotArea>
    </chartFormat>
    <chartFormat chart="9" format="9">
      <pivotArea type="data" outline="0" fieldPosition="0">
        <references count="2">
          <reference field="4294967294" count="1" selected="0">
            <x v="0"/>
          </reference>
          <reference field="16" count="1" selected="0">
            <x v="2"/>
          </reference>
        </references>
      </pivotArea>
    </chartFormat>
    <chartFormat chart="9"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17BED8-51E1-454F-9210-0860B0E609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63:C6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x="2"/>
        <item h="1" x="1"/>
        <item h="1" x="0"/>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i>
    <i>
      <x v="1"/>
    </i>
    <i>
      <x v="2"/>
    </i>
    <i>
      <x v="3"/>
    </i>
    <i>
      <x v="4"/>
    </i>
    <i t="grand">
      <x/>
    </i>
  </rowItems>
  <colItems count="1">
    <i/>
  </colItems>
  <pageFields count="1">
    <pageField fld="10" hier="-1"/>
  </pageFields>
  <dataFields count="1">
    <dataField name="Projects No." fld="4" subtotal="count" baseField="0" baseItem="0"/>
  </dataFields>
  <formats count="19">
    <format dxfId="337">
      <pivotArea type="all" dataOnly="0" outline="0" fieldPosition="0"/>
    </format>
    <format dxfId="336">
      <pivotArea outline="0" collapsedLevelsAreSubtotals="1" fieldPosition="0"/>
    </format>
    <format dxfId="335">
      <pivotArea field="16" type="button" dataOnly="0" labelOnly="1" outline="0" axis="axisRow" fieldPosition="0"/>
    </format>
    <format dxfId="334">
      <pivotArea dataOnly="0" labelOnly="1" grandRow="1" outline="0" fieldPosition="0"/>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field="16" type="button" dataOnly="0" labelOnly="1" outline="0" axis="axisRow" fieldPosition="0"/>
    </format>
    <format dxfId="329">
      <pivotArea dataOnly="0" labelOnly="1" grandRow="1" outline="0"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16" type="button" dataOnly="0" labelOnly="1" outline="0" axis="axisRow" fieldPosition="0"/>
    </format>
    <format dxfId="324">
      <pivotArea dataOnly="0" labelOnly="1" grandRow="1" outline="0"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dataOnly="0" labelOnly="1" grandRow="1" outline="0" fieldPosition="0"/>
    </format>
    <format dxfId="31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1"/>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6" count="1" selected="0">
            <x v="0"/>
          </reference>
        </references>
      </pivotArea>
    </chartFormat>
    <chartFormat chart="12" format="2">
      <pivotArea type="data" outline="0" fieldPosition="0">
        <references count="2">
          <reference field="4294967294" count="1" selected="0">
            <x v="0"/>
          </reference>
          <reference field="16" count="1" selected="0">
            <x v="1"/>
          </reference>
        </references>
      </pivotArea>
    </chartFormat>
    <chartFormat chart="12"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88FC88-FDAA-483C-820D-B56EB22B5D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54:C5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numFmtId="10" showAll="0"/>
    <pivotField showAll="0"/>
    <pivotField showAll="0"/>
    <pivotField axis="axisRow" showAll="0">
      <items count="6">
        <item x="1"/>
        <item x="0"/>
        <item x="2"/>
        <item x="4"/>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356">
      <pivotArea type="all" dataOnly="0" outline="0" fieldPosition="0"/>
    </format>
    <format dxfId="355">
      <pivotArea outline="0" collapsedLevelsAreSubtotals="1" fieldPosition="0"/>
    </format>
    <format dxfId="354">
      <pivotArea field="16" type="button" dataOnly="0" labelOnly="1" outline="0" axis="axisRow" fieldPosition="0"/>
    </format>
    <format dxfId="353">
      <pivotArea dataOnly="0" labelOnly="1" grandRow="1" outline="0" fieldPosition="0"/>
    </format>
    <format dxfId="352">
      <pivotArea dataOnly="0" labelOnly="1" outline="0" axis="axisValues" fieldPosition="0"/>
    </format>
    <format dxfId="351">
      <pivotArea type="all" dataOnly="0" outline="0" fieldPosition="0"/>
    </format>
    <format dxfId="350">
      <pivotArea outline="0" collapsedLevelsAreSubtotals="1" fieldPosition="0"/>
    </format>
    <format dxfId="349">
      <pivotArea field="16" type="button" dataOnly="0" labelOnly="1" outline="0" axis="axisRow" fieldPosition="0"/>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16" type="button" dataOnly="0" labelOnly="1" outline="0" axis="axisRow" fieldPosition="0"/>
    </format>
    <format dxfId="343">
      <pivotArea dataOnly="0" labelOnly="1" grandRow="1" outline="0" fieldPosition="0"/>
    </format>
    <format dxfId="342">
      <pivotArea dataOnly="0" labelOnly="1" outline="0" axis="axisValues" fieldPosition="0"/>
    </format>
    <format dxfId="341">
      <pivotArea type="all" dataOnly="0" outline="0" fieldPosition="0"/>
    </format>
    <format dxfId="340">
      <pivotArea outline="0" collapsedLevelsAreSubtotals="1" fieldPosition="0"/>
    </format>
    <format dxfId="339">
      <pivotArea dataOnly="0" labelOnly="1" grandRow="1" outline="0" fieldPosition="0"/>
    </format>
    <format dxfId="33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3"/>
          </reference>
        </references>
      </pivotArea>
    </chartFormat>
    <chartFormat chart="4" format="3">
      <pivotArea type="data" outline="0" fieldPosition="0">
        <references count="2">
          <reference field="4294967294" count="1" selected="0">
            <x v="0"/>
          </reference>
          <reference field="16" count="1" selected="0">
            <x v="2"/>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2"/>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2"/>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D61E69-046C-4BAD-865D-E525D63DB7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ject Status">
  <location ref="B5:C1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v="1"/>
    </i>
    <i>
      <x v="2"/>
    </i>
    <i>
      <x v="3"/>
    </i>
    <i>
      <x/>
    </i>
    <i>
      <x v="4"/>
    </i>
    <i t="grand">
      <x/>
    </i>
  </rowItems>
  <colItems count="1">
    <i/>
  </colItems>
  <dataFields count="1">
    <dataField name="Projects No." fld="4" subtotal="count" baseField="0" baseItem="0"/>
  </dataFields>
  <formats count="24">
    <format dxfId="380">
      <pivotArea type="all" dataOnly="0" outline="0" fieldPosition="0"/>
    </format>
    <format dxfId="379">
      <pivotArea outline="0" collapsedLevelsAreSubtotals="1" fieldPosition="0"/>
    </format>
    <format dxfId="378">
      <pivotArea field="16" type="button" dataOnly="0" labelOnly="1" outline="0" axis="axisRow" fieldPosition="0"/>
    </format>
    <format dxfId="377">
      <pivotArea dataOnly="0" labelOnly="1" fieldPosition="0">
        <references count="1">
          <reference field="16" count="0"/>
        </references>
      </pivotArea>
    </format>
    <format dxfId="376">
      <pivotArea dataOnly="0" labelOnly="1" grandRow="1" outline="0" fieldPosition="0"/>
    </format>
    <format dxfId="375">
      <pivotArea dataOnly="0" labelOnly="1" outline="0" axis="axisValues" fieldPosition="0"/>
    </format>
    <format dxfId="374">
      <pivotArea type="all" dataOnly="0" outline="0" fieldPosition="0"/>
    </format>
    <format dxfId="373">
      <pivotArea outline="0" collapsedLevelsAreSubtotals="1" fieldPosition="0"/>
    </format>
    <format dxfId="372">
      <pivotArea field="16" type="button" dataOnly="0" labelOnly="1" outline="0" axis="axisRow" fieldPosition="0"/>
    </format>
    <format dxfId="371">
      <pivotArea dataOnly="0" labelOnly="1" fieldPosition="0">
        <references count="1">
          <reference field="16" count="0"/>
        </references>
      </pivotArea>
    </format>
    <format dxfId="370">
      <pivotArea dataOnly="0" labelOnly="1" grandRow="1" outline="0" fieldPosition="0"/>
    </format>
    <format dxfId="369">
      <pivotArea dataOnly="0" labelOnly="1" outline="0" axis="axisValues" fieldPosition="0"/>
    </format>
    <format dxfId="368">
      <pivotArea type="all" dataOnly="0" outline="0" fieldPosition="0"/>
    </format>
    <format dxfId="367">
      <pivotArea outline="0" collapsedLevelsAreSubtotals="1" fieldPosition="0"/>
    </format>
    <format dxfId="366">
      <pivotArea field="16" type="button" dataOnly="0" labelOnly="1" outline="0" axis="axisRow" fieldPosition="0"/>
    </format>
    <format dxfId="365">
      <pivotArea dataOnly="0" labelOnly="1" fieldPosition="0">
        <references count="1">
          <reference field="16" count="0"/>
        </references>
      </pivotArea>
    </format>
    <format dxfId="364">
      <pivotArea dataOnly="0" labelOnly="1" grandRow="1" outline="0"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field="16" type="button" dataOnly="0" labelOnly="1" outline="0" axis="axisRow" fieldPosition="0"/>
    </format>
    <format dxfId="359">
      <pivotArea dataOnly="0" labelOnly="1" fieldPosition="0">
        <references count="1">
          <reference field="16" count="0"/>
        </references>
      </pivotArea>
    </format>
    <format dxfId="358">
      <pivotArea dataOnly="0" labelOnly="1" grandRow="1" outline="0" fieldPosition="0"/>
    </format>
    <format dxfId="35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3"/>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 xr10:uid="{B0DA2F25-1B2B-465A-9E67-BF3F1620DA46}" sourceName="PO">
  <pivotTables>
    <pivotTable tabId="69" name="PivotTable4"/>
    <pivotTable tabId="69" name="PivotTable1"/>
    <pivotTable tabId="69" name="PivotTable2"/>
    <pivotTable tabId="69" name="PivotTable3"/>
    <pivotTable tabId="8" name="PivotTable1"/>
    <pivotTable tabId="8" name="PivotTable2"/>
    <pivotTable tabId="8" name="PivotTable5"/>
  </pivotTables>
  <data>
    <tabular pivotCacheId="37821792">
      <items count="52">
        <i x="34" s="1"/>
        <i x="31" s="1"/>
        <i x="32" s="1"/>
        <i x="47" s="1"/>
        <i x="48" s="1"/>
        <i x="22" s="1"/>
        <i x="7" s="1"/>
        <i x="25" s="1"/>
        <i x="43" s="1"/>
        <i x="41" s="1"/>
        <i x="16" s="1"/>
        <i x="27" s="1"/>
        <i x="0" s="1"/>
        <i x="26" s="1"/>
        <i x="30" s="1"/>
        <i x="42" s="1"/>
        <i x="3" s="1"/>
        <i x="35" s="1"/>
        <i x="5" s="1"/>
        <i x="44" s="1"/>
        <i x="23" s="1"/>
        <i x="4" s="1"/>
        <i x="40" s="1"/>
        <i x="29" s="1"/>
        <i x="28" s="1"/>
        <i x="46" s="1"/>
        <i x="36" s="1"/>
        <i x="9" s="1"/>
        <i x="2" s="1"/>
        <i x="8" s="1"/>
        <i x="45" s="1"/>
        <i x="15" s="1"/>
        <i x="6" s="1"/>
        <i x="19" s="1"/>
        <i x="12" s="1"/>
        <i x="24" s="1"/>
        <i x="33" s="1"/>
        <i x="11" s="1"/>
        <i x="17" s="1"/>
        <i x="20" s="1"/>
        <i x="10" s="1"/>
        <i x="37" s="1"/>
        <i x="1" s="1"/>
        <i x="18" s="1"/>
        <i x="21" s="1"/>
        <i x="14" s="1"/>
        <i x="13" s="1"/>
        <i x="38" s="1"/>
        <i x="39" s="1"/>
        <i x="49" s="1"/>
        <i x="50" s="1"/>
        <i x="5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قاول" xr10:uid="{B98D9BA1-5929-4196-9467-7E2B8C3810F5}" sourceName="المقاول ">
  <pivotTables>
    <pivotTable tabId="69" name="PivotTable4"/>
  </pivotTables>
  <data>
    <tabular pivotCacheId="37821792">
      <items count="44">
        <i x="18" s="1"/>
        <i x="28" s="1"/>
        <i x="7" s="1"/>
        <i x="9" s="1"/>
        <i x="23" s="1"/>
        <i x="16" s="1"/>
        <i x="33" s="1"/>
        <i x="34" s="1"/>
        <i x="21" s="1"/>
        <i x="3" s="1"/>
        <i x="4" s="1"/>
        <i x="39" s="1"/>
        <i x="14" s="1"/>
        <i x="29" s="1"/>
        <i x="41" s="1"/>
        <i x="17" s="1"/>
        <i x="6" s="1"/>
        <i x="22" s="1"/>
        <i x="2" s="1"/>
        <i x="40" s="1"/>
        <i x="37" s="1"/>
        <i x="15" s="1"/>
        <i x="36" s="1"/>
        <i x="0" s="1"/>
        <i x="25" s="1"/>
        <i x="12" s="1"/>
        <i x="20" s="1"/>
        <i x="19" s="1"/>
        <i x="35" s="1"/>
        <i x="1" s="1"/>
        <i x="38" s="1"/>
        <i x="42" s="1"/>
        <i x="13" s="1"/>
        <i x="11" s="1"/>
        <i x="43" s="1"/>
        <i x="32" s="1"/>
        <i x="24" s="1"/>
        <i x="31" s="1"/>
        <i x="5" s="1"/>
        <i x="30" s="1"/>
        <i x="8" s="1"/>
        <i x="27" s="1"/>
        <i x="26"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إستشاري" xr10:uid="{3C9DFCBF-48DA-4D18-B2A0-BFBEFC10F50B}" sourceName="الإستشاري">
  <pivotTables>
    <pivotTable tabId="69" name="PivotTable4"/>
  </pivotTables>
  <data>
    <tabular pivotCacheId="378217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شروع" xr10:uid="{6E0C28D0-1BAD-4639-A3CE-662E45AFEF14}" sourceName="اسم المشروع">
  <pivotTables>
    <pivotTable tabId="69" name="PivotTable4"/>
  </pivotTables>
  <data>
    <tabular pivotCacheId="37821792">
      <items count="52">
        <i x="26" s="1"/>
        <i x="7" s="1"/>
        <i x="29" s="1"/>
        <i x="6" s="1"/>
        <i x="16" s="1"/>
        <i x="1" s="1"/>
        <i x="0" s="1"/>
        <i x="4" s="1"/>
        <i x="2" s="1"/>
        <i x="5" s="1"/>
        <i x="10" s="1"/>
        <i x="37" s="1"/>
        <i x="8" s="1"/>
        <i x="38" s="1"/>
        <i x="22" s="1"/>
        <i x="48" s="1"/>
        <i x="19" s="1"/>
        <i x="33" s="1"/>
        <i x="21" s="1"/>
        <i x="9" s="1"/>
        <i x="13" s="1"/>
        <i x="15" s="1"/>
        <i x="30" s="1"/>
        <i x="32" s="1"/>
        <i x="27" s="1"/>
        <i x="43" s="1"/>
        <i x="41" s="1"/>
        <i x="34" s="1"/>
        <i x="18" s="1"/>
        <i x="24" s="1"/>
        <i x="3" s="1"/>
        <i x="20" s="1"/>
        <i x="23" s="1"/>
        <i x="28" s="1"/>
        <i x="17" s="1"/>
        <i x="49" s="1"/>
        <i x="31" s="1"/>
        <i x="40" s="1"/>
        <i x="46" s="1"/>
        <i x="36" s="1"/>
        <i x="45" s="1"/>
        <i x="12" s="1"/>
        <i x="11" s="1"/>
        <i x="39" s="1"/>
        <i x="35" s="1"/>
        <i x="50" s="1"/>
        <i x="25" s="1"/>
        <i x="14" s="1"/>
        <i x="47" s="1"/>
        <i x="42" s="1"/>
        <i x="44" s="1"/>
        <i x="5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xr10:uid="{EA532C28-C052-43EE-ADB9-4C7321893EEA}" cache="Slicer_PO" caption="PO" rowHeight="234950"/>
  <slicer name="المقاول " xr10:uid="{D823A2AF-3A04-4F49-90F7-169EF90BF9CA}" cache="Slicer_المقاول" caption="المقاول " rowHeight="234950"/>
  <slicer name="الإستشاري" xr10:uid="{229422D5-C654-4AC2-8407-C1D522FAE9E4}" cache="Slicer_الإستشاري" caption="الإستشاري" rowHeight="234950"/>
  <slicer name="اسم المشروع" xr10:uid="{C514F7EF-4287-4AB9-A262-5CFD28DBF3DE}" cache="Slicer_اسم_المشروع" caption="اسم المشروع"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1" xr10:uid="{58FEBD28-9FA6-4708-9555-762EA0582765}" cache="Slicer_PO" caption="PO"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51188-A6C9-4DE8-A136-7EC6125A397C}" name="Table1" displayName="Table1" ref="A2:BN50" totalsRowShown="0" headerRowDxfId="631" dataDxfId="629" totalsRowDxfId="627" headerRowBorderDxfId="630" tableBorderDxfId="628" totalsRowBorderDxfId="626" totalsRowCellStyle="Comma">
  <autoFilter ref="A2:BN50" xr:uid="{4F651188-A6C9-4DE8-A136-7EC6125A397C}">
    <filterColumn colId="8">
      <filters>
        <filter val="الشركة الوطنية لأعمال المياه"/>
      </filters>
    </filterColumn>
  </autoFilter>
  <tableColumns count="66">
    <tableColumn id="1" xr3:uid="{44B5C334-69FF-4F3F-895B-852052979520}" name="SN" dataDxfId="625" totalsRowDxfId="624">
      <calculatedColumnFormula>SUBTOTAL(3,$D$3:D3)</calculatedColumnFormula>
    </tableColumn>
    <tableColumn id="8" xr3:uid="{2A3C7194-FFA5-42FA-80B2-1A2D5F1E3135}" name="Project no." dataDxfId="623" totalsRowDxfId="622"/>
    <tableColumn id="24" xr3:uid="{26C1BDD9-8D02-4B6E-90B4-CD868024EA26}" name="Project Operational Number" dataDxfId="621" totalsRowDxfId="620"/>
    <tableColumn id="2" xr3:uid="{97BD6E0F-363E-42E5-9E80-BF0A208A650C}" name="PO" dataDxfId="619" totalsRowDxfId="618"/>
    <tableColumn id="3" xr3:uid="{982F145C-F380-4E0F-AF48-134DBDBD6485}" name="اسم المشروع" dataDxfId="617" totalsRowDxfId="616"/>
    <tableColumn id="40" xr3:uid="{50B9A6C5-E45D-4BC9-B28A-2A29DC148E80}" name="تصنيف المشروع" dataDxfId="615" totalsRowDxfId="614"/>
    <tableColumn id="27" xr3:uid="{C91AC762-F4AF-43D8-9D21-2CE50698D107}" name="مدير البرنامج" dataDxfId="613" totalsRowDxfId="612"/>
    <tableColumn id="17" xr3:uid="{3E936D7B-5620-4D12-875F-BB1E89A94138}" name="مدير المشروع" dataDxfId="611" totalsRowDxfId="610"/>
    <tableColumn id="4" xr3:uid="{4882DF76-9ACF-44F5-98E0-A5BEC2EB79CF}" name="المقاول " dataDxfId="609" totalsRowDxfId="608"/>
    <tableColumn id="37" xr3:uid="{392A2E0F-DD55-4C91-A460-7E8D5E123DF5}" name="الإستشاري" dataDxfId="607" totalsRowDxfId="606"/>
    <tableColumn id="5" xr3:uid="{8DE69FF0-E062-4E65-B707-A09C9DB26328}" name="نوعه" dataDxfId="605" totalsRowDxfId="604"/>
    <tableColumn id="59" xr3:uid="{10B2958A-74C6-40F3-989B-DAD8A195BE22}" name="مدة التوقف عن العمل بالشهور" dataDxfId="603" totalsRowDxfId="602"/>
    <tableColumn id="43" xr3:uid="{F10ADA64-A497-45AE-8326-140AFDDF4863}" name="موقف البرنامج الزمني" dataDxfId="601" totalsRowDxfId="600"/>
    <tableColumn id="44" xr3:uid="{092EAAF3-0023-4CF6-8837-C648F112D24E}" name="موقف التأثر بالأسفلت" dataDxfId="599" totalsRowDxfId="598"/>
    <tableColumn id="51" xr3:uid="{9AE77219-CA92-4100-A0BD-1AA2C5810BA7}" name="نسبة الإيقاف%" dataDxfId="597" totalsRowDxfId="596" dataCellStyle="Percent"/>
    <tableColumn id="6" xr3:uid="{AC19176F-8E5E-4258-85FE-CE4F8B651BCE}" name="موقف المشروع" dataDxfId="595" totalsRowDxfId="594"/>
    <tableColumn id="61" xr3:uid="{C6427CCB-CA48-4F3A-A353-71623826F33D}" name="حالة المشروع الإسبوع السابق" dataDxfId="593" totalsRowDxfId="592"/>
    <tableColumn id="18" xr3:uid="{7D5F4578-C2E9-403A-8A10-76DE4461DD69}" name="حالة المشروع" dataDxfId="591" totalsRowDxfId="590" dataCellStyle="Comma"/>
    <tableColumn id="7" xr3:uid="{B25D44CB-7735-452F-8BCE-27598C5DF76A}" name="بداية المشروع التعاقدية" dataDxfId="589" totalsRowDxfId="588"/>
    <tableColumn id="38" xr3:uid="{5D4D46E4-CB3F-47A7-81A8-7AACAEDEF4C7}" name="نهاية المشروع التعاقدية" dataDxfId="587" totalsRowDxfId="586"/>
    <tableColumn id="49" xr3:uid="{46EADD22-4E62-4E22-B0A1-CD371FBC2AA4}" name="نهاية المشروع المعدلة EPPM" dataDxfId="585" totalsRowDxfId="584"/>
    <tableColumn id="39" xr3:uid="{8B2A5144-40D0-422D-A76F-812DD15C0D3B}" name="نهاية المشروع المعدلة PMO LIVE" dataDxfId="583"/>
    <tableColumn id="50" xr3:uid="{A0AFFF47-8257-4DDB-9D58-530A6473FF80}" name="التباين" dataDxfId="582" totalsRowDxfId="581"/>
    <tableColumn id="60" xr3:uid="{BAD6F1CB-2657-4EB5-9CF1-92D190ECC428}" name="السبب" dataDxfId="580" totalsRowDxfId="579"/>
    <tableColumn id="9" xr3:uid="{41B55563-A921-41A9-A331-5D8D4F897CED}" name="النهاية طبقاً للتحديث الاسبوعي السابق" dataDxfId="578" totalsRowDxfId="577" dataCellStyle="Comma"/>
    <tableColumn id="19" xr3:uid="{86FAF977-7EF5-43F0-9525-7B6ECFA3F3F8}" name="النهاية طبقاً للتحديث الاسبوعي الحالي" dataDxfId="576" totalsRowDxfId="575"/>
    <tableColumn id="73" xr3:uid="{E2539436-9CDE-4C14-B902-8C7008966064}" name="الفرق بين النهايات المتوقعة خلال الإسبوع" dataDxfId="574" totalsRowDxfId="573">
      <calculatedColumnFormula>Table1[[#This Row],[النهاية طبقاً للتحديث الاسبوعي الحالي]]-Table1[[#This Row],[النهاية طبقاً للتحديث الاسبوعي السابق]]</calculatedColumnFormula>
    </tableColumn>
    <tableColumn id="42" xr3:uid="{06E729C8-F520-4CB0-AE3E-D29913245457}" name="قيمة المشروع بدون ضريبة" dataDxfId="572" totalsRowDxfId="571" dataCellStyle="Comma"/>
    <tableColumn id="10" xr3:uid="{8C5327A3-494D-4EB8-BCC0-BAE463428BF6}" name="قيمة المشروع بالضريبة" dataDxfId="570" totalsRowDxfId="569" dataCellStyle="Comma"/>
    <tableColumn id="25" xr3:uid="{735614AB-ADC9-4CB6-ABC8-42C3AE4C5413}" name="المخطط % - الإسبوع السابق " dataDxfId="568" dataCellStyle="Comma"/>
    <tableColumn id="20" xr3:uid="{70758FA1-6130-4539-B642-C79748432B4D}" name="المنفذ % - الإسبوع السابق" dataDxfId="567" totalsRowDxfId="566" dataCellStyle="Comma"/>
    <tableColumn id="11" xr3:uid="{E5538B6B-6F2A-4AFD-8FC8-92E35CBE926B}" name="المخطط % التراكمي" dataDxfId="565" totalsRowDxfId="564" dataCellStyle="Comma"/>
    <tableColumn id="12" xr3:uid="{165DD6CD-561E-4E6B-B2AD-CCF315DE54C0}" name="المنفذ % التراكمي" dataDxfId="563" totalsRowDxfId="562" dataCellStyle="Comma"/>
    <tableColumn id="46" xr3:uid="{2978B9C8-38A0-4F88-925C-48D14B5C3290}" name="المخطط خلال الإسبوع" dataDxfId="561" totalsRowDxfId="560" dataCellStyle="Comma"/>
    <tableColumn id="26" xr3:uid="{5355AE58-BA38-4BF5-8CA0-494EC8C985FE}" name="المنفذ خلال الإسبوع %" dataDxfId="559" totalsRowDxfId="558">
      <calculatedColumnFormula>Table1[[#This Row],[المنفذ % التراكمي]]-Table1[[#This Row],[المنفذ % - الإسبوع السابق]]</calculatedColumnFormula>
    </tableColumn>
    <tableColumn id="13" xr3:uid="{ECCBC440-6BAB-4816-8E16-58086C65726A}" name="الفرق بين المخطط و الفعلي" dataDxfId="557" totalsRowDxfId="556" dataCellStyle="Comma">
      <calculatedColumnFormula>Table1[[#This Row],[المنفذ % التراكمي]]-Table1[[#This Row],[المخطط % التراكمي]]</calculatedColumnFormula>
    </tableColumn>
    <tableColumn id="31" xr3:uid="{0BB4A8B3-07DF-46B9-BFED-D354BFA98DF8}" name="المخطط % بالخطة التصحيحية  - الإسبوع الحالي" dataDxfId="555" totalsRowDxfId="554"/>
    <tableColumn id="29" xr3:uid="{7B520F67-36BB-4375-B461-5E382C7D8949}" name="المنفذ % الفعلي بالخطة - الإسبوع الحالي" dataDxfId="553" totalsRowDxfId="552"/>
    <tableColumn id="62" xr3:uid="{4F3C9B2B-4D63-43CC-9F05-C5184C2BF4E8}" name="استحقاق خطاب حث 05%" dataDxfId="551" totalsRowDxfId="550"/>
    <tableColumn id="64" xr3:uid="{82E2DDA7-0B58-4C29-A014-DD5D1F7AF7BF}" name="استحقاق خطاب حث 15%" dataDxfId="549" totalsRowDxfId="548"/>
    <tableColumn id="65" xr3:uid="{7D3E6477-6F6A-4506-A546-DE9007B53BF1}" name="استحقاق انذار اول 20%" dataDxfId="547" totalsRowDxfId="546"/>
    <tableColumn id="66" xr3:uid="{A3AA9D2D-D55E-446E-A20C-045164397242}" name="استحقاق انذار نهائي" dataDxfId="545" totalsRowDxfId="544"/>
    <tableColumn id="32" xr3:uid="{161C4D69-C491-4F51-A684-49872276620D}" name="T.F" dataDxfId="543" totalsRowDxfId="542"/>
    <tableColumn id="36" xr3:uid="{151C754C-DD9E-4107-9473-294A6F8AE8D2}" name="متوسط نسبة الإنجازالمطلوبة شهريا %" dataDxfId="541" totalsRowDxfId="540" dataCellStyle="Percent"/>
    <tableColumn id="41" xr3:uid="{39F5D9F1-8E8B-45D5-9C0E-072F48E3C014}" name="نسبة المخطط التراكمي حتى 31 أكتوبر 2026" dataDxfId="539" dataCellStyle="Percent"/>
    <tableColumn id="58" xr3:uid="{04B0E640-FF6B-45B3-8B05-F542914AF967}" name="نسبة الانجاز التراكمي المطلوب للإنتظام" dataDxfId="538" dataCellStyle="Percent">
      <calculatedColumnFormula>Table1[[#This Row],[نسبة المخطط التراكمي حتى 31 أكتوبر 2026]]-9.9%</calculatedColumnFormula>
    </tableColumn>
    <tableColumn id="57" xr3:uid="{72E110FF-479A-42D5-8BAB-274110314156}" name="النسبة المطلوب زيادتها في أكتوبر 2026 للإنتظام" dataDxfId="537" dataCellStyle="Percent">
      <calculatedColumnFormula>Table1[[#This Row],[نسبة الانجاز التراكمي المطلوب للإنتظام]]-Table1[[#This Row],[المنفذ % التراكمي]]</calculatedColumnFormula>
    </tableColumn>
    <tableColumn id="47" xr3:uid="{B388981D-D87E-472E-85C2-5EC420FA92AA}" name="نسبة الانجاز التراكمي المطلوب لتجنب التعثر" dataDxfId="536" dataCellStyle="Percent">
      <calculatedColumnFormula>Table1[[#This Row],[نسبة المخطط التراكمي حتى 31 أكتوبر 2026]]-24.9%</calculatedColumnFormula>
    </tableColumn>
    <tableColumn id="48" xr3:uid="{E05A1B27-6337-4923-904F-21ADF7F8703B}" name="النسبة المطلوب زيادتها في أكتوبر 2026 لتجنب / الخروج من التعثر" dataDxfId="535" totalsRowDxfId="534" dataCellStyle="Percent">
      <calculatedColumnFormula>Table1[[#This Row],[نسبة الانجاز التراكمي المطلوب لتجنب التعثر]]-Table1[[#This Row],[المنفذ % التراكمي]]</calculatedColumnFormula>
    </tableColumn>
    <tableColumn id="28" xr3:uid="{0B5C90F7-2F38-40E7-8BD1-A0E4E294486B}" name="نسبة الإنجاز المتبقية %" dataDxfId="533" totalsRowDxfId="532" dataCellStyle="Percent"/>
    <tableColumn id="30" xr3:uid="{D9221634-D25A-44B9-8C75-AF7BDC1C8E98}" name="نسبة المدة المتبقية %" dataDxfId="531" totalsRowDxfId="530" dataCellStyle="Percent"/>
    <tableColumn id="15" xr3:uid="{7806B26D-F104-43F8-A86D-8316AA3AB079}" name="نسبة المدة المنقضية %" dataDxfId="529" totalsRowDxfId="528" dataCellStyle="Percent"/>
    <tableColumn id="72" xr3:uid="{6A5B6701-02A5-4282-BEA5-67514ABA266F}" name="Recovery Schedule Unifier" dataDxfId="527" totalsRowDxfId="526" dataCellStyle="Percent"/>
    <tableColumn id="21" xr3:uid="{B7CC5F10-FA26-46CF-B360-FFDD8F7C0F70}" name="موقف تقديم الخطة التصحيحية" dataDxfId="525" totalsRowDxfId="524" dataCellStyle="Comma"/>
    <tableColumn id="33" xr3:uid="{C797A90B-125D-4AFC-B591-7AFDAE1316AD}" name="SPI" dataDxfId="523" totalsRowDxfId="522" dataCellStyle="Comma"/>
    <tableColumn id="35" xr3:uid="{D11EAD9F-AA4F-41C5-BDCB-E50DD32AFF2E}" name="مدة المشروع المنقضية بالشهور" dataDxfId="521" totalsRowDxfId="520" dataCellStyle="Comma"/>
    <tableColumn id="34" xr3:uid="{7463C1FA-BBB8-43C3-9786-75E13D90D696}" name="مدة المشروع المتبقية بالشهور" dataDxfId="519" totalsRowDxfId="518" dataCellStyle="Comma"/>
    <tableColumn id="45" xr3:uid="{ECBE4A06-C8D4-4BA9-A3E5-60A7606C3E2D}" name="مدة المشروع بالايام" dataDxfId="517" totalsRowDxfId="516" dataCellStyle="Comma"/>
    <tableColumn id="23" xr3:uid="{50C713E8-2805-4DE1-83BC-CC947BB0FBB7}" name="مدة المشروع الكلية بالشهور" dataDxfId="515" totalsRowDxfId="514">
      <calculatedColumnFormula>#REF!-Table1[[#This Row],[بداية المشروع التعاقدية]]</calculatedColumnFormula>
    </tableColumn>
    <tableColumn id="16" xr3:uid="{FB2F6917-2280-460F-B7AA-23AC89BFF436}" name="125%من مدة المشروع" dataDxfId="513" totalsRowDxfId="512" dataCellStyle="Percent">
      <calculatedColumnFormula>1.25*Table1[[#This Row],[مدة المشروع الكلية بالشهور]]</calculatedColumnFormula>
    </tableColumn>
    <tableColumn id="14" xr3:uid="{C017C33D-EC20-439F-ABA8-830EC25C93B8}" name="تاريخ دخول المشروع التعثر بالمدة المنقضية" dataDxfId="511" totalsRowDxfId="510"/>
    <tableColumn id="54" xr3:uid="{78F0C710-9693-4A63-8E68-B4A584ECF4C5}" name="PV" dataDxfId="509" totalsRowDxfId="508">
      <calculatedColumnFormula>Table1[[#This Row],[قيمة المشروع بالضريبة]]*Table1[[#This Row],[المخطط % التراكمي]]</calculatedColumnFormula>
    </tableColumn>
    <tableColumn id="55" xr3:uid="{43DA2816-D713-491D-B698-E117DB51DAEF}" name="EV" dataDxfId="507" totalsRowDxfId="506">
      <calculatedColumnFormula>Table1[[#This Row],[قيمة المشروع بالضريبة]]*Table1[[#This Row],[المنفذ % التراكمي]]</calculatedColumnFormula>
    </tableColumn>
    <tableColumn id="52" xr3:uid="{BB42ED95-977B-484D-8AF2-AAC3B0F89529}" name="Remaining Budget" dataDxfId="505" totalsRowDxfId="504"/>
    <tableColumn id="53" xr3:uid="{52CAE3DD-13F8-46EC-93BF-17DAE0D326DD}" name="Suspended Budget" dataDxfId="503" totalsRowDxfId="502"/>
    <tableColumn id="56" xr3:uid="{2BA1C907-E187-49FD-8226-5B8A5DA33792}" name="% Suspension" dataDxfId="501" totalsRowDxfId="500"/>
  </tableColumns>
  <tableStyleInfo name="TableStyleLight2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44816F-CCBE-4175-91A0-F2812BF932DC}" name="Table13" displayName="Table13" ref="A2:BN50" totalsRowShown="0" headerRowDxfId="261" dataDxfId="259" totalsRowDxfId="257" headerRowBorderDxfId="260" tableBorderDxfId="258" totalsRowBorderDxfId="256" totalsRowCellStyle="Comma">
  <autoFilter ref="A2:BN50" xr:uid="{4F651188-A6C9-4DE8-A136-7EC6125A397C}">
    <filterColumn colId="53">
      <filters>
        <filter val="❌"/>
      </filters>
    </filterColumn>
  </autoFilter>
  <sortState xmlns:xlrd2="http://schemas.microsoft.com/office/spreadsheetml/2017/richdata2" ref="A3:BN50">
    <sortCondition ref="R2:R50"/>
  </sortState>
  <tableColumns count="66">
    <tableColumn id="1" xr3:uid="{4F84EB3F-7D2E-4B50-A6CA-748CB1CD81FE}" name="SN" dataDxfId="255" totalsRowDxfId="254">
      <calculatedColumnFormula>SUBTOTAL(3,$D$3:D3)</calculatedColumnFormula>
    </tableColumn>
    <tableColumn id="8" xr3:uid="{BE15D7BE-1C89-4966-B189-B1E35A950C97}" name="Project no." dataDxfId="253" totalsRowDxfId="252"/>
    <tableColumn id="24" xr3:uid="{1D893F87-C510-4811-92DA-BA0D332B5DA3}" name="Project Operational Number" dataDxfId="251" totalsRowDxfId="250"/>
    <tableColumn id="2" xr3:uid="{EE107A57-8E76-4D37-A499-F18E9EAA8459}" name="PO" dataDxfId="249" totalsRowDxfId="248"/>
    <tableColumn id="3" xr3:uid="{3788BE92-A202-4EEB-9186-8253237B2D9C}" name="اسم المشروع" dataDxfId="247" totalsRowDxfId="246"/>
    <tableColumn id="40" xr3:uid="{B122AC5F-043F-42E4-AA6A-9F23A74147DF}" name="تصنيف المشروع" dataDxfId="245" totalsRowDxfId="244"/>
    <tableColumn id="27" xr3:uid="{208840D2-DC1E-4323-8582-70EA5B86DECD}" name="مدير البرنامج" dataDxfId="243" totalsRowDxfId="242"/>
    <tableColumn id="17" xr3:uid="{501E0611-C689-4BA1-A334-6B709089F2DF}" name="مدير المشروع" dataDxfId="241" totalsRowDxfId="240"/>
    <tableColumn id="4" xr3:uid="{54034E35-7142-4851-95EF-E0ED006DB123}" name="المقاول " dataDxfId="239" totalsRowDxfId="238"/>
    <tableColumn id="37" xr3:uid="{76055949-9AC7-429D-A229-9F7BFEC8EF28}" name="الإستشاري" dataDxfId="237" totalsRowDxfId="236"/>
    <tableColumn id="5" xr3:uid="{F0A5F4ED-C889-45CC-B1D3-A4EAB12A832C}" name="نوعه" dataDxfId="235" totalsRowDxfId="234"/>
    <tableColumn id="59" xr3:uid="{ECC3D313-2FB2-4038-8D53-7A79E3DAD012}" name="مدة التوقف عن العمل بالشهور" dataDxfId="233" totalsRowDxfId="232"/>
    <tableColumn id="43" xr3:uid="{47451738-2430-4A74-8649-20B7396ECC81}" name="موقف البرنامج الزمني" dataDxfId="231" totalsRowDxfId="230"/>
    <tableColumn id="44" xr3:uid="{5188C0F5-ECCE-4645-AA4C-C54D193C3961}" name="موقف التأثر بالأسفلت" dataDxfId="229" totalsRowDxfId="228"/>
    <tableColumn id="51" xr3:uid="{6B6E7FEC-401F-4C9D-A5D9-2DAB5A43D689}" name="نسبة الإيقاف%" dataDxfId="227" totalsRowDxfId="226" dataCellStyle="Percent"/>
    <tableColumn id="6" xr3:uid="{616BF6AA-D451-4132-95B9-B29AF0E36E6F}" name="موقف المشروع" dataDxfId="225" totalsRowDxfId="224"/>
    <tableColumn id="61" xr3:uid="{B192FED6-0ECF-4AED-9427-185547F13042}" name="حالة المشروع الإسبوع السابق" dataDxfId="223" totalsRowDxfId="222"/>
    <tableColumn id="18" xr3:uid="{F82C4F99-754E-44B6-A2D8-C02A625B197B}" name="حالة المشروع" dataDxfId="221" totalsRowDxfId="220" dataCellStyle="Comma"/>
    <tableColumn id="7" xr3:uid="{6B933F12-2EDD-4E2A-B523-C0B84DCE73A5}" name="بداية المشروع التعاقدية" dataDxfId="219" totalsRowDxfId="218"/>
    <tableColumn id="38" xr3:uid="{F0E37350-DF17-44B6-82B2-B1389B4635A5}" name="نهاية المشروع التعاقدية" dataDxfId="217" totalsRowDxfId="216"/>
    <tableColumn id="49" xr3:uid="{7674B26A-8E7E-4D4A-83AB-42DE45574A0C}" name="نهاية المشروع المعدلة EPPM" dataDxfId="215" totalsRowDxfId="214"/>
    <tableColumn id="39" xr3:uid="{91204F45-7396-49B9-9A38-0C83B6450B97}" name="نهاية المشروع المعدلة PMO LIVE" dataDxfId="213"/>
    <tableColumn id="50" xr3:uid="{8D01C14F-6762-4A27-8641-E9B5114CD512}" name="التباين" dataDxfId="212" totalsRowDxfId="211">
      <calculatedColumnFormula>Table13[[#This Row],[نهاية المشروع المعدلة PMO LIVE]]-Table13[[#This Row],[نهاية المشروع المعدلة EPPM]]</calculatedColumnFormula>
    </tableColumn>
    <tableColumn id="60" xr3:uid="{90A916F3-5A6B-46F6-BF4A-4ACC0FB16978}" name="السبب" dataDxfId="210" totalsRowDxfId="209"/>
    <tableColumn id="9" xr3:uid="{9E1C5EE5-8125-45D1-928A-F0E38182FA52}" name="النهاية طبقاً للتحديث الاسبوعي السابق" dataDxfId="208" totalsRowDxfId="207" dataCellStyle="Comma"/>
    <tableColumn id="19" xr3:uid="{B61BCF07-9565-473E-B70D-63D68CF075C0}" name="النهاية طبقاً للتحديث الاسبوعي الحالي" dataDxfId="206" totalsRowDxfId="205">
      <calculatedColumnFormula>_xlfn.XLOOKUP(Table13[[#This Row],[PO]],Table156101114[PO],Table156101114[[النهاية المتوقعة ]],0)</calculatedColumnFormula>
    </tableColumn>
    <tableColumn id="73" xr3:uid="{B2F6E474-6D75-44A2-8C8B-A8A20593C9E2}" name="الفرق بين النهايات المتوقعة خلال الإسبوع" dataDxfId="204" totalsRowDxfId="203">
      <calculatedColumnFormula>Table13[[#This Row],[النهاية طبقاً للتحديث الاسبوعي الحالي]]-Table13[[#This Row],[النهاية طبقاً للتحديث الاسبوعي السابق]]</calculatedColumnFormula>
    </tableColumn>
    <tableColumn id="42" xr3:uid="{0C4F6EE6-F91D-49D4-90EC-4C13A8579BD2}" name="قيمة المشروع بدون ضريبة" dataDxfId="202" totalsRowDxfId="201" dataCellStyle="Comma"/>
    <tableColumn id="10" xr3:uid="{C3A1C3F7-5D0A-4E64-B707-6184E3FDC5C4}" name="قيمة المشروع بالضريبة" dataDxfId="200" totalsRowDxfId="199" dataCellStyle="Comma"/>
    <tableColumn id="25" xr3:uid="{CE0095BC-3A5B-46B5-8CC2-92D2C68CBFA6}" name="المخطط % - الإسبوع السابق " dataDxfId="198" dataCellStyle="Comma"/>
    <tableColumn id="20" xr3:uid="{A649770D-35CF-4D1A-B801-2E7994F91971}" name="المنفذ % - الإسبوع السابق" dataDxfId="197" totalsRowDxfId="196" dataCellStyle="Comma"/>
    <tableColumn id="11" xr3:uid="{058841F7-6142-483A-B3BC-EAF8B63FFCE8}" name="المخطط % التراكمي" dataDxfId="195" totalsRowDxfId="194" dataCellStyle="Comma">
      <calculatedColumnFormula>_xlfn.XLOOKUP(Table13[[#This Row],[PO]],Table156101114[PO],Table156101114[المخطط % 15 اكتوبر2026],0)</calculatedColumnFormula>
    </tableColumn>
    <tableColumn id="12" xr3:uid="{925E5021-55E7-4E96-97F0-942713799F75}" name="المنفذ % التراكمي" dataDxfId="193" totalsRowDxfId="192" dataCellStyle="Comma">
      <calculatedColumnFormula>_xlfn.XLOOKUP(Table13[[#This Row],[PO]],Table156101114[PO],Table156101114[Act %],0)</calculatedColumnFormula>
    </tableColumn>
    <tableColumn id="46" xr3:uid="{4A9A20CB-F5C4-4A85-B53D-CA78DBDED986}" name="المخطط خلال الإسبوع" dataDxfId="191" totalsRowDxfId="190" dataCellStyle="Comma">
      <calculatedColumnFormula>Table13[[#This Row],[المخطط % التراكمي]]-Table13[[#This Row],[المخطط % - الإسبوع السابق ]]</calculatedColumnFormula>
    </tableColumn>
    <tableColumn id="26" xr3:uid="{C03F8DCB-FAEE-4542-AF88-EA9FD367B0BF}" name="المنفذ خلال الإسبوع %" dataDxfId="189" totalsRowDxfId="188">
      <calculatedColumnFormula>Table13[[#This Row],[المنفذ % التراكمي]]-Table13[[#This Row],[المنفذ % - الإسبوع السابق]]</calculatedColumnFormula>
    </tableColumn>
    <tableColumn id="13" xr3:uid="{613A3B2D-DBEC-466E-8D33-42CA20830171}" name="الفرق بين المخطط و الفعلي" dataDxfId="187" totalsRowDxfId="186" dataCellStyle="Comma">
      <calculatedColumnFormula>Table13[[#This Row],[المنفذ % التراكمي]]-Table13[[#This Row],[المخطط % التراكمي]]</calculatedColumnFormula>
    </tableColumn>
    <tableColumn id="31" xr3:uid="{6F7AA8B7-3B94-43EE-B8CD-E68757AFD701}" name="المخطط % بالخطة التصحيحية  - الإسبوع الحالي" dataDxfId="185" totalsRowDxfId="184"/>
    <tableColumn id="29" xr3:uid="{589C9852-0D7B-4D60-840A-25F810978EBF}" name="المنفذ % الفعلي بالخطة - الإسبوع الحالي" dataDxfId="183" totalsRowDxfId="182"/>
    <tableColumn id="62" xr3:uid="{4E75B590-929C-4717-A063-A9F2138AD904}" name="استحقاق خطاب حث 05%" dataDxfId="181" totalsRowDxfId="180"/>
    <tableColumn id="64" xr3:uid="{0A0CE2B8-BDF9-47BD-9B37-FF1A5D45DEDD}" name="استحقاق خطاب حث 15%" dataDxfId="179" totalsRowDxfId="178"/>
    <tableColumn id="65" xr3:uid="{AEE86BA9-ECDE-4CDA-855D-D643C5EDC1F2}" name="استحقاق انذار اول 20%" dataDxfId="177" totalsRowDxfId="176"/>
    <tableColumn id="66" xr3:uid="{F64583F3-0BAF-498E-AAC6-E89536B928F4}" name="استحقاق انذار نهائي" dataDxfId="175" totalsRowDxfId="174"/>
    <tableColumn id="32" xr3:uid="{808FDBEF-C20F-43F7-B3B2-87E8CCEFD313}" name="T.F" dataDxfId="173" totalsRowDxfId="172">
      <calculatedColumnFormula>_xlfn.XLOOKUP(Table13[[#This Row],[PO]],Table156101114[PO],Table156101114[TF],0)</calculatedColumnFormula>
    </tableColumn>
    <tableColumn id="36" xr3:uid="{8D8B771E-CF51-4E95-8E05-A61EC7A78B6C}" name="متوسط نسبة الإنجازالمطلوبة شهريا %" dataDxfId="171" totalsRowDxfId="170" dataCellStyle="Percent">
      <calculatedColumnFormula>Table13[[#This Row],[نسبة الإنجاز المتبقية %]]/(Table13[[#This Row],[مدة المشروع المتبقية بالشهور]])</calculatedColumnFormula>
    </tableColumn>
    <tableColumn id="41" xr3:uid="{8188F373-C511-454F-A5B4-B862B116383F}" name="نسبة المخطط التراكمي حتى 31 أكتوبر 2026" dataDxfId="169" dataCellStyle="Percent"/>
    <tableColumn id="58" xr3:uid="{307336A0-4364-4473-9343-36186F0DE7D2}" name="نسبة الانجاز التراكمي المطلوب للإنتظام" dataDxfId="168" dataCellStyle="Percent">
      <calculatedColumnFormula>Table13[[#This Row],[نسبة المخطط التراكمي حتى 31 أكتوبر 2026]]-9.9%</calculatedColumnFormula>
    </tableColumn>
    <tableColumn id="57" xr3:uid="{6521E2B4-4E2C-47FA-BBC7-EDBA4036ED42}" name="النسبة المطلوب زيادتها في أكتوبر 2026 للإنتظام" dataDxfId="167" dataCellStyle="Percent">
      <calculatedColumnFormula>Table13[[#This Row],[نسبة الانجاز التراكمي المطلوب للإنتظام]]-Table13[[#This Row],[المنفذ % التراكمي]]</calculatedColumnFormula>
    </tableColumn>
    <tableColumn id="47" xr3:uid="{D88C3E98-C2A0-4624-A013-A6DC62B43260}" name="نسبة الانجاز التراكمي المطلوب لتجنب التعثر" dataDxfId="166" dataCellStyle="Percent">
      <calculatedColumnFormula>Table13[[#This Row],[نسبة المخطط التراكمي حتى 31 أكتوبر 2026]]-24.9%</calculatedColumnFormula>
    </tableColumn>
    <tableColumn id="48" xr3:uid="{12A6B416-0CF0-4F18-B662-954E203A5F85}" name="النسبة المطلوب زيادتها في أكتوبر 2026 لتجنب / الخروج من التعثر" dataDxfId="165" totalsRowDxfId="164" dataCellStyle="Percent">
      <calculatedColumnFormula>Table13[[#This Row],[نسبة الانجاز التراكمي المطلوب لتجنب التعثر]]-Table13[[#This Row],[المنفذ % التراكمي]]</calculatedColumnFormula>
    </tableColumn>
    <tableColumn id="28" xr3:uid="{31DDA14D-51C4-4798-8BC3-D3BA735E79E4}" name="نسبة الإنجاز المتبقية %" dataDxfId="163" totalsRowDxfId="162" dataCellStyle="Percent">
      <calculatedColumnFormula>100%-Table13[[#This Row],[المنفذ % التراكمي]]</calculatedColumnFormula>
    </tableColumn>
    <tableColumn id="30" xr3:uid="{FF26CFF3-6FDA-4D92-9A4C-2C7B0835C335}" name="نسبة المدة المتبقية %" dataDxfId="161" totalsRowDxfId="160" dataCellStyle="Percent">
      <calculatedColumnFormula>100%-Table13[[#This Row],[نسبة المدة المنقضية %]]</calculatedColumnFormula>
    </tableColumn>
    <tableColumn id="15" xr3:uid="{D02FDE6A-02D3-4FD5-9D18-A5F85701D226}" name="نسبة المدة المنقضية %" dataDxfId="159" totalsRowDxfId="158" dataCellStyle="Percent">
      <calculatedColumnFormula>_xlfn.XLOOKUP(Table13[[#This Row],[PO]],Table156101114[PO],Table156101114[المدة المنقضية],0)</calculatedColumnFormula>
    </tableColumn>
    <tableColumn id="72" xr3:uid="{3A490928-B9DE-4303-8D86-2D99689E379C}" name="Recovery Schedule Unifier" dataDxfId="157" totalsRowDxfId="156" dataCellStyle="Percent"/>
    <tableColumn id="21" xr3:uid="{FC2AF9B5-D8D7-40AB-A21A-70E682C44697}" name="موقف تقديم الخطة التصحيحية" dataDxfId="155" totalsRowDxfId="154" dataCellStyle="Comma"/>
    <tableColumn id="33" xr3:uid="{FD9C30DA-CF28-4715-ABA9-9DE898393B50}" name="SPI" dataDxfId="153" totalsRowDxfId="152" dataCellStyle="Comma">
      <calculatedColumnFormula>_xlfn.XLOOKUP(Table13[[#This Row],[PO]],Table156101114[PO],Table156101114[SPI],0)</calculatedColumnFormula>
    </tableColumn>
    <tableColumn id="35" xr3:uid="{4316F07A-02FB-4190-9D20-825781BCC27F}" name="مدة المشروع المنقضية بالشهور" dataDxfId="151" totalsRowDxfId="150" dataCellStyle="Comma">
      <calculatedColumnFormula>Table13[[#This Row],[نسبة المدة المنقضية %]]*Table13[[#This Row],[مدة المشروع الكلية بالشهور]]</calculatedColumnFormula>
    </tableColumn>
    <tableColumn id="34" xr3:uid="{59EE0ABA-8FCB-42E2-90C4-A1FF37E7C7E5}" name="مدة المشروع المتبقية بالشهور" dataDxfId="149" totalsRowDxfId="148" dataCellStyle="Comma">
      <calculatedColumnFormula>Table13[[#This Row],[نسبة المدة المتبقية %]]*Table13[[#This Row],[مدة المشروع الكلية بالشهور]]</calculatedColumnFormula>
    </tableColumn>
    <tableColumn id="45" xr3:uid="{ABF8ADCC-FC3F-4E1E-AFB4-A7116013E66B}" name="مدة المشروع بالايام" dataDxfId="147" totalsRowDxfId="146" dataCellStyle="Comma">
      <calculatedColumnFormula>(Table13[[#This Row],[نهاية المشروع المعدلة PMO LIVE]]-Table13[[#This Row],[بداية المشروع التعاقدية]])</calculatedColumnFormula>
    </tableColumn>
    <tableColumn id="23" xr3:uid="{14AFCAF1-4F76-4908-ACD0-24ABDB1B946C}" name="مدة المشروع الكلية بالشهور" dataDxfId="145" totalsRowDxfId="144">
      <calculatedColumnFormula>(Table13[[#This Row],[نهاية المشروع المعدلة PMO LIVE]]-Table13[[#This Row],[بداية المشروع التعاقدية]])/30</calculatedColumnFormula>
    </tableColumn>
    <tableColumn id="16" xr3:uid="{739E2E6E-8C51-4E99-8F93-F5983BB85B67}" name="125%من مدة المشروع" dataDxfId="143" totalsRowDxfId="142" dataCellStyle="Percent">
      <calculatedColumnFormula>1.25*Table13[[#This Row],[مدة المشروع بالايام]]</calculatedColumnFormula>
    </tableColumn>
    <tableColumn id="14" xr3:uid="{B99B5428-BB9F-46F3-BC00-230F05253A20}" name="تاريخ دخول المشروع التعثر بالمدة المنقضية" dataDxfId="141" totalsRowDxfId="140">
      <calculatedColumnFormula>Table13[[#This Row],[125%من مدة المشروع]]+Table13[[#This Row],[بداية المشروع التعاقدية]]</calculatedColumnFormula>
    </tableColumn>
    <tableColumn id="54" xr3:uid="{A7DF9DA3-C918-4FC8-B069-111D07E9760F}" name="PV" dataDxfId="139" totalsRowDxfId="138">
      <calculatedColumnFormula>Table13[[#This Row],[قيمة المشروع بالضريبة]]*Table13[[#This Row],[المخطط % التراكمي]]</calculatedColumnFormula>
    </tableColumn>
    <tableColumn id="55" xr3:uid="{7FAE6AB2-E024-4708-88EE-51668F9AD37C}" name="EV" dataDxfId="137" totalsRowDxfId="136">
      <calculatedColumnFormula>Table13[[#This Row],[قيمة المشروع بالضريبة]]*Table13[[#This Row],[المنفذ % التراكمي]]</calculatedColumnFormula>
    </tableColumn>
    <tableColumn id="52" xr3:uid="{45D864C4-DFE2-40F3-AC35-A71CBE6A4F43}" name="Remaining Budget" dataDxfId="135" totalsRowDxfId="134">
      <calculatedColumnFormula>Table13[[#This Row],[نسبة الإنجاز المتبقية %]]*Table13[[#This Row],[قيمة المشروع بالضريبة]]</calculatedColumnFormula>
    </tableColumn>
    <tableColumn id="53" xr3:uid="{72A5FF28-D489-4B3E-9C1E-4B73F118BC92}" name="Suspended Budget" dataDxfId="133" totalsRowDxfId="132">
      <calculatedColumnFormula>Table13[[#This Row],[نسبة الإيقاف%]]*Table13[[#This Row],[قيمة المشروع بالضريبة]]</calculatedColumnFormula>
    </tableColumn>
    <tableColumn id="56" xr3:uid="{B58C33E8-99B9-4DAB-8C86-C80ABA750606}" name="% Suspension" dataDxfId="131" totalsRowDxfId="130">
      <calculatedColumnFormula>Table13[[#This Row],[Suspended Budget]]/Table13[[#This Row],[Remaining Budget]]</calculatedColumnFormula>
    </tableColumn>
  </tableColumns>
  <tableStyleInfo name="TableStyleLight20"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17E1FC-AD8D-49BE-9262-B0D187121F26}" name="Table5" displayName="Table5" ref="A1:Y21" totalsRowShown="0" headerRowDxfId="129" dataDxfId="127" headerRowBorderDxfId="128" tableBorderDxfId="126" totalsRowBorderDxfId="125">
  <autoFilter ref="A1:Y21" xr:uid="{E017E1FC-AD8D-49BE-9262-B0D187121F26}"/>
  <tableColumns count="25">
    <tableColumn id="1" xr3:uid="{FF3F4FCA-A743-44EA-83DE-1443DC508757}" name="#" dataDxfId="124">
      <calculatedColumnFormula>SUBTOTAL(3,$D$2:D2)</calculatedColumnFormula>
    </tableColumn>
    <tableColumn id="2" xr3:uid="{E1FD88B8-DD70-4D74-A9F8-4D3DAECBF83B}" name="امر الشراء" dataDxfId="123"/>
    <tableColumn id="3" xr3:uid="{8409C95C-7F00-45BC-B7A0-A0D5F7153570}" name="إسم المشروع" dataDxfId="122">
      <calculatedColumnFormula>_xlfn.XLOOKUP(B2,Table4[PO],Table4[اسم المشروع],0)</calculatedColumnFormula>
    </tableColumn>
    <tableColumn id="4" xr3:uid="{451067C5-32EE-4506-B2A8-0B425CD04321}" name="اسم المقاول" dataDxfId="121">
      <calculatedColumnFormula>_xlfn.XLOOKUP(B2,Table4[PO],Table4[[المقاول ]],0)</calculatedColumnFormula>
    </tableColumn>
    <tableColumn id="5" xr3:uid="{C869C937-2EA2-4B25-BB85-3E54BF8A081E}" name="قيمة العقد المعدلة مع الضريبة (مليون)" dataDxfId="120" dataCellStyle="Comma">
      <calculatedColumnFormula>_xlfn.XLOOKUP(B2,Table4[PO],Table4[قيمة المشروع بالضريبة],0)</calculatedColumnFormula>
    </tableColumn>
    <tableColumn id="6" xr3:uid="{02F3987B-0A02-4293-B65C-8D42C60FC9CA}" name="تاريخ بدء العقد" dataDxfId="119">
      <calculatedColumnFormula>_xlfn.XLOOKUP(B2,Table4[PO],Table4[بداية المشروع التعاقدية],0)</calculatedColumnFormula>
    </tableColumn>
    <tableColumn id="7" xr3:uid="{A07CDFA0-A234-49A3-9FC0-DE8F1D5D06BB}" name="تاريخ نهاية العقد" dataDxfId="118">
      <calculatedColumnFormula>_xlfn.XLOOKUP(B2,Table4[PO],Table4[نهاية المشروع المعدلة PMO LIVE],0)</calculatedColumnFormula>
    </tableColumn>
    <tableColumn id="8" xr3:uid="{A06DE18E-20D3-4FEC-B876-A67C9F6D4A47}" name="نسبة الإيقاف (%)" dataDxfId="117" dataCellStyle="Percent">
      <calculatedColumnFormula>_xlfn.XLOOKUP(B2,Table1[PO],Table1[نسبة الإيقاف%],0)</calculatedColumnFormula>
    </tableColumn>
    <tableColumn id="9" xr3:uid="{AD89CEAA-8A35-43BD-A300-32844C86E54A}" name="الفعلي الإسبوع السابق (%)" dataDxfId="116" dataCellStyle="Percent">
      <calculatedColumnFormula>_xlfn.XLOOKUP(B2,Table1[PO],Table1[المنفذ % - الإسبوع السابق],0)</calculatedColumnFormula>
    </tableColumn>
    <tableColumn id="10" xr3:uid="{8D95D652-5F5C-48B4-BF50-0629BF97B073}" name="نسبة الإنجاز المخطط (%)" dataDxfId="115" dataCellStyle="Percent">
      <calculatedColumnFormula>_xlfn.XLOOKUP(B2,Table4[PO],Table4[المخطط % التراكمي],0)</calculatedColumnFormula>
    </tableColumn>
    <tableColumn id="11" xr3:uid="{DF2EC37C-1097-4CBA-ABCA-A931279A6D29}" name="نسبة الإنجاز الفعلي (%)" dataDxfId="114" dataCellStyle="Percent">
      <calculatedColumnFormula>_xlfn.XLOOKUP(B2,Table4[PO],Table4[المنفذ % التراكمي],0)</calculatedColumnFormula>
    </tableColumn>
    <tableColumn id="12" xr3:uid="{D90BC31D-00BD-4E54-A25B-E432EF3D4C6F}" name="تباين البرنامج الزمني (%)" dataDxfId="113" dataCellStyle="Percent">
      <calculatedColumnFormula>K2-J2</calculatedColumnFormula>
    </tableColumn>
    <tableColumn id="13" xr3:uid="{5E1D650B-8E02-4B38-B202-16CD1C743747}" name="وضع المشروع" dataDxfId="112" dataCellStyle="Comma">
      <calculatedColumnFormula>_xlfn.XLOOKUP(B2,Table4[PO],Table4[حالة المشروع],0)</calculatedColumnFormula>
    </tableColumn>
    <tableColumn id="14" xr3:uid="{26A273A9-C325-4191-8300-90A466DFABA0}" name="نسبة المخطط التراكمي حتى 31 يوليو 2026" dataDxfId="111" dataCellStyle="Percent">
      <calculatedColumnFormula>_xlfn.XLOOKUP(B2,Table4[PO],Table4[نسبة المخطط التراكمي حتى 31 اكتوبر 2026],0)</calculatedColumnFormula>
    </tableColumn>
    <tableColumn id="15" xr3:uid="{E79C602A-5342-419F-A5BB-4899AD6C9B98}" name="النسبة المطلوب زيادتها في يوليو 2026 للإنتظام" dataDxfId="110" dataCellStyle="Percent">
      <calculatedColumnFormula>_xlfn.XLOOKUP(B2,Table4[PO],Table4[النسبة المطلوب زيادتها في اكتوبر 2026 للإنتظام],0)</calculatedColumnFormula>
    </tableColumn>
    <tableColumn id="16" xr3:uid="{1B60E74E-6394-4873-A553-36370C74BC91}" name="تاريخ التسليم الإبتدائي المتوقع " dataDxfId="109" dataCellStyle="Comma">
      <calculatedColumnFormula>G2+60</calculatedColumnFormula>
    </tableColumn>
    <tableColumn id="17" xr3:uid="{D3AC7A7A-B802-47F5-B287-1A1931FBF751}" name="نسبة المدة المنقضية %" dataDxfId="108" dataCellStyle="Percent">
      <calculatedColumnFormula>_xlfn.XLOOKUP(B2,Table4[PO],Table4[نسبة المدة المنقضية %],0)</calculatedColumnFormula>
    </tableColumn>
    <tableColumn id="18" xr3:uid="{F0D3A188-615F-4182-8CFD-6C045B6EFAB9}" name="معايير تقييم الأداء المنخفض " dataDxfId="107" dataCellStyle="Percent"/>
    <tableColumn id="19" xr3:uid="{9FBDA90E-41FD-4EBC-B329-E46B324FDD41}" name="سبب ضعف الاداء"/>
    <tableColumn id="20" xr3:uid="{CD23A99F-0BE1-4DA7-AB59-C1ADFD87A2E7}" name="ملخص خطة المعالجة" dataDxfId="106" dataCellStyle="Comma">
      <calculatedColumnFormula>_xlfn.XLOOKUP(B2,Table4[PO],Table4[ملخص خطة المعالجة],0)</calculatedColumnFormula>
    </tableColumn>
    <tableColumn id="21" xr3:uid="{FEEF8A9C-8ADC-40C7-B0E5-D0F60F5CFA2B}" name="الإجراء الفني للمشروع" dataDxfId="105">
      <calculatedColumnFormula>_xlfn.XLOOKUP(B2,Table4[PO],Table4[الإجراء الفني الحالي],0)</calculatedColumnFormula>
    </tableColumn>
    <tableColumn id="22" xr3:uid="{CDEA05B0-3852-4B29-959B-8A46B70A6EEF}" name="الإجراء الإداري للمشروع" dataDxfId="104">
      <calculatedColumnFormula>_xlfn.XLOOKUP(B2,Table4[PO],Table4[الإجراءات الإدارية للمشاريع],0)</calculatedColumnFormula>
    </tableColumn>
    <tableColumn id="23" xr3:uid="{2125C8C8-709C-4F53-BDDD-C74DA5E223DE}" name="اخر تحديث الإجراء الإداري للمشروع" dataDxfId="103">
      <calculatedColumnFormula>_xlfn.XLOOKUP(B2,Table4[PO],Table4[اخر تحديث الإجراء الإداري الحالي للمشروع],0)</calculatedColumnFormula>
    </tableColumn>
    <tableColumn id="24" xr3:uid="{8EFC940F-184C-44D4-946D-0968FD325D6D}" name="التاريخ المخطط لخروج المشروع من التأخر / التعثر"/>
    <tableColumn id="25" xr3:uid="{A532156A-0C40-4941-A2D8-746D2A91831F}" name="التاريخ المتوقع للتأخر/ للتعثر" dataDxfId="102">
      <calculatedColumnFormula>_xlfn.XLOOKUP(B2,Table4[PO],Table4[التاريخ المتوقع للتأخر - متوسط نسب انجاز],0)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6812B3-B64B-4A3C-8A25-0C46EE1D5655}" name="Table156101114" displayName="Table156101114" ref="B1:S53" totalsRowShown="0" headerRowDxfId="101" dataDxfId="99" headerRowBorderDxfId="100" tableBorderDxfId="98" totalsRowBorderDxfId="97">
  <autoFilter ref="B1:S53" xr:uid="{128AAE4F-BF01-4273-8C30-9C3D24255DC6}"/>
  <tableColumns count="18">
    <tableColumn id="1" xr3:uid="{0FFEF6A0-611E-4765-9129-AA179958FEB3}" name="اسم المشروع" dataDxfId="96"/>
    <tableColumn id="2" xr3:uid="{FA04FC49-81E6-4921-BA2F-C720092FC49E}" name="اسم المقاول " dataDxfId="95"/>
    <tableColumn id="3" xr3:uid="{44E8820A-1A2B-48BF-9143-952EC464AD86}" name="PO" dataDxfId="94"/>
    <tableColumn id="4" xr3:uid="{45073C95-EADB-45CF-BE35-326AADAA7795}" name="التصنيف " dataDxfId="93"/>
    <tableColumn id="25" xr3:uid="{FAA78F4B-FC65-445E-9B2E-75F1FF3B5CF3}" name="البرنامج" dataDxfId="92"/>
    <tableColumn id="5" xr3:uid="{505A44C3-48A9-405C-A1B5-8802DBE20235}" name="موقف المشروع" dataDxfId="91"/>
    <tableColumn id="6" xr3:uid="{D87B6988-7476-47B7-B986-F446A1C85B8B}" name="البداية التعاقدية المشروع" dataDxfId="90"/>
    <tableColumn id="7" xr3:uid="{06B110ED-DFF4-44DC-829C-15220B726070}" name="النهاية المعدلة للمشروع" dataDxfId="89"/>
    <tableColumn id="12" xr3:uid="{C33B8837-A65F-4DA2-A5E6-902E81249E34}" name="النهاية المتوقعة " dataDxfId="88"/>
    <tableColumn id="14" xr3:uid="{FA6FA76F-9147-41A0-AF77-7A3913F1A57B}" name="TF" dataDxfId="87"/>
    <tableColumn id="9" xr3:uid="{AA525441-29CE-485E-A9F4-6F2939441203}" name="مدة المشروع بالايام" dataDxfId="86" dataCellStyle="Comma"/>
    <tableColumn id="10" xr3:uid="{3791E53C-D2E2-4A35-B0E6-FF39145DCFC8}" name="قيمة المشروع" dataDxfId="85"/>
    <tableColumn id="11" xr3:uid="{9377B759-900E-4E88-8273-9FE48EA310CB}" name="المخطط % 15 اكتوبر2026" dataDxfId="84"/>
    <tableColumn id="13" xr3:uid="{99962AE4-D09C-480D-AF6F-551B49303FF6}" name="Act %" dataDxfId="83"/>
    <tableColumn id="15" xr3:uid="{69063F8E-CD02-4A56-AF47-A6DEF23F1B9F}" name="فرق النسب" dataDxfId="82"/>
    <tableColumn id="17" xr3:uid="{DF2BF6DD-DE9B-49C2-83B9-DACE50E01A37}" name="حالة المشروع" dataDxfId="81"/>
    <tableColumn id="18" xr3:uid="{D50B2510-A728-43E0-A5ED-95D3105A2809}" name="المدة المنقضية" dataDxfId="80">
      <calculatedColumnFormula>IFERROR(N2/M2,"1")</calculatedColumnFormula>
    </tableColumn>
    <tableColumn id="20" xr3:uid="{033F412C-50CE-46A0-9A40-9CB6E383DB6D}" name="SPI" dataDxfId="79"/>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42AD6C-0247-4B1B-829D-925B26D9D1EA}" name="Table467" displayName="Table467" ref="A2:AB49" totalsRowShown="0" dataDxfId="78" tableBorderDxfId="77">
  <autoFilter ref="A2:AB49" xr:uid="{D6DA22EC-16E9-4732-B9BC-ED3177A350A8}"/>
  <sortState xmlns:xlrd2="http://schemas.microsoft.com/office/spreadsheetml/2017/richdata2" ref="A3:AB49">
    <sortCondition ref="N2:N49"/>
  </sortState>
  <tableColumns count="28">
    <tableColumn id="1" xr3:uid="{BBAAE063-4511-4F85-82B5-B90F6EBAA52A}" name="#" dataDxfId="76">
      <calculatedColumnFormula>SUBTOTAL(3,$B$3:B3)</calculatedColumnFormula>
    </tableColumn>
    <tableColumn id="2" xr3:uid="{6F068E82-AE41-45B0-91A2-BAB4C05E0188}" name="المنطقة" dataDxfId="75"/>
    <tableColumn id="3" xr3:uid="{253A50E3-342B-4581-A0CD-C8558BF749BB}" name="PO" dataDxfId="74"/>
    <tableColumn id="4" xr3:uid="{820A5212-61FF-443F-B0C8-5D0600280503}" name="اسم المشروع" dataDxfId="73"/>
    <tableColumn id="5" xr3:uid="{0D96256A-FC8C-416C-8AFC-BD0E87719551}" name="المقاول " dataDxfId="72"/>
    <tableColumn id="7" xr3:uid="{B4A616C8-0D7C-4378-BAD2-D0BF258C67EB}" name="مدير البرنامج" dataDxfId="71"/>
    <tableColumn id="6" xr3:uid="{941F40DC-A278-422C-901D-BB60F318844C}" name="مدير المشروع" dataDxfId="70"/>
    <tableColumn id="8" xr3:uid="{2EE70F3B-9227-4F20-9DFC-58DA4BDA6A92}" name="حالة المشروع" dataDxfId="69"/>
    <tableColumn id="11" xr3:uid="{32535A50-3E8C-433A-951B-10268C83EFFA}" name="المخطط %" dataDxfId="68"/>
    <tableColumn id="12" xr3:uid="{4548D458-0F7A-4E6A-B76C-6052DFF475DB}" name="المنفذ %" dataDxfId="67"/>
    <tableColumn id="13" xr3:uid="{0118ACEB-FD49-4F8A-902D-0E50672808BE}" name="فرق النسب بين المخطط و الفعلي" dataDxfId="66" dataCellStyle="Percent"/>
    <tableColumn id="14" xr3:uid="{284EA26B-191C-4EF0-8C94-43590C9778A2}" name="قيمة العقد بعد الضريبة" dataDxfId="65" dataCellStyle="Percent"/>
    <tableColumn id="15" xr3:uid="{E7B7E6DD-158F-450D-ACD8-87A363F8B698}" name="تاريخ الإستلام الإيتدائي المتوقع" dataDxfId="64"/>
    <tableColumn id="17" xr3:uid="{EC09959F-8D9C-4F9B-8F5A-08472E5FB379}" name="التاريخ المتوقع للتأخر بنسبة تباين 10%" dataDxfId="63"/>
    <tableColumn id="25" xr3:uid="{38795ADC-CC6D-4BDD-A989-0DD6D957486C}" name="سبب التتأخر" dataDxfId="62"/>
    <tableColumn id="18" xr3:uid="{D06B8B74-8A2C-4930-A11A-11F327B277AD}" name="وسيلة تفادي التأخر/المعالجة" dataDxfId="61"/>
    <tableColumn id="24" xr3:uid="{586D65E3-30B8-4513-8DD2-3F812207238A}" name="يناير _x000a_26" dataDxfId="60"/>
    <tableColumn id="26" xr3:uid="{BD8FE397-9D34-47A9-9D73-8BF9388E2A63}" name="فبراير_x000a_26" dataDxfId="59"/>
    <tableColumn id="27" xr3:uid="{00088446-B66B-41AD-BE48-66BFB2558A6A}" name="مارس_x000a_26" dataDxfId="58"/>
    <tableColumn id="28" xr3:uid="{E52F9465-A754-440F-A3DE-73887294E6D3}" name="ابريل _x000a_262" dataDxfId="57"/>
    <tableColumn id="29" xr3:uid="{33D78892-E24E-4893-B748-16705EE232DA}" name="مايو_x000a_26" dataDxfId="56"/>
    <tableColumn id="30" xr3:uid="{D89B7AF2-CB3D-4B0B-8E46-AACF20E4DB85}" name="يونيو_x000a_26" dataDxfId="55"/>
    <tableColumn id="31" xr3:uid="{834205EA-8886-436A-9AD2-7B39AEE2681E}" name="يوليو _x000a_26" dataDxfId="54"/>
    <tableColumn id="32" xr3:uid="{8B466ADE-2764-49B4-8091-9C1F5AB112FC}" name="اغسطس_x000a_26" dataDxfId="53"/>
    <tableColumn id="33" xr3:uid="{414BC2DD-A7E0-4FCA-BAD3-C8D20216B96D}" name="سبتمبر_x000a_26" dataDxfId="52"/>
    <tableColumn id="34" xr3:uid="{888D3672-0824-4A4A-992A-76246833D1D9}" name="اكتوبر _x000a_26" dataDxfId="51"/>
    <tableColumn id="35" xr3:uid="{F1D29A5F-E109-4389-865A-5FC05EA85ED2}" name="نوفمير_x000a_26" dataDxfId="50"/>
    <tableColumn id="36" xr3:uid="{52D4ACB8-D21E-43BF-92CF-578F2E058BCE}" name="ديسمبر_x000a_26" dataDxfId="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9EF98A-DCDF-4EE4-92E4-F93209C28736}" name="Table4" displayName="Table4" ref="A2:AZ79" totalsRowCount="1" headerRowDxfId="764" dataDxfId="762" headerRowBorderDxfId="763" tableBorderDxfId="761" totalsRowBorderDxfId="760">
  <autoFilter ref="A2:AZ78" xr:uid="{A19EF98A-DCDF-4EE4-92E4-F93209C28736}"/>
  <tableColumns count="52">
    <tableColumn id="1" xr3:uid="{73F1A4B1-E8A9-41BA-A34C-6CD44373FA00}" name="S" dataDxfId="759" totalsRowDxfId="758">
      <calculatedColumnFormula>SUBTOTAL(3,$E$3:E3)</calculatedColumnFormula>
    </tableColumn>
    <tableColumn id="22" xr3:uid="{E2101428-E867-4670-9C67-26F041EA6392}" name="Project no." dataDxfId="757" totalsRowDxfId="756"/>
    <tableColumn id="21" xr3:uid="{4743AE87-3786-46DC-B0B9-DC0A129666BF}" name="Project Operational Number" dataDxfId="755" totalsRowDxfId="754"/>
    <tableColumn id="31" xr3:uid="{AF6016BF-0947-4F3F-B5E2-37BB0DEFD88B}" name="الترتيب" dataDxfId="753" totalsRowDxfId="752"/>
    <tableColumn id="2" xr3:uid="{6D6D6652-8ABE-4C7C-B8C1-839E8995C7B3}" name="PO" dataDxfId="751" totalsRowDxfId="750"/>
    <tableColumn id="20" xr3:uid="{62054741-7B97-4360-9507-21DB56453614}" name="مدير البرنامج" dataDxfId="749" totalsRowDxfId="748"/>
    <tableColumn id="19" xr3:uid="{A75A82F2-814E-41AF-A724-A9383AB11C99}" name="مدير المشروع" dataDxfId="747" totalsRowDxfId="746"/>
    <tableColumn id="3" xr3:uid="{4BB5EA2D-A908-4B80-9DA5-53522BBBBC2D}" name="اسم المشروع" dataDxfId="745" totalsRowDxfId="744"/>
    <tableColumn id="4" xr3:uid="{0C2E9293-64E8-4235-9FC4-707997CF11E0}" name="المقاول " dataDxfId="743" totalsRowDxfId="742"/>
    <tableColumn id="23" xr3:uid="{B44A8F6A-FDE8-4851-9D31-6CA38FA5BD47}" name="المنطقة" dataDxfId="741" totalsRowDxfId="740"/>
    <tableColumn id="5" xr3:uid="{BDAAED10-B972-49EA-A0ED-D2E8BC90B3D3}" name="الإستشاري" dataDxfId="739" totalsRowDxfId="738"/>
    <tableColumn id="6" xr3:uid="{3349E295-F12C-4FA5-A9EE-712AF292D8F3}" name="تصنيف المشروع" dataDxfId="737" totalsRowDxfId="736"/>
    <tableColumn id="30" xr3:uid="{48F1B62E-40E2-47B2-A427-C3555447B4E3}" name="الإستلام الإبتدائي الجزئي" dataDxfId="735" totalsRowDxfId="734"/>
    <tableColumn id="29" xr3:uid="{D7AA6599-8942-4CB8-9F83-DE93DD54D705}" name="مدة التوقف عن العمل بالشهور" dataDxfId="733" totalsRowDxfId="732"/>
    <tableColumn id="7" xr3:uid="{FFD3687A-28F0-4D20-BA21-49549EC28F37}" name="حالة المشروع" dataDxfId="731" totalsRowDxfId="730">
      <calculatedColumnFormula>_xlfn.XLOOKUP(E3,Table1[PO],Table1[حالة المشروع],0)</calculatedColumnFormula>
    </tableColumn>
    <tableColumn id="8" xr3:uid="{F8C5B229-5841-4E9F-8CD4-16F66E1650E2}" name="بداية المشروع التعاقدية" dataDxfId="729" totalsRowDxfId="728">
      <calculatedColumnFormula>_xlfn.XLOOKUP(E3,Table1[PO],Table1[بداية المشروع التعاقدية],0)</calculatedColumnFormula>
    </tableColumn>
    <tableColumn id="9" xr3:uid="{E59CD763-A07D-4A28-BCD1-F88BA04229C4}" name="نهاية المشروع المعدلة PMO LIVE" dataDxfId="727" totalsRowDxfId="726">
      <calculatedColumnFormula>_xlfn.XLOOKUP(E3,Table1[PO],Table1[نهاية المشروع المعدلة PMO LIVE],0)</calculatedColumnFormula>
    </tableColumn>
    <tableColumn id="25" xr3:uid="{7ABE87CC-F575-47DB-B05E-ED5E8D150AA8}" name="قيمة المشروع بالضريبة" totalsRowFunction="sum" dataDxfId="725" totalsRowDxfId="724">
      <calculatedColumnFormula>_xlfn.XLOOKUP(Table4[[#This Row],[PO]],Table1[PO],Table1[قيمة المشروع بالضريبة],0)/1000000</calculatedColumnFormula>
    </tableColumn>
    <tableColumn id="33" xr3:uid="{0D71FEAC-485B-4012-B3B0-8978143ED4F1}" name="EV" totalsRowFunction="sum" dataDxfId="723" totalsRowDxfId="722">
      <calculatedColumnFormula>Table4[[#This Row],[قيمة المشروع بالضريبة]]*Table4[[#This Row],[المنفذ % التراكمي]]</calculatedColumnFormula>
    </tableColumn>
    <tableColumn id="43" xr3:uid="{27CD0383-AD91-4372-8B0C-92A07CD23245}" name="PV" totalsRowFunction="sum" dataDxfId="721" totalsRowDxfId="720">
      <calculatedColumnFormula>Table4[[#This Row],[قيمة المشروع بالضريبة]]*Table4[[#This Row],[المخطط % التراكمي]]</calculatedColumnFormula>
    </tableColumn>
    <tableColumn id="51" xr3:uid="{5CC45F1F-CC39-4D3D-9006-F58D33F9FDE3}" name="Gap Between Earned value &amp; Approved invoices Amount" totalsRowFunction="sum" dataDxfId="719" totalsRowDxfId="718"/>
    <tableColumn id="50" xr3:uid="{F161F8A4-9BEE-488F-887F-42C44A6FBA3E}" name="Unpaid Invoices Amount" totalsRowFunction="sum" dataDxfId="717" totalsRowDxfId="716"/>
    <tableColumn id="49" xr3:uid="{1652DDB8-3993-4189-AE96-11711C1C56C1}" name="No. of Unpaid Invoices" totalsRowFunction="sum" dataDxfId="715" totalsRowDxfId="714"/>
    <tableColumn id="40" xr3:uid="{7026463B-7454-4EE5-96F5-4BE38BAF2F0A}" name="Paid Invoices Amount" totalsRowFunction="sum" dataDxfId="713" totalsRowDxfId="712"/>
    <tableColumn id="39" xr3:uid="{BC0E6759-2418-469A-A82D-DB9A96ADBCBB}" name="No. of Paid invoices" totalsRowFunction="sum" dataDxfId="711" totalsRowDxfId="710"/>
    <tableColumn id="37" xr3:uid="{2BCC6714-925B-424A-AB4A-E7B53E958328}" name="Approved Invoices Amount" totalsRowFunction="sum" dataDxfId="709" totalsRowDxfId="708"/>
    <tableColumn id="36" xr3:uid="{35E3AFE0-B055-4BBA-AD11-83447F589572}" name="No. of Approved Invoices" totalsRowFunction="sum" dataDxfId="707" totalsRowDxfId="706"/>
    <tableColumn id="26" xr3:uid="{DF594057-6516-4BB7-9601-AE07102F7189}" name="نسبة الإيقاف%" dataDxfId="705" totalsRowDxfId="704">
      <calculatedColumnFormula>_xlfn.XLOOKUP(Table4[[#This Row],[PO]],Table1[PO],Table1[نسبة الإيقاف%],0)</calculatedColumnFormula>
    </tableColumn>
    <tableColumn id="28" xr3:uid="{CF527B3E-8620-47D0-8A2B-FC22956BE738}" name="المنفذ % الفعلي حتي الإسبوع السابق" dataDxfId="703" totalsRowDxfId="702">
      <calculatedColumnFormula>_xlfn.XLOOKUP(Table4[[#This Row],[PO]],Table1[PO],Table1[المنفذ % - الإسبوع السابق],0)</calculatedColumnFormula>
    </tableColumn>
    <tableColumn id="52" xr3:uid="{ECC33C75-2D50-4129-B09E-FFE3B75308D6}" name="موقف تقديم الخطة التصحيحية" dataDxfId="701" totalsRowDxfId="700">
      <calculatedColumnFormula>_xlfn.XLOOKUP(Table4[[#This Row],[PO]],Table1[PO],Table1[موقف تقديم الخطة التصحيحية],0)</calculatedColumnFormula>
    </tableColumn>
    <tableColumn id="10" xr3:uid="{A1545A0C-607A-4AD5-BA35-4B7C67DA089C}" name="المخطط % التراكمي" dataDxfId="699" totalsRowDxfId="698">
      <calculatedColumnFormula>_xlfn.XLOOKUP(E3,Table1[PO],Table1[المخطط % التراكمي],0)</calculatedColumnFormula>
    </tableColumn>
    <tableColumn id="11" xr3:uid="{10920AB9-B1DD-462B-8E05-5957FC7D785E}" name="المنفذ % التراكمي" dataDxfId="697" totalsRowDxfId="696">
      <calculatedColumnFormula>_xlfn.XLOOKUP(E3,Table1[PO],Table1[المنفذ % التراكمي],0)</calculatedColumnFormula>
    </tableColumn>
    <tableColumn id="12" xr3:uid="{3E212E63-E9C9-4A2D-809C-0E7DC1127C35}" name="الفرق بين المخطط و الفعلي" dataDxfId="695" totalsRowDxfId="694">
      <calculatedColumnFormula>AF3-AE3</calculatedColumnFormula>
    </tableColumn>
    <tableColumn id="13" xr3:uid="{02FD9A20-D286-42D4-8A70-1DE424A7FFC1}" name="التاريخ المتوقع لدخول المشروع التعثر بالمدة المنقضية" dataDxfId="693" totalsRowDxfId="692">
      <calculatedColumnFormula>_xlfn.XLOOKUP(E3,Table1[PO],Table1[تاريخ دخول المشروع التعثر بالمدة المنقضية],0)</calculatedColumnFormula>
    </tableColumn>
    <tableColumn id="14" xr3:uid="{7FAD4191-BACC-4615-95B5-A21EF657511E}" name="التاريخ المتوقع للتأخر- دراسة صفرية" dataDxfId="691" totalsRowDxfId="690"/>
    <tableColumn id="15" xr3:uid="{9AA510AA-C989-43D2-87E7-C7056C72724A}" name="التاريخ المتوقع للتعثر - دراسة صفرية" dataDxfId="689" totalsRowDxfId="688"/>
    <tableColumn id="16" xr3:uid="{AA583B02-9815-4E2E-A461-C3C69ABD66FE}" name="التاريخ المتوقع للتأخر - متوسط نسب انجاز" dataDxfId="687" totalsRowDxfId="686"/>
    <tableColumn id="17" xr3:uid="{0ACBA52C-568B-47B1-8D91-776279156262}" name="التاريخ المتوقع للتعثر- متوسط نسب انجاز" dataDxfId="685" totalsRowDxfId="684"/>
    <tableColumn id="45" xr3:uid="{245E0003-E712-4A52-A646-BB77DE042C4E}" name="نسبة المخطط التراكمي حتى 31 اكتوبر 2026" dataDxfId="683" totalsRowDxfId="682">
      <calculatedColumnFormula>_xlfn.XLOOKUP(Table4[[#This Row],[PO]],Table1[PO],Table1[نسبة المخطط التراكمي حتى 31 أكتوبر 2026],0)</calculatedColumnFormula>
    </tableColumn>
    <tableColumn id="47" xr3:uid="{13A86D2A-D481-4FDD-A4BB-8C3A942C55E8}" name="نسبة الانجاز التراكمي المطلوب للإنتظام" dataDxfId="681" totalsRowDxfId="680">
      <calculatedColumnFormula>Table4[[#This Row],[نسبة المخطط التراكمي حتى 31 اكتوبر 2026]]-9.9%</calculatedColumnFormula>
    </tableColumn>
    <tableColumn id="46" xr3:uid="{9E3409E9-72AA-4FE9-8C4B-4615127CACF0}" name="النسبة المطلوب زيادتها في اكتوبر 2026 للإنتظام" dataDxfId="679" totalsRowDxfId="678">
      <calculatedColumnFormula>Table4[[#This Row],[نسبة الانجاز التراكمي المطلوب للإنتظام]]-Table4[[#This Row],[المنفذ % التراكمي]]</calculatedColumnFormula>
    </tableColumn>
    <tableColumn id="42" xr3:uid="{C39EFF74-22CC-452D-88BA-F70FFB8F7BE1}" name="نسبة الانجاز التراكمي المطلوب لتجنب التعثر" dataDxfId="677" totalsRowDxfId="676">
      <calculatedColumnFormula>_xlfn.XLOOKUP(Table4[[#This Row],[PO]],Table1[PO],Table1[نسبة الانجاز التراكمي المطلوب لتجنب التعثر],0)</calculatedColumnFormula>
    </tableColumn>
    <tableColumn id="41" xr3:uid="{70779139-49C5-4E84-90E9-91586AD83A06}" name="النسبة المطلوب زيادتها في اكتوبر 2026 لتجنب / الخروج من التعثر" dataDxfId="675" totalsRowDxfId="674">
      <calculatedColumnFormula>Table4[[#This Row],[نسبة الانجاز التراكمي المطلوب لتجنب التعثر]]-Table4[[#This Row],[المنفذ % التراكمي]]</calculatedColumnFormula>
    </tableColumn>
    <tableColumn id="18" xr3:uid="{CA213290-F409-4A2E-BD7F-71826BD3A04B}" name="نسبة المدة المنقضية %" dataDxfId="673" totalsRowDxfId="672">
      <calculatedColumnFormula>_xlfn.XLOOKUP(E3,Table1[PO],Table1[نسبة المدة المنقضية %],0)</calculatedColumnFormula>
    </tableColumn>
    <tableColumn id="24" xr3:uid="{9BCD7ABC-F8A0-469C-A6E7-9ABCB9EF3E5B}" name="الفجوة بين النسبة المخططة و نسبة الوقت المنقضي" dataDxfId="671" totalsRowDxfId="670">
      <calculatedColumnFormula>Table4[[#This Row],[المخطط % التراكمي]]-Table4[[#This Row],[نسبة المدة المنقضية %]]</calculatedColumnFormula>
    </tableColumn>
    <tableColumn id="27" xr3:uid="{14304C7F-2AED-48CE-9999-5A28977B2241}" name="أسباب التعثر" dataDxfId="669" totalsRowDxfId="668"/>
    <tableColumn id="35" xr3:uid="{AFF3AAD0-992A-44CF-A75D-D4DD8FFFB6DE}" name="تصنيف المعاملات" dataDxfId="667" totalsRowDxfId="666"/>
    <tableColumn id="44" xr3:uid="{B1AAC3DF-C8D1-4EA9-93FD-E74FD0F1A302}" name="ملخص خطة المعالجة" dataDxfId="665" totalsRowDxfId="664"/>
    <tableColumn id="48" xr3:uid="{6558EE87-6DB5-40FE-89F5-80A3DAF36EA2}" name="الإجراء الفني الحالي" dataDxfId="663" totalsRowDxfId="662"/>
    <tableColumn id="34" xr3:uid="{738FAA6B-AB01-4C0E-95F5-3EA00D1D9D7E}" name="الإجراءات الإدارية للمشاريع" dataDxfId="661" totalsRowDxfId="660"/>
    <tableColumn id="32" xr3:uid="{8843B682-51BC-475D-A2E4-AECA2E6E78ED}" name="التأثير علي المشروع2" dataDxfId="659" totalsRowDxfId="658"/>
    <tableColumn id="38" xr3:uid="{128A4F3B-B85E-48DD-9298-702575EB7C26}" name="اخر تحديث الإجراء الإداري الحالي للمشروع" dataDxfId="657" totalsRowDxfId="656"/>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H50" dT="2026-10-07T10:52:53.51" personId="{57E7D473-B27B-4529-A108-5688EE82FA3D}" id="{69E38E44-1180-46B4-96E3-30E0FC97314A}">
    <text>يرجي ذكر التحديث حتي الإسبوع الحالي</text>
  </threadedComment>
</ThreadedComments>
</file>

<file path=xl/threadedComments/threadedComment2.xml><?xml version="1.0" encoding="utf-8"?>
<ThreadedComments xmlns="http://schemas.microsoft.com/office/spreadsheetml/2018/threadedcomments" xmlns:x="http://schemas.openxmlformats.org/spreadsheetml/2006/main">
  <threadedComment ref="I27" dT="2026-04-09T09:18:29.61" personId="{1A427A43-9C75-4D06-A165-7733FF1B4404}" id="{EF10ADC4-9A1D-45AE-967B-8C3E21C88D5C}">
    <text>9 ابريل</text>
  </threadedComment>
  <threadedComment ref="J27" dT="2026-03-06T19:05:50.26" personId="{1A427A43-9C75-4D06-A165-7733FF1B4404}" id="{76449620-2838-410F-AC23-3A7743A0DC4C}">
    <text>Feb 26</text>
  </threadedComment>
  <threadedComment ref="K27" dT="2026-03-06T18:55:48.11" personId="{1A427A43-9C75-4D06-A165-7733FF1B4404}" id="{F84D3EFB-913C-4CC7-ACF0-DA3BAFC41503}">
    <text>Jan26</text>
  </threadedComment>
  <threadedComment ref="L27" dT="2026-03-06T18:55:48.11" personId="{1A427A43-9C75-4D06-A165-7733FF1B4404}" id="{D76EC5D8-090B-44D2-95DA-25EB9EF970BC}">
    <text>Jan26</text>
  </threadedComment>
  <threadedComment ref="K28" dT="2026-03-06T18:55:54.76" personId="{1A427A43-9C75-4D06-A165-7733FF1B4404}" id="{D3812410-4DA4-47EA-B377-3442D54B8BC4}">
    <text>Jan26</text>
  </threadedComment>
  <threadedComment ref="L28" dT="2026-03-06T18:55:54.76" personId="{1A427A43-9C75-4D06-A165-7733FF1B4404}" id="{3E2C540C-42D2-4F06-A910-4BE3398EE587}">
    <text>Jan26</text>
  </threadedComment>
  <threadedComment ref="J29" dT="2026-03-06T19:05:06.03" personId="{1A427A43-9C75-4D06-A165-7733FF1B4404}" id="{31FE65A2-47FA-4D3F-AB25-466BE6FB9788}">
    <text>Mar 26</text>
  </threadedComment>
  <threadedComment ref="K29" dT="2026-03-06T18:56:01.67" personId="{1A427A43-9C75-4D06-A165-7733FF1B4404}" id="{46387EF8-1627-4930-A0FA-828485004BCE}">
    <text>Jan26</text>
  </threadedComment>
  <threadedComment ref="L29" dT="2026-03-06T18:56:01.67" personId="{1A427A43-9C75-4D06-A165-7733FF1B4404}" id="{0EF14BA5-9FD3-402E-9D06-5C7E7DDCE558}">
    <text>Jan26</text>
  </threadedComment>
  <threadedComment ref="K30" dT="2026-03-06T18:56:09.71" personId="{1A427A43-9C75-4D06-A165-7733FF1B4404}" id="{A153DBC0-0FBF-4893-A64A-196E6A70E8DE}">
    <text>Jan26</text>
  </threadedComment>
  <threadedComment ref="L30" dT="2026-03-06T18:56:09.71" personId="{1A427A43-9C75-4D06-A165-7733FF1B4404}" id="{FC1C8E19-ABFF-45F7-9C6B-4BB7A1F80B0D}">
    <text>Jan26</text>
  </threadedComment>
  <threadedComment ref="J31" dT="2026-03-14T15:48:11.85" personId="{1A427A43-9C75-4D06-A165-7733FF1B4404}" id="{CD4D4931-760B-4314-8053-4374F353AD40}">
    <text>12 March 2026</text>
  </threadedComment>
  <threadedComment ref="K31" dT="2026-03-06T18:56:16.36" personId="{1A427A43-9C75-4D06-A165-7733FF1B4404}" id="{E811512E-F888-43A5-A394-2F010326313D}">
    <text>Jan26</text>
  </threadedComment>
  <threadedComment ref="L31" dT="2026-03-06T18:56:16.36" personId="{1A427A43-9C75-4D06-A165-7733FF1B4404}" id="{FF72585E-EB51-4618-8670-7267942FA9F4}">
    <text>Jan26</text>
  </threadedComment>
  <threadedComment ref="J32" dT="2026-03-06T19:07:54.77" personId="{1A427A43-9C75-4D06-A165-7733FF1B4404}" id="{B3E880D5-0CE3-410C-8A51-E4026A42B3A8}">
    <text>Mar 26</text>
  </threadedComment>
  <threadedComment ref="K32" dT="2026-03-06T18:57:01.93" personId="{1A427A43-9C75-4D06-A165-7733FF1B4404}" id="{5B5C074C-943C-4AAB-83A0-4A4061962D4A}">
    <text>Feb 26</text>
  </threadedComment>
  <threadedComment ref="J33" dT="2026-03-14T15:47:37.17" personId="{1A427A43-9C75-4D06-A165-7733FF1B4404}" id="{F6885072-60A3-434D-AEB6-C110E5236153}">
    <text>12 March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6-03-06T19:05:50.26" personId="{1A427A43-9C75-4D06-A165-7733FF1B4404}" id="{0CFC3412-F4E9-4927-A59D-C06CB64EF9CD}">
    <text>Feb 26</text>
  </threadedComment>
  <threadedComment ref="K26" dT="2026-03-06T18:55:48.11" personId="{1A427A43-9C75-4D06-A165-7733FF1B4404}" id="{76407766-F07F-4E6D-92D5-02F2D9E58E04}">
    <text>Jan26</text>
  </threadedComment>
  <threadedComment ref="L26" dT="2026-03-06T18:55:48.11" personId="{1A427A43-9C75-4D06-A165-7733FF1B4404}" id="{F22E87BF-DBF9-447F-B126-3D34BEAB2463}">
    <text>Jan26</text>
  </threadedComment>
  <threadedComment ref="K27" dT="2026-03-06T18:55:54.76" personId="{1A427A43-9C75-4D06-A165-7733FF1B4404}" id="{EEAA637A-FA05-4D6F-8471-1961FCEA7E94}">
    <text>Jan26</text>
  </threadedComment>
  <threadedComment ref="L27" dT="2026-03-06T18:55:54.76" personId="{1A427A43-9C75-4D06-A165-7733FF1B4404}" id="{7E26B13A-5035-45E8-948E-D05CA08218B0}">
    <text>Jan26</text>
  </threadedComment>
  <threadedComment ref="J28" dT="2026-03-06T19:05:06.03" personId="{1A427A43-9C75-4D06-A165-7733FF1B4404}" id="{717BA3FC-7278-406C-8488-482ADB1C2C12}">
    <text>Mar 26</text>
  </threadedComment>
  <threadedComment ref="K28" dT="2026-03-06T18:56:01.67" personId="{1A427A43-9C75-4D06-A165-7733FF1B4404}" id="{DC8C2188-6F08-4D89-9BAF-AFB2567D2FCA}">
    <text>Jan26</text>
  </threadedComment>
  <threadedComment ref="L28" dT="2026-03-06T18:56:01.67" personId="{1A427A43-9C75-4D06-A165-7733FF1B4404}" id="{15305292-5854-4CAB-BACB-4C139BB5A0CD}">
    <text>Jan26</text>
  </threadedComment>
  <threadedComment ref="K29" dT="2026-03-06T18:56:09.71" personId="{1A427A43-9C75-4D06-A165-7733FF1B4404}" id="{60595F1D-EBCD-4E2E-A485-D246A0A3ABFF}">
    <text>Jan26</text>
  </threadedComment>
  <threadedComment ref="L29" dT="2026-03-06T18:56:09.71" personId="{1A427A43-9C75-4D06-A165-7733FF1B4404}" id="{3B8B2A92-9DFE-45E4-AFD6-7488C74C01BB}">
    <text>Jan26</text>
  </threadedComment>
  <threadedComment ref="K30" dT="2026-03-06T18:56:16.36" personId="{1A427A43-9C75-4D06-A165-7733FF1B4404}" id="{AC827395-6104-4521-91B7-21E3C93283D3}">
    <text>Jan26</text>
  </threadedComment>
  <threadedComment ref="L30" dT="2026-03-06T18:56:16.36" personId="{1A427A43-9C75-4D06-A165-7733FF1B4404}" id="{3D3802B7-7685-4280-AC60-85AC4E118AB5}">
    <text>Jan26</text>
  </threadedComment>
  <threadedComment ref="J31" dT="2026-03-06T19:07:54.77" personId="{1A427A43-9C75-4D06-A165-7733FF1B4404}" id="{85CD004E-551A-4D8F-92BB-B6E89E8B51DC}">
    <text>Mar 26</text>
  </threadedComment>
  <threadedComment ref="K31" dT="2026-03-06T18:57:01.93" personId="{1A427A43-9C75-4D06-A165-7733FF1B4404}" id="{F3F8EA21-DCBE-4973-B37A-4CF9237FCAA6}">
    <text>Feb 26</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4BF0E8F-A612-4CA8-A82C-0A9F8772A1B7}">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B4D36F2E-4DC4-4476-994B-6AC4ED28FA3F}">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7.xml"/><Relationship Id="rId7"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3.xml"/><Relationship Id="rId7" Type="http://schemas.openxmlformats.org/officeDocument/2006/relationships/printerSettings" Target="../printerSettings/printerSettings4.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8.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 Id="rId4" Type="http://schemas.microsoft.com/office/2017/10/relationships/threadedComment" Target="../threadedComments/threadedComment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E2A-84E0-47B8-A21B-C080BCF7B355}">
  <dimension ref="A1:D115"/>
  <sheetViews>
    <sheetView zoomScale="70" zoomScaleNormal="70" workbookViewId="0">
      <selection activeCell="A18" sqref="A18"/>
    </sheetView>
  </sheetViews>
  <sheetFormatPr defaultColWidth="8.88671875" defaultRowHeight="14.4"/>
  <cols>
    <col min="1" max="1" width="30.109375" style="1" bestFit="1" customWidth="1"/>
    <col min="2" max="2" width="27.109375" style="1" bestFit="1" customWidth="1"/>
    <col min="3" max="3" width="21.33203125" style="1" bestFit="1" customWidth="1"/>
    <col min="4" max="4" width="19.6640625" style="1" bestFit="1" customWidth="1"/>
    <col min="5" max="46" width="15.5546875" style="1" bestFit="1" customWidth="1"/>
    <col min="47" max="47" width="10.44140625" style="1" bestFit="1" customWidth="1"/>
    <col min="48" max="48" width="15.5546875" style="1" bestFit="1" customWidth="1"/>
    <col min="49" max="49" width="10.44140625" style="1" bestFit="1" customWidth="1"/>
    <col min="50" max="50" width="7" style="1" bestFit="1" customWidth="1"/>
    <col min="51" max="51" width="11.6640625" style="1" bestFit="1" customWidth="1"/>
    <col min="52" max="52" width="7" style="1" bestFit="1" customWidth="1"/>
    <col min="53" max="53" width="11.6640625" style="1" bestFit="1" customWidth="1"/>
    <col min="54" max="54" width="7" style="1" bestFit="1" customWidth="1"/>
    <col min="55" max="55" width="11.6640625" style="1" bestFit="1" customWidth="1"/>
    <col min="56" max="56" width="7" style="1" bestFit="1" customWidth="1"/>
    <col min="57" max="57" width="11.6640625" style="1" bestFit="1" customWidth="1"/>
    <col min="58" max="58" width="7" style="1" bestFit="1" customWidth="1"/>
    <col min="59" max="59" width="11.6640625" style="1" bestFit="1" customWidth="1"/>
    <col min="60" max="60" width="7" style="1" bestFit="1" customWidth="1"/>
    <col min="61" max="61" width="11.6640625" style="1" bestFit="1" customWidth="1"/>
    <col min="62" max="62" width="7" style="1" bestFit="1" customWidth="1"/>
    <col min="63" max="63" width="11.6640625" style="1" bestFit="1" customWidth="1"/>
    <col min="64" max="64" width="7" style="1" bestFit="1" customWidth="1"/>
    <col min="65" max="65" width="11.6640625" style="1" bestFit="1" customWidth="1"/>
    <col min="66" max="66" width="7" style="1" bestFit="1" customWidth="1"/>
    <col min="67" max="67" width="11.6640625" style="1" bestFit="1" customWidth="1"/>
    <col min="68" max="68" width="7" style="1" bestFit="1" customWidth="1"/>
    <col min="69" max="69" width="11.6640625" style="1" bestFit="1" customWidth="1"/>
    <col min="70" max="70" width="7" style="1" bestFit="1" customWidth="1"/>
    <col min="71" max="71" width="11.6640625" style="1" bestFit="1" customWidth="1"/>
    <col min="72" max="72" width="7" style="1" bestFit="1" customWidth="1"/>
    <col min="73" max="73" width="11.6640625" style="1" bestFit="1" customWidth="1"/>
    <col min="74" max="74" width="7" style="1" bestFit="1" customWidth="1"/>
    <col min="75" max="75" width="11.6640625" style="1" bestFit="1" customWidth="1"/>
    <col min="76" max="76" width="7" style="1" bestFit="1" customWidth="1"/>
    <col min="77" max="77" width="11.6640625" style="1" bestFit="1" customWidth="1"/>
    <col min="78" max="78" width="7" style="1" bestFit="1" customWidth="1"/>
    <col min="79" max="79" width="11.6640625" style="1" bestFit="1" customWidth="1"/>
    <col min="80" max="80" width="7" style="1" bestFit="1" customWidth="1"/>
    <col min="81" max="81" width="11.6640625" style="1" bestFit="1" customWidth="1"/>
    <col min="82" max="82" width="7" style="1" bestFit="1" customWidth="1"/>
    <col min="83" max="83" width="11.6640625" style="1" bestFit="1" customWidth="1"/>
    <col min="84" max="84" width="7" style="1" bestFit="1" customWidth="1"/>
    <col min="85" max="85" width="11.6640625" style="1" bestFit="1" customWidth="1"/>
    <col min="86" max="86" width="7" style="1" bestFit="1" customWidth="1"/>
    <col min="87" max="87" width="11.6640625" style="1" bestFit="1" customWidth="1"/>
    <col min="88" max="88" width="7" style="1" bestFit="1" customWidth="1"/>
    <col min="89" max="89" width="11.6640625" style="1" bestFit="1" customWidth="1"/>
    <col min="90" max="90" width="7" style="1" bestFit="1" customWidth="1"/>
    <col min="91" max="91" width="11.6640625" style="1" bestFit="1" customWidth="1"/>
    <col min="92" max="93" width="7.88671875" style="1" bestFit="1" customWidth="1"/>
    <col min="94" max="94" width="12.6640625" style="1" bestFit="1" customWidth="1"/>
    <col min="95" max="95" width="10.44140625" style="1" bestFit="1" customWidth="1"/>
    <col min="96" max="16384" width="8.88671875" style="1"/>
  </cols>
  <sheetData>
    <row r="1" spans="1:4">
      <c r="A1" s="296" t="s">
        <v>8</v>
      </c>
      <c r="B1" s="1" t="s">
        <v>449</v>
      </c>
    </row>
    <row r="3" spans="1:4">
      <c r="A3" s="1" t="s">
        <v>448</v>
      </c>
      <c r="B3" s="1" t="s">
        <v>447</v>
      </c>
      <c r="C3" s="1" t="s">
        <v>443</v>
      </c>
      <c r="D3" s="1" t="s">
        <v>444</v>
      </c>
    </row>
    <row r="4" spans="1:4">
      <c r="A4" s="297">
        <v>18.441500000000001</v>
      </c>
      <c r="B4" s="297">
        <v>15.2256</v>
      </c>
      <c r="C4" s="297">
        <v>18.561800000000005</v>
      </c>
      <c r="D4" s="297">
        <v>15.365600000000001</v>
      </c>
    </row>
    <row r="6" spans="1:4">
      <c r="A6" s="296" t="s">
        <v>8</v>
      </c>
      <c r="B6" s="1" t="s">
        <v>449</v>
      </c>
    </row>
    <row r="8" spans="1:4">
      <c r="A8" s="1" t="s">
        <v>445</v>
      </c>
      <c r="B8" s="1" t="s">
        <v>446</v>
      </c>
    </row>
    <row r="9" spans="1:4">
      <c r="A9" s="298">
        <v>732784258.5496819</v>
      </c>
      <c r="B9" s="298">
        <v>721150242.95116317</v>
      </c>
    </row>
    <row r="12" spans="1:4">
      <c r="A12" s="296" t="s">
        <v>8</v>
      </c>
      <c r="B12" s="1" t="s">
        <v>449</v>
      </c>
    </row>
    <row r="14" spans="1:4">
      <c r="A14" s="1" t="s">
        <v>441</v>
      </c>
      <c r="B14" s="1" t="s">
        <v>442</v>
      </c>
    </row>
    <row r="15" spans="1:4">
      <c r="A15" s="299">
        <v>1042.1983326533557</v>
      </c>
      <c r="B15" s="300">
        <v>1941.1000000000001</v>
      </c>
    </row>
    <row r="18" spans="1:2">
      <c r="A18" s="296" t="s">
        <v>8</v>
      </c>
      <c r="B18" s="1" t="s">
        <v>449</v>
      </c>
    </row>
    <row r="20" spans="1:2">
      <c r="A20"/>
      <c r="B20"/>
    </row>
    <row r="21" spans="1:2">
      <c r="A21"/>
      <c r="B21"/>
    </row>
    <row r="22" spans="1:2">
      <c r="A22"/>
      <c r="B22"/>
    </row>
    <row r="23" spans="1:2">
      <c r="A23"/>
      <c r="B23"/>
    </row>
    <row r="24" spans="1:2">
      <c r="A24"/>
      <c r="B24"/>
    </row>
    <row r="25" spans="1:2">
      <c r="A25"/>
      <c r="B25"/>
    </row>
    <row r="26" spans="1:2">
      <c r="A26"/>
      <c r="B26"/>
    </row>
    <row r="27" spans="1:2">
      <c r="A27"/>
      <c r="B27"/>
    </row>
    <row r="28" spans="1:2">
      <c r="A28"/>
      <c r="B28"/>
    </row>
    <row r="29" spans="1:2">
      <c r="A29"/>
      <c r="B29"/>
    </row>
    <row r="30" spans="1:2">
      <c r="A30"/>
      <c r="B30"/>
    </row>
    <row r="31" spans="1:2">
      <c r="A31"/>
      <c r="B31"/>
    </row>
    <row r="32" spans="1:2">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row>
    <row r="69" spans="1:2">
      <c r="A69"/>
    </row>
    <row r="70" spans="1:2">
      <c r="A70"/>
    </row>
    <row r="71" spans="1:2">
      <c r="A71"/>
    </row>
    <row r="72" spans="1:2">
      <c r="A72"/>
    </row>
    <row r="73" spans="1:2">
      <c r="A73"/>
    </row>
    <row r="74" spans="1:2">
      <c r="A74"/>
    </row>
    <row r="75" spans="1:2">
      <c r="A75"/>
    </row>
    <row r="76" spans="1:2">
      <c r="A76"/>
    </row>
    <row r="77" spans="1:2">
      <c r="A77"/>
    </row>
    <row r="78" spans="1:2">
      <c r="A78"/>
    </row>
    <row r="79" spans="1:2">
      <c r="A79"/>
    </row>
    <row r="80" spans="1:2">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B3F8-FC0D-4D45-B0DC-249BC77C259B}">
  <sheetPr>
    <tabColor rgb="FF3C57F6"/>
  </sheetPr>
  <dimension ref="A2:B10"/>
  <sheetViews>
    <sheetView workbookViewId="0">
      <selection sqref="A1:B1048576"/>
    </sheetView>
  </sheetViews>
  <sheetFormatPr defaultColWidth="8.88671875" defaultRowHeight="14.4"/>
  <cols>
    <col min="1" max="1" width="14.44140625" style="1" bestFit="1" customWidth="1"/>
    <col min="2" max="2" width="6.33203125" style="1" bestFit="1" customWidth="1"/>
    <col min="3" max="3" width="39.6640625" style="1" customWidth="1"/>
    <col min="4" max="16384" width="8.88671875" style="1"/>
  </cols>
  <sheetData>
    <row r="2" spans="1:2">
      <c r="A2"/>
      <c r="B2"/>
    </row>
    <row r="3" spans="1:2">
      <c r="A3"/>
      <c r="B3"/>
    </row>
    <row r="4" spans="1:2">
      <c r="A4"/>
      <c r="B4"/>
    </row>
    <row r="5" spans="1:2">
      <c r="A5"/>
      <c r="B5"/>
    </row>
    <row r="6" spans="1:2">
      <c r="A6"/>
      <c r="B6"/>
    </row>
    <row r="7" spans="1:2">
      <c r="A7"/>
      <c r="B7"/>
    </row>
    <row r="8" spans="1:2">
      <c r="A8"/>
      <c r="B8"/>
    </row>
    <row r="9" spans="1:2">
      <c r="A9"/>
      <c r="B9"/>
    </row>
    <row r="10" spans="1:2">
      <c r="A10"/>
      <c r="B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8121-0282-4DFC-BC34-DC4DBD76C3EE}">
  <sheetPr>
    <tabColor rgb="FF3C57F6"/>
  </sheetPr>
  <dimension ref="A1:BS85"/>
  <sheetViews>
    <sheetView rightToLeft="1" view="pageBreakPreview" zoomScale="85" zoomScaleNormal="80" zoomScaleSheetLayoutView="85" workbookViewId="0">
      <pane xSplit="4" ySplit="2" topLeftCell="V3" activePane="bottomRight" state="frozen"/>
      <selection pane="topRight" activeCell="E1" sqref="E1"/>
      <selection pane="bottomLeft" activeCell="A3" sqref="A3"/>
      <selection pane="bottomRight" activeCell="D7" sqref="D7"/>
    </sheetView>
  </sheetViews>
  <sheetFormatPr defaultColWidth="8.88671875" defaultRowHeight="75" customHeight="1"/>
  <cols>
    <col min="1" max="1" width="4.33203125" style="29" customWidth="1"/>
    <col min="2" max="2" width="8.5546875" style="29" hidden="1" customWidth="1"/>
    <col min="3" max="3" width="13.88671875" style="29" hidden="1"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5.109375" style="29" customWidth="1"/>
    <col min="12" max="12" width="8.88671875" style="29" customWidth="1"/>
    <col min="13" max="13" width="6" style="29" customWidth="1"/>
    <col min="14" max="14" width="7.33203125" style="597"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203" t="s">
        <v>951</v>
      </c>
      <c r="B1" s="1203"/>
      <c r="C1" s="1203"/>
      <c r="D1" s="1204"/>
      <c r="E1" s="1203"/>
      <c r="F1" s="1203"/>
      <c r="G1" s="1203"/>
      <c r="H1" s="1203"/>
      <c r="I1" s="1203"/>
      <c r="J1" s="1203"/>
      <c r="K1" s="1203"/>
      <c r="L1" s="1203"/>
      <c r="M1" s="1203"/>
      <c r="N1" s="1203"/>
      <c r="O1" s="1203"/>
      <c r="P1" s="1203"/>
      <c r="Q1" s="1203"/>
      <c r="R1" s="1203"/>
      <c r="S1" s="1203"/>
      <c r="T1" s="1203"/>
      <c r="U1" s="1203"/>
      <c r="V1" s="1203"/>
      <c r="W1" s="1203"/>
      <c r="X1" s="1203"/>
      <c r="Y1" s="1203"/>
      <c r="Z1" s="1203"/>
      <c r="AA1" s="1203"/>
      <c r="AB1" s="1203"/>
      <c r="AC1" s="1203"/>
      <c r="AD1" s="1203"/>
      <c r="AE1" s="1203"/>
      <c r="AF1" s="1203"/>
      <c r="AG1" s="1203"/>
      <c r="AH1" s="1203"/>
      <c r="AI1" s="1203"/>
      <c r="AJ1" s="1203"/>
      <c r="AK1" s="1203"/>
      <c r="AL1" s="1203"/>
      <c r="AM1" s="1203"/>
      <c r="AN1" s="1203"/>
      <c r="AO1" s="1203"/>
      <c r="AP1" s="1203"/>
      <c r="AQ1" s="1203"/>
      <c r="AR1" s="1203"/>
      <c r="AS1" s="1203"/>
      <c r="AT1" s="1203"/>
      <c r="AU1" s="1203"/>
      <c r="AV1" s="1203"/>
      <c r="AW1" s="1203"/>
      <c r="AX1" s="1203"/>
      <c r="AY1" s="1203"/>
      <c r="AZ1" s="1203"/>
      <c r="BA1" s="1203"/>
      <c r="BB1" s="1203"/>
      <c r="BC1" s="1203"/>
      <c r="BD1" s="1203"/>
      <c r="BE1" s="1203"/>
      <c r="BF1" s="1203"/>
      <c r="BG1" s="1203"/>
      <c r="BH1" s="1203"/>
      <c r="BI1" s="1203"/>
      <c r="BJ1" s="1203"/>
      <c r="BK1" s="1203"/>
      <c r="BL1" s="311"/>
      <c r="BM1" s="313"/>
      <c r="BN1" s="313"/>
      <c r="BO1" s="139" t="s">
        <v>121</v>
      </c>
      <c r="BP1" s="140" t="s">
        <v>120</v>
      </c>
      <c r="BQ1" s="901"/>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874</v>
      </c>
      <c r="M2" s="72" t="s">
        <v>258</v>
      </c>
      <c r="N2" s="521" t="s">
        <v>435</v>
      </c>
      <c r="O2" s="309" t="s">
        <v>464</v>
      </c>
      <c r="P2" s="72" t="s">
        <v>7</v>
      </c>
      <c r="Q2" s="521" t="s">
        <v>639</v>
      </c>
      <c r="R2" s="72" t="s">
        <v>76</v>
      </c>
      <c r="S2" s="72" t="s">
        <v>256</v>
      </c>
      <c r="T2" s="264" t="s">
        <v>257</v>
      </c>
      <c r="U2" s="592" t="s">
        <v>314</v>
      </c>
      <c r="V2" s="72" t="s">
        <v>411</v>
      </c>
      <c r="W2" s="264" t="s">
        <v>263</v>
      </c>
      <c r="X2" s="264" t="s">
        <v>561</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662</v>
      </c>
      <c r="AN2" s="438" t="s">
        <v>663</v>
      </c>
      <c r="AO2" s="438" t="s">
        <v>664</v>
      </c>
      <c r="AP2" s="438" t="s">
        <v>665</v>
      </c>
      <c r="AQ2" s="74" t="s">
        <v>125</v>
      </c>
      <c r="AR2" s="273" t="s">
        <v>275</v>
      </c>
      <c r="AS2" s="74" t="s">
        <v>823</v>
      </c>
      <c r="AT2" s="74" t="s">
        <v>542</v>
      </c>
      <c r="AU2" s="74" t="s">
        <v>824</v>
      </c>
      <c r="AV2" s="74" t="s">
        <v>541</v>
      </c>
      <c r="AW2" s="74" t="s">
        <v>825</v>
      </c>
      <c r="AX2" s="355" t="s">
        <v>254</v>
      </c>
      <c r="AY2" s="438" t="s">
        <v>255</v>
      </c>
      <c r="AZ2" s="72" t="s">
        <v>192</v>
      </c>
      <c r="BA2" s="72" t="s">
        <v>686</v>
      </c>
      <c r="BB2" s="75" t="s">
        <v>112</v>
      </c>
      <c r="BC2" s="75" t="s">
        <v>98</v>
      </c>
      <c r="BD2" s="354" t="s">
        <v>410</v>
      </c>
      <c r="BE2" s="354" t="s">
        <v>409</v>
      </c>
      <c r="BF2" s="354" t="s">
        <v>119</v>
      </c>
      <c r="BG2" s="355" t="s">
        <v>433</v>
      </c>
      <c r="BH2" s="265" t="s">
        <v>135</v>
      </c>
      <c r="BI2" s="655" t="s">
        <v>139</v>
      </c>
      <c r="BJ2" s="647" t="s">
        <v>279</v>
      </c>
      <c r="BK2" s="266" t="s">
        <v>278</v>
      </c>
      <c r="BL2" s="315" t="s">
        <v>466</v>
      </c>
      <c r="BM2" s="315" t="s">
        <v>467</v>
      </c>
      <c r="BN2" s="315" t="s">
        <v>468</v>
      </c>
      <c r="BQ2" s="902"/>
    </row>
    <row r="3" spans="1:71" s="248" customFormat="1" ht="30" hidden="1" customHeight="1">
      <c r="A3" s="80">
        <f>SUBTOTAL(3,$D$3:D3)</f>
        <v>0</v>
      </c>
      <c r="B3" s="83" t="s">
        <v>415</v>
      </c>
      <c r="C3" s="43" t="s">
        <v>413</v>
      </c>
      <c r="D3" s="42">
        <v>901250436</v>
      </c>
      <c r="E3" s="43" t="s">
        <v>402</v>
      </c>
      <c r="F3" s="43" t="s">
        <v>318</v>
      </c>
      <c r="G3" s="43" t="s">
        <v>159</v>
      </c>
      <c r="H3" s="43" t="s">
        <v>693</v>
      </c>
      <c r="I3" s="43" t="s">
        <v>404</v>
      </c>
      <c r="J3" s="43" t="s">
        <v>123</v>
      </c>
      <c r="K3" s="42" t="s">
        <v>116</v>
      </c>
      <c r="L3" s="42">
        <v>0</v>
      </c>
      <c r="M3" s="42" t="s">
        <v>259</v>
      </c>
      <c r="N3" s="593" t="s">
        <v>120</v>
      </c>
      <c r="O3" s="70">
        <v>0</v>
      </c>
      <c r="P3" s="43" t="s">
        <v>654</v>
      </c>
      <c r="Q3" s="712" t="s">
        <v>654</v>
      </c>
      <c r="R3" s="712" t="s">
        <v>654</v>
      </c>
      <c r="S3" s="44">
        <v>46033</v>
      </c>
      <c r="T3" s="250">
        <v>46763</v>
      </c>
      <c r="U3" s="250">
        <v>46995</v>
      </c>
      <c r="V3" s="44">
        <v>46995</v>
      </c>
      <c r="W3" s="255">
        <f>Table1[[#This Row],[نهاية المشروع المعدلة PMO LIVE]]-Table1[[#This Row],[نهاية المشروع المعدلة EPPM]]</f>
        <v>0</v>
      </c>
      <c r="X3" s="255" t="s">
        <v>169</v>
      </c>
      <c r="Y3" s="253">
        <v>47126</v>
      </c>
      <c r="Z3" s="44">
        <f>_xlfn.XLOOKUP(Table1[[#This Row],[PO]],Table156101114[PO],Table156101114[[النهاية المتوقعة ]],0)</f>
        <v>47126</v>
      </c>
      <c r="AA3" s="719">
        <f>Table1[[#This Row],[النهاية طبقاً للتحديث الاسبوعي الحالي]]-Table1[[#This Row],[النهاية طبقاً للتحديث الاسبوعي السابق]]</f>
        <v>0</v>
      </c>
      <c r="AB3" s="522">
        <v>51109542</v>
      </c>
      <c r="AC3" s="109">
        <v>58775973.299999997</v>
      </c>
      <c r="AD3" s="258">
        <v>1.8700000000000001E-2</v>
      </c>
      <c r="AE3" s="258">
        <v>0</v>
      </c>
      <c r="AF3" s="90">
        <f>_xlfn.XLOOKUP(Table1[[#This Row],[PO]],Table156101114[PO],Table156101114[المخطط % 15 اكتوبر2026],0)</f>
        <v>1.8700000000000001E-2</v>
      </c>
      <c r="AG3" s="90">
        <f>_xlfn.XLOOKUP(Table1[[#This Row],[PO]],Table156101114[PO],Table156101114[Act %],0)</f>
        <v>0</v>
      </c>
      <c r="AH3" s="627">
        <f>Table1[[#This Row],[المخطط % التراكمي]]-Table1[[#This Row],[المخطط % - الإسبوع السابق ]]</f>
        <v>0</v>
      </c>
      <c r="AI3" s="630">
        <f>Table1[[#This Row],[المنفذ % التراكمي]]-Table1[[#This Row],[المنفذ % - الإسبوع السابق]]</f>
        <v>0</v>
      </c>
      <c r="AJ3" s="102">
        <f>Table1[[#This Row],[المنفذ % التراكمي]]-Table1[[#This Row],[المخطط % التراكمي]]</f>
        <v>-1.8700000000000001E-2</v>
      </c>
      <c r="AK3" s="636"/>
      <c r="AL3" s="636"/>
      <c r="AM3" s="673"/>
      <c r="AN3" s="673"/>
      <c r="AO3" s="673"/>
      <c r="AP3" s="673"/>
      <c r="AQ3" s="107">
        <f>_xlfn.XLOOKUP(Table1[[#This Row],[PO]],Table156101114[PO],Table156101114[TF],0)</f>
        <v>-151</v>
      </c>
      <c r="AR3" s="276">
        <f>Table1[[#This Row],[نسبة الإنجاز المتبقية %]]/(Table1[[#This Row],[مدة المشروع المتبقية بالشهور]])</f>
        <v>4.3795620437956199E-2</v>
      </c>
      <c r="AS3" s="70">
        <v>4.2105400787978108E-2</v>
      </c>
      <c r="AT3" s="70">
        <v>0</v>
      </c>
      <c r="AU3" s="446">
        <f>Table1[[#This Row],[نسبة الانجاز التراكمي المطلوب للإنتظام]]-Table1[[#This Row],[المنفذ % التراكمي]]</f>
        <v>0</v>
      </c>
      <c r="AV3" s="70">
        <v>0</v>
      </c>
      <c r="AW3" s="449">
        <f>Table1[[#This Row],[نسبة الانجاز التراكمي المطلوب لتجنب التعثر]]-Table1[[#This Row],[المنفذ % التراكمي]]</f>
        <v>0</v>
      </c>
      <c r="AX3" s="440">
        <f>100%-Table1[[#This Row],[المنفذ % التراكمي]]</f>
        <v>1</v>
      </c>
      <c r="AY3" s="440">
        <f>100%-Table1[[#This Row],[نسبة المدة المنقضية %]]</f>
        <v>0.71205821205821207</v>
      </c>
      <c r="AZ3" s="70">
        <f>_xlfn.XLOOKUP(Table1[[#This Row],[PO]],Table156101114[PO],Table156101114[المدة المنقضية],0)</f>
        <v>0.28794178794178793</v>
      </c>
      <c r="BA3" s="70" t="s">
        <v>122</v>
      </c>
      <c r="BB3" s="108" t="s">
        <v>122</v>
      </c>
      <c r="BC3" s="96">
        <f>_xlfn.XLOOKUP(Table1[[#This Row],[PO]],Table156101114[PO],Table156101114[SPI],0)</f>
        <v>0</v>
      </c>
      <c r="BD3" s="359">
        <f>Table1[[#This Row],[نسبة المدة المنقضية %]]*Table1[[#This Row],[مدة المشروع الكلية بالشهور]]</f>
        <v>9.2333333333333343</v>
      </c>
      <c r="BE3" s="360">
        <f>Table1[[#This Row],[نسبة المدة المتبقية %]]*Table1[[#This Row],[مدة المشروع الكلية بالشهور]]</f>
        <v>22.833333333333336</v>
      </c>
      <c r="BF3" s="360">
        <f>(Table1[[#This Row],[نهاية المشروع المعدلة PMO LIVE]]-Table1[[#This Row],[بداية المشروع التعاقدية]])</f>
        <v>962</v>
      </c>
      <c r="BG3" s="361">
        <f>(Table1[[#This Row],[نهاية المشروع المعدلة PMO LIVE]]-Table1[[#This Row],[بداية المشروع التعاقدية]])/30</f>
        <v>32.06666666666667</v>
      </c>
      <c r="BH3" s="260">
        <f>1.25*Table1[[#This Row],[مدة المشروع بالايام]]</f>
        <v>1202.5</v>
      </c>
      <c r="BI3" s="621">
        <f>Table1[[#This Row],[125%من مدة المشروع]]+Table1[[#This Row],[بداية المشروع التعاقدية]]</f>
        <v>47235.5</v>
      </c>
      <c r="BJ3" s="648">
        <f>Table1[[#This Row],[قيمة المشروع بالضريبة]]*Table1[[#This Row],[المخطط % التراكمي]]</f>
        <v>1099110.70071</v>
      </c>
      <c r="BK3" s="269">
        <f>Table1[[#This Row],[قيمة المشروع بالضريبة]]*Table1[[#This Row],[المنفذ % التراكمي]]</f>
        <v>0</v>
      </c>
      <c r="BL3" s="316">
        <f>Table1[[#This Row],[نسبة الإنجاز المتبقية %]]*Table1[[#This Row],[قيمة المشروع بالضريبة]]</f>
        <v>58775973.299999997</v>
      </c>
      <c r="BM3" s="316">
        <f>Table1[[#This Row],[نسبة الإيقاف%]]*Table1[[#This Row],[قيمة المشروع بالضريبة]]</f>
        <v>0</v>
      </c>
      <c r="BN3" s="317">
        <f>Table1[[#This Row],[Suspended Budget]]/Table1[[#This Row],[Remaining Budget]]</f>
        <v>0</v>
      </c>
      <c r="BQ3" s="903"/>
      <c r="BR3" s="904"/>
      <c r="BS3" s="904"/>
    </row>
    <row r="4" spans="1:71" ht="30" hidden="1" customHeight="1">
      <c r="A4" s="80">
        <f>SUBTOTAL(3,$D$3:D4)</f>
        <v>0</v>
      </c>
      <c r="B4" s="83" t="s">
        <v>297</v>
      </c>
      <c r="C4" s="43" t="s">
        <v>211</v>
      </c>
      <c r="D4" s="42">
        <v>901240102</v>
      </c>
      <c r="E4" s="43" t="s">
        <v>69</v>
      </c>
      <c r="F4" s="43" t="s">
        <v>321</v>
      </c>
      <c r="G4" s="43" t="s">
        <v>151</v>
      </c>
      <c r="H4" s="152" t="s">
        <v>153</v>
      </c>
      <c r="I4" s="43" t="s">
        <v>15</v>
      </c>
      <c r="J4" s="43" t="s">
        <v>123</v>
      </c>
      <c r="K4" s="42" t="s">
        <v>73</v>
      </c>
      <c r="L4" s="42">
        <v>2</v>
      </c>
      <c r="M4" s="42" t="s">
        <v>259</v>
      </c>
      <c r="N4" s="593" t="s">
        <v>120</v>
      </c>
      <c r="O4" s="70">
        <v>0</v>
      </c>
      <c r="P4" s="43" t="s">
        <v>72</v>
      </c>
      <c r="Q4" s="84" t="s">
        <v>100</v>
      </c>
      <c r="R4" s="84" t="s">
        <v>100</v>
      </c>
      <c r="S4" s="44">
        <v>45481</v>
      </c>
      <c r="T4" s="250">
        <v>45938</v>
      </c>
      <c r="U4" s="250">
        <v>46268</v>
      </c>
      <c r="V4" s="44">
        <v>46269</v>
      </c>
      <c r="W4" s="255">
        <f>Table1[[#This Row],[نهاية المشروع المعدلة PMO LIVE]]-Table1[[#This Row],[نهاية المشروع المعدلة EPPM]]</f>
        <v>1</v>
      </c>
      <c r="X4" s="255" t="s">
        <v>169</v>
      </c>
      <c r="Y4" s="625">
        <v>46398</v>
      </c>
      <c r="Z4" s="626">
        <f>_xlfn.XLOOKUP(Table1[[#This Row],[PO]],Table156101114[PO],Table156101114[[النهاية المتوقعة ]],0)</f>
        <v>46405</v>
      </c>
      <c r="AA4" s="717">
        <f>Table1[[#This Row],[النهاية طبقاً للتحديث الاسبوعي الحالي]]-Table1[[#This Row],[النهاية طبقاً للتحديث الاسبوعي السابق]]</f>
        <v>7</v>
      </c>
      <c r="AB4" s="522">
        <v>16144070</v>
      </c>
      <c r="AC4" s="109">
        <v>18565680.5</v>
      </c>
      <c r="AD4" s="258">
        <v>1</v>
      </c>
      <c r="AE4" s="258">
        <v>0.82</v>
      </c>
      <c r="AF4" s="90">
        <f>_xlfn.XLOOKUP(Table1[[#This Row],[PO]],Table156101114[PO],Table156101114[المخطط % 15 اكتوبر2026],0)</f>
        <v>1</v>
      </c>
      <c r="AG4" s="90">
        <f>_xlfn.XLOOKUP(Table1[[#This Row],[PO]],Table156101114[PO],Table156101114[Act %],0)</f>
        <v>0.82</v>
      </c>
      <c r="AH4" s="628">
        <f>Table1[[#This Row],[المخطط % التراكمي]]-Table1[[#This Row],[المخطط % - الإسبوع السابق ]]</f>
        <v>0</v>
      </c>
      <c r="AI4" s="628">
        <f>Table1[[#This Row],[المنفذ % التراكمي]]-Table1[[#This Row],[المنفذ % - الإسبوع السابق]]</f>
        <v>0</v>
      </c>
      <c r="AJ4" s="274">
        <f>Table1[[#This Row],[المنفذ % التراكمي]]-Table1[[#This Row],[المخطط % التراكمي]]</f>
        <v>-0.18000000000000005</v>
      </c>
      <c r="AK4" s="635"/>
      <c r="AL4" s="635" t="s">
        <v>101</v>
      </c>
      <c r="AM4" s="258" t="s">
        <v>338</v>
      </c>
      <c r="AN4" s="258" t="s">
        <v>338</v>
      </c>
      <c r="AO4" s="258" t="s">
        <v>338</v>
      </c>
      <c r="AP4" s="258"/>
      <c r="AQ4" s="91">
        <f>_xlfn.XLOOKUP(Table1[[#This Row],[PO]],Table156101114[PO],Table156101114[TF],0)</f>
        <v>-116</v>
      </c>
      <c r="AR4" s="276">
        <f>Table1[[#This Row],[نسبة الإنجاز المتبقية %]]/(Table1[[#This Row],[مدة المشروع المتبقية بالشهور]])</f>
        <v>-0.13170731707317088</v>
      </c>
      <c r="AS4" s="70">
        <v>1</v>
      </c>
      <c r="AT4" s="70">
        <f>Table1[[#This Row],[نسبة المخطط التراكمي حتى 31 أكتوبر 2026]]-9.9%</f>
        <v>0.90100000000000002</v>
      </c>
      <c r="AU4" s="446">
        <f>Table1[[#This Row],[نسبة الانجاز التراكمي المطلوب للإنتظام]]-Table1[[#This Row],[المنفذ % التراكمي]]</f>
        <v>8.1000000000000072E-2</v>
      </c>
      <c r="AV4" s="70">
        <f>Table1[[#This Row],[نسبة المخطط التراكمي حتى 31 أكتوبر 2026]]-24.9%</f>
        <v>0.751</v>
      </c>
      <c r="AW4" s="449">
        <v>0</v>
      </c>
      <c r="AX4" s="440">
        <f>100%-Table1[[#This Row],[المنفذ % التراكمي]]</f>
        <v>0.18000000000000005</v>
      </c>
      <c r="AY4" s="440">
        <f>100%-Table1[[#This Row],[نسبة المدة المنقضية %]]</f>
        <v>-5.203045685279184E-2</v>
      </c>
      <c r="AZ4" s="70">
        <f>_xlfn.XLOOKUP(Table1[[#This Row],[PO]],Table156101114[PO],Table156101114[المدة المنقضية],0)</f>
        <v>1.0520304568527918</v>
      </c>
      <c r="BA4" s="69" t="s">
        <v>121</v>
      </c>
      <c r="BB4" s="108" t="s">
        <v>120</v>
      </c>
      <c r="BC4" s="96">
        <f>_xlfn.XLOOKUP(Table1[[#This Row],[PO]],Table156101114[PO],Table156101114[SPI],0)</f>
        <v>0.82</v>
      </c>
      <c r="BD4" s="356">
        <f>Table1[[#This Row],[نسبة المدة المنقضية %]]*Table1[[#This Row],[مدة المشروع الكلية بالشهور]]</f>
        <v>27.633333333333333</v>
      </c>
      <c r="BE4" s="357">
        <f>Table1[[#This Row],[نسبة المدة المتبقية %]]*Table1[[#This Row],[مدة المشروع الكلية بالشهور]]</f>
        <v>-1.3666666666666656</v>
      </c>
      <c r="BF4" s="357">
        <f>(Table1[[#This Row],[نهاية المشروع المعدلة PMO LIVE]]-Table1[[#This Row],[بداية المشروع التعاقدية]])</f>
        <v>788</v>
      </c>
      <c r="BG4" s="358">
        <f>(Table1[[#This Row],[نهاية المشروع المعدلة PMO LIVE]]-Table1[[#This Row],[بداية المشروع التعاقدية]])/30</f>
        <v>26.266666666666666</v>
      </c>
      <c r="BH4" s="261">
        <f>1.25*Table1[[#This Row],[مدة المشروع بالايام]]</f>
        <v>985</v>
      </c>
      <c r="BI4" s="661">
        <f>Table1[[#This Row],[125%من مدة المشروع]]+Table1[[#This Row],[بداية المشروع التعاقدية]]</f>
        <v>46466</v>
      </c>
      <c r="BJ4" s="651">
        <f>Table1[[#This Row],[قيمة المشروع بالضريبة]]*Table1[[#This Row],[المخطط % التراكمي]]</f>
        <v>18565680.5</v>
      </c>
      <c r="BK4" s="270">
        <f>Table1[[#This Row],[قيمة المشروع بالضريبة]]*Table1[[#This Row],[المنفذ % التراكمي]]</f>
        <v>15223858.01</v>
      </c>
      <c r="BL4" s="318">
        <f>Table1[[#This Row],[نسبة الإنجاز المتبقية %]]*Table1[[#This Row],[قيمة المشروع بالضريبة]]</f>
        <v>3341822.4900000007</v>
      </c>
      <c r="BM4" s="318">
        <f>Table1[[#This Row],[نسبة الإيقاف%]]*Table1[[#This Row],[قيمة المشروع بالضريبة]]</f>
        <v>0</v>
      </c>
      <c r="BN4" s="319">
        <f>Table1[[#This Row],[Suspended Budget]]/Table1[[#This Row],[Remaining Budget]]</f>
        <v>0</v>
      </c>
      <c r="BQ4" s="903"/>
      <c r="BR4" s="904"/>
      <c r="BS4" s="904"/>
    </row>
    <row r="5" spans="1:71" s="983" customFormat="1" ht="30" hidden="1" customHeight="1">
      <c r="A5" s="79">
        <f>SUBTOTAL(3,$D$3:D5)</f>
        <v>0</v>
      </c>
      <c r="B5" s="85">
        <v>10277</v>
      </c>
      <c r="C5" s="34" t="s">
        <v>197</v>
      </c>
      <c r="D5" s="48">
        <v>901240141</v>
      </c>
      <c r="E5" s="34" t="s">
        <v>67</v>
      </c>
      <c r="F5" s="34" t="s">
        <v>321</v>
      </c>
      <c r="G5" s="602" t="s">
        <v>151</v>
      </c>
      <c r="H5" s="602" t="s">
        <v>152</v>
      </c>
      <c r="I5" s="34" t="s">
        <v>17</v>
      </c>
      <c r="J5" s="34" t="s">
        <v>123</v>
      </c>
      <c r="K5" s="48" t="s">
        <v>73</v>
      </c>
      <c r="L5" s="48">
        <v>2</v>
      </c>
      <c r="M5" s="48" t="s">
        <v>259</v>
      </c>
      <c r="N5" s="594" t="s">
        <v>121</v>
      </c>
      <c r="O5" s="69">
        <v>0</v>
      </c>
      <c r="P5" s="34" t="s">
        <v>72</v>
      </c>
      <c r="Q5" s="84" t="s">
        <v>100</v>
      </c>
      <c r="R5" s="84" t="s">
        <v>100</v>
      </c>
      <c r="S5" s="49">
        <v>45510</v>
      </c>
      <c r="T5" s="249">
        <v>46059</v>
      </c>
      <c r="U5" s="249">
        <v>46232</v>
      </c>
      <c r="V5" s="49">
        <v>46232</v>
      </c>
      <c r="W5" s="254">
        <f>Table1[[#This Row],[نهاية المشروع المعدلة PMO LIVE]]-Table1[[#This Row],[نهاية المشروع المعدلة EPPM]]</f>
        <v>0</v>
      </c>
      <c r="X5" s="483" t="s">
        <v>169</v>
      </c>
      <c r="Y5" s="249">
        <v>46359</v>
      </c>
      <c r="Z5" s="49">
        <f>_xlfn.XLOOKUP(Table1[[#This Row],[PO]],Table156101114[PO],Table156101114[[النهاية المتوقعة ]],0)</f>
        <v>46365</v>
      </c>
      <c r="AA5" s="716">
        <f>Table1[[#This Row],[النهاية طبقاً للتحديث الاسبوعي الحالي]]-Table1[[#This Row],[النهاية طبقاً للتحديث الاسبوعي السابق]]</f>
        <v>6</v>
      </c>
      <c r="AB5" s="523">
        <v>22623396.800000001</v>
      </c>
      <c r="AC5" s="980">
        <v>26016906.32</v>
      </c>
      <c r="AD5" s="257">
        <v>1</v>
      </c>
      <c r="AE5" s="257">
        <v>0.75</v>
      </c>
      <c r="AF5" s="47">
        <f>_xlfn.XLOOKUP(Table1[[#This Row],[PO]],Table156101114[PO],Table156101114[المخطط % 15 اكتوبر2026],0)</f>
        <v>1</v>
      </c>
      <c r="AG5" s="47">
        <f>_xlfn.XLOOKUP(Table1[[#This Row],[PO]],Table156101114[PO],Table156101114[Act %],0)</f>
        <v>0.75</v>
      </c>
      <c r="AH5" s="630">
        <f>Table1[[#This Row],[المخطط % التراكمي]]-Table1[[#This Row],[المخطط % - الإسبوع السابق ]]</f>
        <v>0</v>
      </c>
      <c r="AI5" s="630">
        <f>Table1[[#This Row],[المنفذ % التراكمي]]-Table1[[#This Row],[المنفذ % - الإسبوع السابق]]</f>
        <v>0</v>
      </c>
      <c r="AJ5" s="51">
        <f>Table1[[#This Row],[المنفذ % التراكمي]]-Table1[[#This Row],[المخطط % التراكمي]]</f>
        <v>-0.25</v>
      </c>
      <c r="AK5" s="662"/>
      <c r="AL5" s="662"/>
      <c r="AM5" s="246" t="s">
        <v>338</v>
      </c>
      <c r="AN5" s="246" t="s">
        <v>338</v>
      </c>
      <c r="AO5" s="246" t="s">
        <v>338</v>
      </c>
      <c r="AP5" s="246"/>
      <c r="AQ5" s="103">
        <f>_xlfn.XLOOKUP(Table1[[#This Row],[PO]],Table156101114[PO],Table156101114[TF],0)</f>
        <v>-156</v>
      </c>
      <c r="AR5" s="277">
        <f>Table1[[#This Row],[نسبة الإنجاز المتبقية %]]/(Table1[[#This Row],[مدة المشروع المتبقية بالشهور]])</f>
        <v>-9.615384615384609E-2</v>
      </c>
      <c r="AS5" s="69">
        <v>1</v>
      </c>
      <c r="AT5" s="69">
        <f>Table1[[#This Row],[نسبة المخطط التراكمي حتى 31 أكتوبر 2026]]-9.9%</f>
        <v>0.90100000000000002</v>
      </c>
      <c r="AU5" s="445">
        <f>Table1[[#This Row],[نسبة الانجاز التراكمي المطلوب للإنتظام]]-Table1[[#This Row],[المنفذ % التراكمي]]</f>
        <v>0.15100000000000002</v>
      </c>
      <c r="AV5" s="69">
        <f>Table1[[#This Row],[نسبة المخطط التراكمي حتى 31 أكتوبر 2026]]-24.9%</f>
        <v>0.751</v>
      </c>
      <c r="AW5" s="448">
        <f>Table1[[#This Row],[نسبة الانجاز التراكمي المطلوب لتجنب التعثر]]-Table1[[#This Row],[المنفذ % التراكمي]]</f>
        <v>1.0000000000000009E-3</v>
      </c>
      <c r="AX5" s="439">
        <f>100%-Table1[[#This Row],[المنفذ % التراكمي]]</f>
        <v>0.25</v>
      </c>
      <c r="AY5" s="439">
        <f>100%-Table1[[#This Row],[نسبة المدة المنقضية %]]</f>
        <v>-0.10803324099723</v>
      </c>
      <c r="AZ5" s="69">
        <f>_xlfn.XLOOKUP(Table1[[#This Row],[PO]],Table156101114[PO],Table156101114[المدة المنقضية],0)</f>
        <v>1.10803324099723</v>
      </c>
      <c r="BA5" s="108" t="s">
        <v>120</v>
      </c>
      <c r="BB5" s="105" t="s">
        <v>120</v>
      </c>
      <c r="BC5" s="95">
        <f>_xlfn.XLOOKUP(Table1[[#This Row],[PO]],Table156101114[PO],Table156101114[SPI],0)</f>
        <v>0.75</v>
      </c>
      <c r="BD5" s="356">
        <f>Table1[[#This Row],[نسبة المدة المنقضية %]]*Table1[[#This Row],[مدة المشروع الكلية بالشهور]]</f>
        <v>26.666666666666668</v>
      </c>
      <c r="BE5" s="357">
        <f>Table1[[#This Row],[نسبة المدة المتبقية %]]*Table1[[#This Row],[مدة المشروع الكلية بالشهور]]</f>
        <v>-2.6000000000000019</v>
      </c>
      <c r="BF5" s="357">
        <f>(Table1[[#This Row],[نهاية المشروع المعدلة PMO LIVE]]-Table1[[#This Row],[بداية المشروع التعاقدية]])</f>
        <v>722</v>
      </c>
      <c r="BG5" s="358">
        <f>(Table1[[#This Row],[نهاية المشروع المعدلة PMO LIVE]]-Table1[[#This Row],[بداية المشروع التعاقدية]])/30</f>
        <v>24.066666666666666</v>
      </c>
      <c r="BH5" s="261">
        <f>1.25*Table1[[#This Row],[مدة المشروع بالايام]]</f>
        <v>902.5</v>
      </c>
      <c r="BI5" s="661">
        <f>Table1[[#This Row],[125%من مدة المشروع]]+Table1[[#This Row],[بداية المشروع التعاقدية]]</f>
        <v>46412.5</v>
      </c>
      <c r="BJ5" s="650">
        <f>Table1[[#This Row],[قيمة المشروع بالضريبة]]*Table1[[#This Row],[المخطط % التراكمي]]</f>
        <v>26016906.32</v>
      </c>
      <c r="BK5" s="268">
        <f>Table1[[#This Row],[قيمة المشروع بالضريبة]]*Table1[[#This Row],[المنفذ % التراكمي]]</f>
        <v>19512679.740000002</v>
      </c>
      <c r="BL5" s="318">
        <f>Table1[[#This Row],[نسبة الإنجاز المتبقية %]]*Table1[[#This Row],[قيمة المشروع بالضريبة]]</f>
        <v>6504226.5800000001</v>
      </c>
      <c r="BM5" s="318">
        <f>Table1[[#This Row],[نسبة الإيقاف%]]*Table1[[#This Row],[قيمة المشروع بالضريبة]]</f>
        <v>0</v>
      </c>
      <c r="BN5" s="319">
        <f>Table1[[#This Row],[Suspended Budget]]/Table1[[#This Row],[Remaining Budget]]</f>
        <v>0</v>
      </c>
      <c r="BO5" s="321"/>
      <c r="BP5" s="321"/>
      <c r="BQ5" s="981"/>
      <c r="BR5" s="982"/>
      <c r="BS5" s="982"/>
    </row>
    <row r="6" spans="1:71" ht="30" hidden="1" customHeight="1">
      <c r="A6" s="80">
        <f>SUBTOTAL(3,$D$3:D6)</f>
        <v>0</v>
      </c>
      <c r="B6" s="83">
        <v>10136</v>
      </c>
      <c r="C6" s="43" t="s">
        <v>228</v>
      </c>
      <c r="D6" s="42">
        <v>901230191</v>
      </c>
      <c r="E6" s="43" t="s">
        <v>62</v>
      </c>
      <c r="F6" s="43" t="s">
        <v>320</v>
      </c>
      <c r="G6" s="43" t="s">
        <v>164</v>
      </c>
      <c r="H6" s="43" t="s">
        <v>165</v>
      </c>
      <c r="I6" s="43" t="s">
        <v>11</v>
      </c>
      <c r="J6" s="43" t="s">
        <v>123</v>
      </c>
      <c r="K6" s="42" t="s">
        <v>136</v>
      </c>
      <c r="L6" s="42">
        <v>3</v>
      </c>
      <c r="M6" s="42" t="s">
        <v>259</v>
      </c>
      <c r="N6" s="593" t="s">
        <v>120</v>
      </c>
      <c r="O6" s="70">
        <v>0.24160000000000001</v>
      </c>
      <c r="P6" s="43" t="s">
        <v>366</v>
      </c>
      <c r="Q6" s="84" t="s">
        <v>100</v>
      </c>
      <c r="R6" s="84" t="s">
        <v>100</v>
      </c>
      <c r="S6" s="44">
        <v>45237</v>
      </c>
      <c r="T6" s="250">
        <v>46333</v>
      </c>
      <c r="U6" s="250">
        <v>46429</v>
      </c>
      <c r="V6" s="44">
        <v>46430</v>
      </c>
      <c r="W6" s="255">
        <f>Table1[[#This Row],[نهاية المشروع المعدلة PMO LIVE]]-Table1[[#This Row],[نهاية المشروع المعدلة EPPM]]</f>
        <v>1</v>
      </c>
      <c r="X6" s="255" t="s">
        <v>169</v>
      </c>
      <c r="Y6" s="250">
        <v>46588</v>
      </c>
      <c r="Z6" s="44">
        <f>_xlfn.XLOOKUP(Table1[[#This Row],[PO]],Table156101114[PO],Table156101114[[النهاية المتوقعة ]],0)</f>
        <v>46595</v>
      </c>
      <c r="AA6" s="719">
        <f>Table1[[#This Row],[النهاية طبقاً للتحديث الاسبوعي الحالي]]-Table1[[#This Row],[النهاية طبقاً للتحديث الاسبوعي السابق]]</f>
        <v>7</v>
      </c>
      <c r="AB6" s="522">
        <v>42069316</v>
      </c>
      <c r="AC6" s="109">
        <v>48379713.399999999</v>
      </c>
      <c r="AD6" s="258">
        <v>0.68059999999999998</v>
      </c>
      <c r="AE6" s="258">
        <v>0.53600000000000003</v>
      </c>
      <c r="AF6" s="45">
        <f>_xlfn.XLOOKUP(Table1[[#This Row],[PO]],Table156101114[PO],Table156101114[المخطط % 15 اكتوبر2026],0)</f>
        <v>0.68720000000000003</v>
      </c>
      <c r="AG6" s="45">
        <f>_xlfn.XLOOKUP(Table1[[#This Row],[PO]],Table156101114[PO],Table156101114[Act %],0)</f>
        <v>0.53749999999999998</v>
      </c>
      <c r="AH6" s="629">
        <f>Table1[[#This Row],[المخطط % التراكمي]]-Table1[[#This Row],[المخطط % - الإسبوع السابق ]]</f>
        <v>6.6000000000000503E-3</v>
      </c>
      <c r="AI6" s="629">
        <f>Table1[[#This Row],[المنفذ % التراكمي]]-Table1[[#This Row],[المنفذ % - الإسبوع السابق]]</f>
        <v>1.4999999999999458E-3</v>
      </c>
      <c r="AJ6" s="46">
        <f>Table1[[#This Row],[المنفذ % التراكمي]]-Table1[[#This Row],[المخطط % التراكمي]]</f>
        <v>-0.14970000000000006</v>
      </c>
      <c r="AK6" s="45">
        <v>0.54564100000000004</v>
      </c>
      <c r="AL6" s="45">
        <f>Table1[[#This Row],[المنفذ % التراكمي]]</f>
        <v>0.53749999999999998</v>
      </c>
      <c r="AM6" s="673" t="s">
        <v>338</v>
      </c>
      <c r="AN6" s="673"/>
      <c r="AO6" s="673"/>
      <c r="AP6" s="673"/>
      <c r="AQ6" s="107">
        <f>_xlfn.XLOOKUP(Table1[[#This Row],[PO]],Table156101114[PO],Table156101114[TF],0)</f>
        <v>-136</v>
      </c>
      <c r="AR6" s="276">
        <f>Table1[[#This Row],[نسبة الإنجاز المتبقية %]]/(Table1[[#This Row],[مدة المشروع المتبقية بالشهور]])</f>
        <v>0.11562499999999998</v>
      </c>
      <c r="AS6" s="70">
        <v>0.6959943869779105</v>
      </c>
      <c r="AT6" s="70">
        <f>Table1[[#This Row],[نسبة المخطط التراكمي حتى 31 أكتوبر 2026]]-9.9%</f>
        <v>0.59699438697791052</v>
      </c>
      <c r="AU6" s="446">
        <f>Table1[[#This Row],[نسبة الانجاز التراكمي المطلوب للإنتظام]]-Table1[[#This Row],[المنفذ % التراكمي]]</f>
        <v>5.9494386977910541E-2</v>
      </c>
      <c r="AV6" s="70">
        <f>Table1[[#This Row],[نسبة المخطط التراكمي حتى 31 أكتوبر 2026]]-24.9%</f>
        <v>0.4469943869779105</v>
      </c>
      <c r="AW6" s="449">
        <f>Table1[[#This Row],[نسبة الانجاز التراكمي المطلوب لتجنب التعثر]]-Table1[[#This Row],[المنفذ % التراكمي]]</f>
        <v>-9.0505613022089482E-2</v>
      </c>
      <c r="AX6" s="440">
        <f>100%-Table1[[#This Row],[المنفذ % التراكمي]]</f>
        <v>0.46250000000000002</v>
      </c>
      <c r="AY6" s="440">
        <f>100%-Table1[[#This Row],[نسبة المدة المنقضية %]]</f>
        <v>0.10058675607711653</v>
      </c>
      <c r="AZ6" s="70">
        <f>_xlfn.XLOOKUP(Table1[[#This Row],[PO]],Table156101114[PO],Table156101114[المدة المنقضية],0)</f>
        <v>0.89941324392288347</v>
      </c>
      <c r="BA6" s="69" t="s">
        <v>121</v>
      </c>
      <c r="BB6" s="247" t="s">
        <v>121</v>
      </c>
      <c r="BC6" s="96">
        <f>_xlfn.XLOOKUP(Table1[[#This Row],[PO]],Table156101114[PO],Table156101114[SPI],0)</f>
        <v>0.78215948777648425</v>
      </c>
      <c r="BD6" s="356">
        <f>Table1[[#This Row],[نسبة المدة المنقضية %]]*Table1[[#This Row],[مدة المشروع الكلية بالشهور]]</f>
        <v>35.766666666666666</v>
      </c>
      <c r="BE6" s="357">
        <f>Table1[[#This Row],[نسبة المدة المتبقية %]]*Table1[[#This Row],[مدة المشروع الكلية بالشهور]]</f>
        <v>4.0000000000000009</v>
      </c>
      <c r="BF6" s="357">
        <f>(Table1[[#This Row],[نهاية المشروع المعدلة PMO LIVE]]-Table1[[#This Row],[بداية المشروع التعاقدية]])</f>
        <v>1193</v>
      </c>
      <c r="BG6" s="358">
        <f>(Table1[[#This Row],[نهاية المشروع المعدلة PMO LIVE]]-Table1[[#This Row],[بداية المشروع التعاقدية]])/30</f>
        <v>39.766666666666666</v>
      </c>
      <c r="BH6" s="261">
        <f>1.25*Table1[[#This Row],[مدة المشروع بالايام]]</f>
        <v>1491.25</v>
      </c>
      <c r="BI6" s="661">
        <f>Table1[[#This Row],[125%من مدة المشروع]]+Table1[[#This Row],[بداية المشروع التعاقدية]]</f>
        <v>46728.25</v>
      </c>
      <c r="BJ6" s="651">
        <f>Table1[[#This Row],[قيمة المشروع بالضريبة]]*Table1[[#This Row],[المخطط % التراكمي]]</f>
        <v>33246539.04848</v>
      </c>
      <c r="BK6" s="270">
        <f>Table1[[#This Row],[قيمة المشروع بالضريبة]]*Table1[[#This Row],[المنفذ % التراكمي]]</f>
        <v>26004095.952499997</v>
      </c>
      <c r="BL6" s="318">
        <f>Table1[[#This Row],[نسبة الإنجاز المتبقية %]]*Table1[[#This Row],[قيمة المشروع بالضريبة]]</f>
        <v>22375617.447500002</v>
      </c>
      <c r="BM6" s="318">
        <f>Table1[[#This Row],[نسبة الإيقاف%]]*Table1[[#This Row],[قيمة المشروع بالضريبة]]</f>
        <v>11688538.757440001</v>
      </c>
      <c r="BN6" s="319">
        <f>Table1[[#This Row],[Suspended Budget]]/Table1[[#This Row],[Remaining Budget]]</f>
        <v>0.52237837837837842</v>
      </c>
      <c r="BQ6" s="903"/>
      <c r="BR6" s="904"/>
      <c r="BS6" s="904"/>
    </row>
    <row r="7" spans="1:71" s="322" customFormat="1" ht="30" customHeight="1">
      <c r="A7" s="79">
        <f>SUBTOTAL(3,$D$3:D7)</f>
        <v>1</v>
      </c>
      <c r="B7" s="85">
        <v>10137</v>
      </c>
      <c r="C7" s="34" t="s">
        <v>212</v>
      </c>
      <c r="D7" s="48">
        <v>901230176</v>
      </c>
      <c r="E7" s="34" t="s">
        <v>65</v>
      </c>
      <c r="F7" s="34" t="s">
        <v>321</v>
      </c>
      <c r="G7" s="34" t="s">
        <v>151</v>
      </c>
      <c r="H7" s="602" t="s">
        <v>156</v>
      </c>
      <c r="I7" s="34" t="s">
        <v>14</v>
      </c>
      <c r="J7" s="34" t="s">
        <v>123</v>
      </c>
      <c r="K7" s="48" t="s">
        <v>73</v>
      </c>
      <c r="L7" s="48">
        <v>0</v>
      </c>
      <c r="M7" s="48" t="s">
        <v>259</v>
      </c>
      <c r="N7" s="594" t="s">
        <v>121</v>
      </c>
      <c r="O7" s="69">
        <v>1.1599999999999999E-2</v>
      </c>
      <c r="P7" s="34" t="s">
        <v>72</v>
      </c>
      <c r="Q7" s="84" t="s">
        <v>100</v>
      </c>
      <c r="R7" s="84" t="s">
        <v>100</v>
      </c>
      <c r="S7" s="49">
        <v>45249</v>
      </c>
      <c r="T7" s="249">
        <v>45980</v>
      </c>
      <c r="U7" s="249">
        <v>46379</v>
      </c>
      <c r="V7" s="49">
        <v>46379</v>
      </c>
      <c r="W7" s="254">
        <f>Table1[[#This Row],[نهاية المشروع المعدلة PMO LIVE]]-Table1[[#This Row],[نهاية المشروع المعدلة EPPM]]</f>
        <v>0</v>
      </c>
      <c r="X7" s="483" t="s">
        <v>169</v>
      </c>
      <c r="Y7" s="249">
        <v>46449</v>
      </c>
      <c r="Z7" s="49">
        <f>_xlfn.XLOOKUP(Table1[[#This Row],[PO]],Table156101114[PO],Table156101114[[النهاية المتوقعة ]],0)</f>
        <v>46456</v>
      </c>
      <c r="AA7" s="716">
        <f>Table1[[#This Row],[النهاية طبقاً للتحديث الاسبوعي الحالي]]-Table1[[#This Row],[النهاية طبقاً للتحديث الاسبوعي السابق]]</f>
        <v>7</v>
      </c>
      <c r="AB7" s="523">
        <v>32905589.93</v>
      </c>
      <c r="AC7" s="110">
        <v>37841428.420000002</v>
      </c>
      <c r="AD7" s="257">
        <v>0.71819999999999995</v>
      </c>
      <c r="AE7" s="257">
        <v>0.55920000000000003</v>
      </c>
      <c r="AF7" s="47">
        <f>_xlfn.XLOOKUP(Table1[[#This Row],[PO]],Table156101114[PO],Table156101114[المخطط % 15 اكتوبر2026],0)</f>
        <v>0.74339999999999995</v>
      </c>
      <c r="AG7" s="47">
        <f>_xlfn.XLOOKUP(Table1[[#This Row],[PO]],Table156101114[PO],Table156101114[Act %],0)</f>
        <v>0.55979999999999996</v>
      </c>
      <c r="AH7" s="630">
        <f>Table1[[#This Row],[المخطط % التراكمي]]-Table1[[#This Row],[المخطط % - الإسبوع السابق ]]</f>
        <v>2.52E-2</v>
      </c>
      <c r="AI7" s="630">
        <f>Table1[[#This Row],[المنفذ % التراكمي]]-Table1[[#This Row],[المنفذ % - الإسبوع السابق]]</f>
        <v>5.9999999999993392E-4</v>
      </c>
      <c r="AJ7" s="275">
        <f>Table1[[#This Row],[المنفذ % التراكمي]]-Table1[[#This Row],[المخطط % التراكمي]]</f>
        <v>-0.18359999999999999</v>
      </c>
      <c r="AK7" s="47">
        <v>0.72140000000000004</v>
      </c>
      <c r="AL7" s="47">
        <f>Table1[[#This Row],[المنفذ % التراكمي]]</f>
        <v>0.55979999999999996</v>
      </c>
      <c r="AM7" s="47" t="s">
        <v>338</v>
      </c>
      <c r="AN7" s="47"/>
      <c r="AO7" s="47"/>
      <c r="AP7" s="47"/>
      <c r="AQ7" s="103">
        <f>_xlfn.XLOOKUP(Table1[[#This Row],[PO]],Table156101114[PO],Table156101114[TF],0)</f>
        <v>-82</v>
      </c>
      <c r="AR7" s="277">
        <f>Table1[[#This Row],[نسبة الإنجاز المتبقية %]]/(Table1[[#This Row],[مدة المشروع المتبقية بالشهور]])</f>
        <v>0.19139130434782609</v>
      </c>
      <c r="AS7" s="69">
        <v>0.80262937197552331</v>
      </c>
      <c r="AT7" s="69">
        <f>Table1[[#This Row],[نسبة المخطط التراكمي حتى 31 أكتوبر 2026]]-9.9%</f>
        <v>0.70362937197552333</v>
      </c>
      <c r="AU7" s="445">
        <f>Table1[[#This Row],[نسبة الانجاز التراكمي المطلوب للإنتظام]]-Table1[[#This Row],[المنفذ % التراكمي]]</f>
        <v>0.14382937197552337</v>
      </c>
      <c r="AV7" s="69">
        <f>Table1[[#This Row],[نسبة المخطط التراكمي حتى 31 أكتوبر 2026]]-24.9%</f>
        <v>0.55362937197552331</v>
      </c>
      <c r="AW7" s="448">
        <v>0</v>
      </c>
      <c r="AX7" s="439">
        <f>100%-Table1[[#This Row],[المنفذ % التراكمي]]</f>
        <v>0.44020000000000004</v>
      </c>
      <c r="AY7" s="439">
        <f>100%-Table1[[#This Row],[نسبة المدة المنقضية %]]</f>
        <v>6.1061946902654873E-2</v>
      </c>
      <c r="AZ7" s="69">
        <f>_xlfn.XLOOKUP(Table1[[#This Row],[PO]],Table156101114[PO],Table156101114[المدة المنقضية],0)</f>
        <v>0.93893805309734513</v>
      </c>
      <c r="BA7" s="69" t="s">
        <v>121</v>
      </c>
      <c r="BB7" s="247" t="s">
        <v>121</v>
      </c>
      <c r="BC7" s="95">
        <f>_xlfn.XLOOKUP(Table1[[#This Row],[PO]],Table156101114[PO],Table156101114[SPI],0)</f>
        <v>0.75302663438256656</v>
      </c>
      <c r="BD7" s="356">
        <f>Table1[[#This Row],[نسبة المدة المنقضية %]]*Table1[[#This Row],[مدة المشروع الكلية بالشهور]]</f>
        <v>35.366666666666667</v>
      </c>
      <c r="BE7" s="357">
        <f>Table1[[#This Row],[نسبة المدة المتبقية %]]*Table1[[#This Row],[مدة المشروع الكلية بالشهور]]</f>
        <v>2.3000000000000003</v>
      </c>
      <c r="BF7" s="357">
        <f>(Table1[[#This Row],[نهاية المشروع المعدلة PMO LIVE]]-Table1[[#This Row],[بداية المشروع التعاقدية]])</f>
        <v>1130</v>
      </c>
      <c r="BG7" s="358">
        <f>(Table1[[#This Row],[نهاية المشروع المعدلة PMO LIVE]]-Table1[[#This Row],[بداية المشروع التعاقدية]])/30</f>
        <v>37.666666666666664</v>
      </c>
      <c r="BH7" s="261">
        <f>1.25*Table1[[#This Row],[مدة المشروع بالايام]]</f>
        <v>1412.5</v>
      </c>
      <c r="BI7" s="661">
        <f>Table1[[#This Row],[125%من مدة المشروع]]+Table1[[#This Row],[بداية المشروع التعاقدية]]</f>
        <v>46661.5</v>
      </c>
      <c r="BJ7" s="649">
        <f>Table1[[#This Row],[قيمة المشروع بالضريبة]]*Table1[[#This Row],[المخطط % التراكمي]]</f>
        <v>28131317.887428001</v>
      </c>
      <c r="BK7" s="267">
        <f>Table1[[#This Row],[قيمة المشروع بالضريبة]]*Table1[[#This Row],[المنفذ % التراكمي]]</f>
        <v>21183631.629515998</v>
      </c>
      <c r="BL7" s="316">
        <f>Table1[[#This Row],[نسبة الإنجاز المتبقية %]]*Table1[[#This Row],[قيمة المشروع بالضريبة]]</f>
        <v>16657796.790484002</v>
      </c>
      <c r="BM7" s="316">
        <f>Table1[[#This Row],[نسبة الإيقاف%]]*Table1[[#This Row],[قيمة المشروع بالضريبة]]</f>
        <v>438960.56967200001</v>
      </c>
      <c r="BN7" s="317">
        <f>Table1[[#This Row],[Suspended Budget]]/Table1[[#This Row],[Remaining Budget]]</f>
        <v>2.6351658337119489E-2</v>
      </c>
      <c r="BQ7" s="903"/>
      <c r="BR7" s="904"/>
      <c r="BS7" s="904"/>
    </row>
    <row r="8" spans="1:71" ht="30" hidden="1" customHeight="1">
      <c r="A8" s="79">
        <f>SUBTOTAL(3,$D$3:D8)</f>
        <v>1</v>
      </c>
      <c r="B8" s="85" t="s">
        <v>416</v>
      </c>
      <c r="C8" s="34" t="s">
        <v>414</v>
      </c>
      <c r="D8" s="48">
        <v>901250499</v>
      </c>
      <c r="E8" s="34" t="s">
        <v>403</v>
      </c>
      <c r="F8" s="34" t="s">
        <v>321</v>
      </c>
      <c r="G8" s="34" t="s">
        <v>151</v>
      </c>
      <c r="H8" s="34" t="s">
        <v>524</v>
      </c>
      <c r="I8" s="34" t="s">
        <v>405</v>
      </c>
      <c r="J8" s="34" t="s">
        <v>123</v>
      </c>
      <c r="K8" s="48" t="s">
        <v>73</v>
      </c>
      <c r="L8" s="48">
        <v>0</v>
      </c>
      <c r="M8" s="48" t="s">
        <v>259</v>
      </c>
      <c r="N8" s="594" t="s">
        <v>120</v>
      </c>
      <c r="O8" s="69">
        <v>0</v>
      </c>
      <c r="P8" s="34" t="s">
        <v>72</v>
      </c>
      <c r="Q8" s="84" t="s">
        <v>100</v>
      </c>
      <c r="R8" s="84" t="s">
        <v>100</v>
      </c>
      <c r="S8" s="49">
        <v>46035</v>
      </c>
      <c r="T8" s="249">
        <v>46400</v>
      </c>
      <c r="U8" s="249">
        <v>46569</v>
      </c>
      <c r="V8" s="49">
        <v>46569</v>
      </c>
      <c r="W8" s="254">
        <f>Table1[[#This Row],[نهاية المشروع المعدلة PMO LIVE]]-Table1[[#This Row],[نهاية المشروع المعدلة EPPM]]</f>
        <v>0</v>
      </c>
      <c r="X8" s="254" t="s">
        <v>169</v>
      </c>
      <c r="Y8" s="252">
        <v>46569</v>
      </c>
      <c r="Z8" s="49">
        <f>_xlfn.XLOOKUP(Table1[[#This Row],[PO]],Table156101114[PO],Table156101114[[النهاية المتوقعة ]],0)</f>
        <v>46576</v>
      </c>
      <c r="AA8" s="716">
        <f>Table1[[#This Row],[النهاية طبقاً للتحديث الاسبوعي الحالي]]-Table1[[#This Row],[النهاية طبقاً للتحديث الاسبوعي السابق]]</f>
        <v>7</v>
      </c>
      <c r="AB8" s="523">
        <v>12519874</v>
      </c>
      <c r="AC8" s="110">
        <v>14397855.1</v>
      </c>
      <c r="AD8" s="257">
        <v>0.1386</v>
      </c>
      <c r="AE8" s="257">
        <v>0</v>
      </c>
      <c r="AF8" s="81">
        <f>_xlfn.XLOOKUP(Table1[[#This Row],[PO]],Table156101114[PO],Table156101114[المخطط % 15 اكتوبر2026],0)</f>
        <v>0.14660000000000001</v>
      </c>
      <c r="AG8" s="81">
        <f>_xlfn.XLOOKUP(Table1[[#This Row],[PO]],Table156101114[PO],Table156101114[Act %],0)</f>
        <v>0</v>
      </c>
      <c r="AH8" s="627">
        <f>Table1[[#This Row],[المخطط % التراكمي]]-Table1[[#This Row],[المخطط % - الإسبوع السابق ]]</f>
        <v>8.0000000000000071E-3</v>
      </c>
      <c r="AI8" s="630">
        <f>Table1[[#This Row],[المنفذ % التراكمي]]-Table1[[#This Row],[المنفذ % - الإسبوع السابق]]</f>
        <v>0</v>
      </c>
      <c r="AJ8" s="102">
        <f>Table1[[#This Row],[المنفذ % التراكمي]]-Table1[[#This Row],[المخطط % التراكمي]]</f>
        <v>-0.14660000000000001</v>
      </c>
      <c r="AK8" s="47">
        <v>5.7580000000000001E-3</v>
      </c>
      <c r="AL8" s="47">
        <f>Table1[[#This Row],[المنفذ % التراكمي]]</f>
        <v>0</v>
      </c>
      <c r="AM8" s="674" t="s">
        <v>338</v>
      </c>
      <c r="AN8" s="674"/>
      <c r="AO8" s="674"/>
      <c r="AP8" s="674"/>
      <c r="AQ8" s="103">
        <f>_xlfn.XLOOKUP(Table1[[#This Row],[PO]],Table156101114[PO],Table156101114[TF],0)</f>
        <v>-160</v>
      </c>
      <c r="AR8" s="277">
        <f>Table1[[#This Row],[نسبة الإنجاز المتبقية %]]/(Table1[[#This Row],[مدة المشروع المتبقية بالشهور]])</f>
        <v>0.11583011583011583</v>
      </c>
      <c r="AS8" s="69">
        <v>0.16283936723324852</v>
      </c>
      <c r="AT8" s="69">
        <f>Table1[[#This Row],[نسبة المخطط التراكمي حتى 31 أكتوبر 2026]]-9.9%</f>
        <v>6.3839367233248512E-2</v>
      </c>
      <c r="AU8" s="445">
        <f>Table1[[#This Row],[نسبة الانجاز التراكمي المطلوب للإنتظام]]-Table1[[#This Row],[المنفذ % التراكمي]]</f>
        <v>6.3839367233248512E-2</v>
      </c>
      <c r="AV8" s="69">
        <v>0</v>
      </c>
      <c r="AW8" s="448">
        <f>Table1[[#This Row],[نسبة الانجاز التراكمي المطلوب لتجنب التعثر]]-Table1[[#This Row],[المنفذ % التراكمي]]</f>
        <v>0</v>
      </c>
      <c r="AX8" s="439">
        <f>100%-Table1[[#This Row],[المنفذ % التراكمي]]</f>
        <v>1</v>
      </c>
      <c r="AY8" s="439">
        <f>100%-Table1[[#This Row],[نسبة المدة المنقضية %]]</f>
        <v>0.48501872659176026</v>
      </c>
      <c r="AZ8" s="69">
        <f>_xlfn.XLOOKUP(Table1[[#This Row],[PO]],Table156101114[PO],Table156101114[المدة المنقضية],0)</f>
        <v>0.51498127340823974</v>
      </c>
      <c r="BA8" s="69" t="s">
        <v>122</v>
      </c>
      <c r="BB8" s="105" t="s">
        <v>121</v>
      </c>
      <c r="BC8" s="95">
        <f>_xlfn.XLOOKUP(Table1[[#This Row],[PO]],Table156101114[PO],Table156101114[SPI],0)</f>
        <v>0</v>
      </c>
      <c r="BD8" s="356">
        <f>Table1[[#This Row],[نسبة المدة المنقضية %]]*Table1[[#This Row],[مدة المشروع الكلية بالشهور]]</f>
        <v>9.1666666666666679</v>
      </c>
      <c r="BE8" s="357">
        <f>Table1[[#This Row],[نسبة المدة المتبقية %]]*Table1[[#This Row],[مدة المشروع الكلية بالشهور]]</f>
        <v>8.6333333333333329</v>
      </c>
      <c r="BF8" s="357">
        <f>(Table1[[#This Row],[نهاية المشروع المعدلة PMO LIVE]]-Table1[[#This Row],[بداية المشروع التعاقدية]])</f>
        <v>534</v>
      </c>
      <c r="BG8" s="358">
        <f>(Table1[[#This Row],[نهاية المشروع المعدلة PMO LIVE]]-Table1[[#This Row],[بداية المشروع التعاقدية]])/30</f>
        <v>17.8</v>
      </c>
      <c r="BH8" s="261">
        <f>1.25*Table1[[#This Row],[مدة المشروع بالايام]]</f>
        <v>667.5</v>
      </c>
      <c r="BI8" s="661">
        <f>Table1[[#This Row],[125%من مدة المشروع]]+Table1[[#This Row],[بداية المشروع التعاقدية]]</f>
        <v>46702.5</v>
      </c>
      <c r="BJ8" s="651">
        <f>Table1[[#This Row],[قيمة المشروع بالضريبة]]*Table1[[#This Row],[المخطط % التراكمي]]</f>
        <v>2110725.5576599999</v>
      </c>
      <c r="BK8" s="270">
        <f>Table1[[#This Row],[قيمة المشروع بالضريبة]]*Table1[[#This Row],[المنفذ % التراكمي]]</f>
        <v>0</v>
      </c>
      <c r="BL8" s="318">
        <f>Table1[[#This Row],[نسبة الإنجاز المتبقية %]]*Table1[[#This Row],[قيمة المشروع بالضريبة]]</f>
        <v>14397855.1</v>
      </c>
      <c r="BM8" s="318">
        <f>Table1[[#This Row],[نسبة الإيقاف%]]*Table1[[#This Row],[قيمة المشروع بالضريبة]]</f>
        <v>0</v>
      </c>
      <c r="BN8" s="319">
        <f>Table1[[#This Row],[Suspended Budget]]/Table1[[#This Row],[Remaining Budget]]</f>
        <v>0</v>
      </c>
      <c r="BO8" s="41"/>
      <c r="BP8" s="41"/>
      <c r="BQ8" s="903"/>
      <c r="BR8" s="904"/>
      <c r="BS8" s="904"/>
    </row>
    <row r="9" spans="1:71" s="322" customFormat="1" ht="30" hidden="1" customHeight="1">
      <c r="A9" s="80">
        <f>SUBTOTAL(3,$D$3:D9)</f>
        <v>1</v>
      </c>
      <c r="B9" s="83">
        <v>10279</v>
      </c>
      <c r="C9" s="43" t="s">
        <v>223</v>
      </c>
      <c r="D9" s="42">
        <v>901240091</v>
      </c>
      <c r="E9" s="43" t="s">
        <v>138</v>
      </c>
      <c r="F9" s="43" t="s">
        <v>320</v>
      </c>
      <c r="G9" s="43" t="s">
        <v>164</v>
      </c>
      <c r="H9" s="152" t="s">
        <v>264</v>
      </c>
      <c r="I9" s="43" t="s">
        <v>74</v>
      </c>
      <c r="J9" s="43" t="s">
        <v>123</v>
      </c>
      <c r="K9" s="42" t="s">
        <v>136</v>
      </c>
      <c r="L9" s="42">
        <v>0</v>
      </c>
      <c r="M9" s="42" t="s">
        <v>259</v>
      </c>
      <c r="N9" s="593" t="s">
        <v>120</v>
      </c>
      <c r="O9" s="70">
        <v>0.10299999999999999</v>
      </c>
      <c r="P9" s="43" t="s">
        <v>72</v>
      </c>
      <c r="Q9" s="94" t="s">
        <v>77</v>
      </c>
      <c r="R9" s="84" t="s">
        <v>100</v>
      </c>
      <c r="S9" s="44">
        <v>45490</v>
      </c>
      <c r="T9" s="250">
        <v>46220</v>
      </c>
      <c r="U9" s="250">
        <v>46411</v>
      </c>
      <c r="V9" s="44">
        <v>46411</v>
      </c>
      <c r="W9" s="255">
        <f>Table1[[#This Row],[نهاية المشروع المعدلة PMO LIVE]]-Table1[[#This Row],[نهاية المشروع المعدلة EPPM]]</f>
        <v>0</v>
      </c>
      <c r="X9" s="484" t="s">
        <v>169</v>
      </c>
      <c r="Y9" s="250">
        <v>46449</v>
      </c>
      <c r="Z9" s="44">
        <f>_xlfn.XLOOKUP(Table1[[#This Row],[PO]],Table156101114[PO],Table156101114[[النهاية المتوقعة ]],0)</f>
        <v>46456</v>
      </c>
      <c r="AA9" s="719">
        <f>Table1[[#This Row],[النهاية طبقاً للتحديث الاسبوعي الحالي]]-Table1[[#This Row],[النهاية طبقاً للتحديث الاسبوعي السابق]]</f>
        <v>7</v>
      </c>
      <c r="AB9" s="522">
        <v>19721322</v>
      </c>
      <c r="AC9" s="109">
        <v>22679520.300000001</v>
      </c>
      <c r="AD9" s="258">
        <v>0.57430000000000003</v>
      </c>
      <c r="AE9" s="258">
        <v>0.47570000000000001</v>
      </c>
      <c r="AF9" s="45">
        <f>_xlfn.XLOOKUP(Table1[[#This Row],[PO]],Table156101114[PO],Table156101114[المخطط % 15 اكتوبر2026],0)</f>
        <v>0.60029999999999994</v>
      </c>
      <c r="AG9" s="45">
        <f>_xlfn.XLOOKUP(Table1[[#This Row],[PO]],Table156101114[PO],Table156101114[Act %],0)</f>
        <v>0.47570000000000001</v>
      </c>
      <c r="AH9" s="629">
        <f>Table1[[#This Row],[المخطط % التراكمي]]-Table1[[#This Row],[المخطط % - الإسبوع السابق ]]</f>
        <v>2.5999999999999912E-2</v>
      </c>
      <c r="AI9" s="629">
        <f>Table1[[#This Row],[المنفذ % التراكمي]]-Table1[[#This Row],[المنفذ % - الإسبوع السابق]]</f>
        <v>0</v>
      </c>
      <c r="AJ9" s="51">
        <f>Table1[[#This Row],[المنفذ % التراكمي]]-Table1[[#This Row],[المخطط % التراكمي]]</f>
        <v>-0.12459999999999993</v>
      </c>
      <c r="AK9" s="45">
        <v>0.53227400000000002</v>
      </c>
      <c r="AL9" s="45">
        <f>Table1[[#This Row],[المنفذ % التراكمي]]</f>
        <v>0.47570000000000001</v>
      </c>
      <c r="AM9" s="673" t="s">
        <v>338</v>
      </c>
      <c r="AN9" s="673" t="s">
        <v>338</v>
      </c>
      <c r="AO9" s="673"/>
      <c r="AP9" s="673"/>
      <c r="AQ9" s="107">
        <f>_xlfn.XLOOKUP(Table1[[#This Row],[PO]],Table156101114[PO],Table156101114[TF],0)</f>
        <v>-38</v>
      </c>
      <c r="AR9" s="276">
        <f>Table1[[#This Row],[نسبة الإنجاز المتبقية %]]/(Table1[[#This Row],[مدة المشروع المتبقية بالشهور]])</f>
        <v>0.15573267326732668</v>
      </c>
      <c r="AS9" s="70">
        <v>0.635619514756668</v>
      </c>
      <c r="AT9" s="70">
        <f>Table1[[#This Row],[نسبة المخطط التراكمي حتى 31 أكتوبر 2026]]-9.9%</f>
        <v>0.53661951475666803</v>
      </c>
      <c r="AU9" s="446">
        <f>Table1[[#This Row],[نسبة الانجاز التراكمي المطلوب للإنتظام]]-Table1[[#This Row],[المنفذ % التراكمي]]</f>
        <v>6.0919514756668014E-2</v>
      </c>
      <c r="AV9" s="70">
        <f>Table1[[#This Row],[نسبة المخطط التراكمي حتى 31 أكتوبر 2026]]-24.9%</f>
        <v>0.386619514756668</v>
      </c>
      <c r="AW9" s="449">
        <v>0</v>
      </c>
      <c r="AX9" s="440">
        <f>100%-Table1[[#This Row],[المنفذ % التراكمي]]</f>
        <v>0.52429999999999999</v>
      </c>
      <c r="AY9" s="440">
        <f>100%-Table1[[#This Row],[نسبة المدة المنقضية %]]</f>
        <v>0.10966340933767649</v>
      </c>
      <c r="AZ9" s="70">
        <f>_xlfn.XLOOKUP(Table1[[#This Row],[PO]],Table156101114[PO],Table156101114[المدة المنقضية],0)</f>
        <v>0.89033659066232351</v>
      </c>
      <c r="BA9" s="70" t="s">
        <v>120</v>
      </c>
      <c r="BB9" s="108" t="s">
        <v>121</v>
      </c>
      <c r="BC9" s="96">
        <f>_xlfn.XLOOKUP(Table1[[#This Row],[PO]],Table156101114[PO],Table156101114[SPI],0)</f>
        <v>0.79243711477594547</v>
      </c>
      <c r="BD9" s="359">
        <f>Table1[[#This Row],[نسبة المدة المنقضية %]]*Table1[[#This Row],[مدة المشروع الكلية بالشهور]]</f>
        <v>27.333333333333332</v>
      </c>
      <c r="BE9" s="360">
        <f>Table1[[#This Row],[نسبة المدة المتبقية %]]*Table1[[#This Row],[مدة المشروع الكلية بالشهور]]</f>
        <v>3.366666666666668</v>
      </c>
      <c r="BF9" s="360">
        <f>(Table1[[#This Row],[نهاية المشروع المعدلة PMO LIVE]]-Table1[[#This Row],[بداية المشروع التعاقدية]])</f>
        <v>921</v>
      </c>
      <c r="BG9" s="361">
        <f>(Table1[[#This Row],[نهاية المشروع المعدلة PMO LIVE]]-Table1[[#This Row],[بداية المشروع التعاقدية]])/30</f>
        <v>30.7</v>
      </c>
      <c r="BH9" s="260">
        <f>1.25*Table1[[#This Row],[مدة المشروع بالايام]]</f>
        <v>1151.25</v>
      </c>
      <c r="BI9" s="661">
        <f>Table1[[#This Row],[125%من مدة المشروع]]+Table1[[#This Row],[بداية المشروع التعاقدية]]</f>
        <v>46641.25</v>
      </c>
      <c r="BJ9" s="648">
        <f>Table1[[#This Row],[قيمة المشروع بالضريبة]]*Table1[[#This Row],[المخطط % التراكمي]]</f>
        <v>13614516.03609</v>
      </c>
      <c r="BK9" s="269">
        <f>Table1[[#This Row],[قيمة المشروع بالضريبة]]*Table1[[#This Row],[المنفذ % التراكمي]]</f>
        <v>10788647.806710001</v>
      </c>
      <c r="BL9" s="316">
        <f>Table1[[#This Row],[نسبة الإنجاز المتبقية %]]*Table1[[#This Row],[قيمة المشروع بالضريبة]]</f>
        <v>11890872.49329</v>
      </c>
      <c r="BM9" s="316">
        <f>Table1[[#This Row],[نسبة الإيقاف%]]*Table1[[#This Row],[قيمة المشروع بالضريبة]]</f>
        <v>2335990.5908999997</v>
      </c>
      <c r="BN9" s="317">
        <f>Table1[[#This Row],[Suspended Budget]]/Table1[[#This Row],[Remaining Budget]]</f>
        <v>0.19645241274079722</v>
      </c>
      <c r="BQ9" s="903"/>
      <c r="BR9" s="904"/>
      <c r="BS9" s="904"/>
    </row>
    <row r="10" spans="1:71" ht="30" hidden="1" customHeight="1">
      <c r="A10" s="79">
        <f>SUBTOTAL(3,$D$3:D10)</f>
        <v>1</v>
      </c>
      <c r="B10" s="85" t="s">
        <v>283</v>
      </c>
      <c r="C10" s="34" t="s">
        <v>198</v>
      </c>
      <c r="D10" s="48">
        <v>901240075</v>
      </c>
      <c r="E10" s="34" t="s">
        <v>54</v>
      </c>
      <c r="F10" s="34" t="s">
        <v>318</v>
      </c>
      <c r="G10" s="154" t="s">
        <v>159</v>
      </c>
      <c r="H10" s="155" t="s">
        <v>162</v>
      </c>
      <c r="I10" s="34" t="s">
        <v>29</v>
      </c>
      <c r="J10" s="34" t="s">
        <v>123</v>
      </c>
      <c r="K10" s="48" t="s">
        <v>116</v>
      </c>
      <c r="L10" s="48">
        <v>5</v>
      </c>
      <c r="M10" s="48" t="s">
        <v>259</v>
      </c>
      <c r="N10" s="594" t="s">
        <v>120</v>
      </c>
      <c r="O10" s="69">
        <v>0.22550000000000001</v>
      </c>
      <c r="P10" s="34" t="s">
        <v>366</v>
      </c>
      <c r="Q10" s="92" t="s">
        <v>85</v>
      </c>
      <c r="R10" s="92" t="s">
        <v>85</v>
      </c>
      <c r="S10" s="49">
        <v>45468</v>
      </c>
      <c r="T10" s="249">
        <v>46198</v>
      </c>
      <c r="U10" s="249">
        <v>46480</v>
      </c>
      <c r="V10" s="49">
        <v>46480</v>
      </c>
      <c r="W10" s="254">
        <f>Table1[[#This Row],[نهاية المشروع المعدلة PMO LIVE]]-Table1[[#This Row],[نهاية المشروع المعدلة EPPM]]</f>
        <v>0</v>
      </c>
      <c r="X10" s="483" t="s">
        <v>169</v>
      </c>
      <c r="Y10" s="252">
        <v>46609</v>
      </c>
      <c r="Z10" s="88">
        <f>_xlfn.XLOOKUP(Table1[[#This Row],[PO]],Table156101114[PO],Table156101114[[النهاية المتوقعة ]],0)</f>
        <v>46616</v>
      </c>
      <c r="AA10" s="720">
        <f>Table1[[#This Row],[النهاية طبقاً للتحديث الاسبوعي الحالي]]-Table1[[#This Row],[النهاية طبقاً للتحديث الاسبوعي السابق]]</f>
        <v>7</v>
      </c>
      <c r="AB10" s="523">
        <v>39025475.149999999</v>
      </c>
      <c r="AC10" s="110">
        <v>44879296.420000002</v>
      </c>
      <c r="AD10" s="257">
        <v>0.44030000000000002</v>
      </c>
      <c r="AE10" s="257">
        <v>0.13200000000000001</v>
      </c>
      <c r="AF10" s="81">
        <f>_xlfn.XLOOKUP(Table1[[#This Row],[PO]],Table156101114[PO],Table156101114[المخطط % 15 اكتوبر2026],0)</f>
        <v>0.45739999999999997</v>
      </c>
      <c r="AG10" s="81">
        <f>_xlfn.XLOOKUP(Table1[[#This Row],[PO]],Table156101114[PO],Table156101114[Act %],0)</f>
        <v>0.13200000000000001</v>
      </c>
      <c r="AH10" s="628">
        <f>Table1[[#This Row],[المخطط % التراكمي]]-Table1[[#This Row],[المخطط % - الإسبوع السابق ]]</f>
        <v>1.7099999999999949E-2</v>
      </c>
      <c r="AI10" s="628">
        <f>Table1[[#This Row],[المنفذ % التراكمي]]-Table1[[#This Row],[المنفذ % - الإسبوع السابق]]</f>
        <v>0</v>
      </c>
      <c r="AJ10" s="102">
        <f>Table1[[#This Row],[المنفذ % التراكمي]]-Table1[[#This Row],[المخطط % التراكمي]]</f>
        <v>-0.32539999999999997</v>
      </c>
      <c r="AK10" s="1011"/>
      <c r="AL10" s="1011"/>
      <c r="AM10" s="257" t="s">
        <v>338</v>
      </c>
      <c r="AN10" s="257" t="s">
        <v>338</v>
      </c>
      <c r="AO10" s="257"/>
      <c r="AP10" s="257"/>
      <c r="AQ10" s="106">
        <f>_xlfn.XLOOKUP(Table1[[#This Row],[PO]],Table156101114[PO],Table156101114[TF],0)</f>
        <v>-117</v>
      </c>
      <c r="AR10" s="277">
        <f>Table1[[#This Row],[نسبة الإنجاز المتبقية %]]/(Table1[[#This Row],[مدة المشروع المتبقية بالشهور]])</f>
        <v>0.15317647058823525</v>
      </c>
      <c r="AS10" s="69">
        <v>0.49792576095422014</v>
      </c>
      <c r="AT10" s="69">
        <f>Table1[[#This Row],[نسبة المخطط التراكمي حتى 31 أكتوبر 2026]]-9.9%</f>
        <v>0.39892576095422017</v>
      </c>
      <c r="AU10" s="445">
        <f>Table1[[#This Row],[نسبة الانجاز التراكمي المطلوب للإنتظام]]-Table1[[#This Row],[المنفذ % التراكمي]]</f>
        <v>0.26692576095422016</v>
      </c>
      <c r="AV10" s="69">
        <f>Table1[[#This Row],[نسبة المخطط التراكمي حتى 31 أكتوبر 2026]]-24.9%</f>
        <v>0.24892576095422014</v>
      </c>
      <c r="AW10" s="448">
        <f>Table1[[#This Row],[نسبة الانجاز التراكمي المطلوب لتجنب التعثر]]-Table1[[#This Row],[المنفذ % التراكمي]]</f>
        <v>0.11692576095422014</v>
      </c>
      <c r="AX10" s="439">
        <f>100%-Table1[[#This Row],[المنفذ % التراكمي]]</f>
        <v>0.86799999999999999</v>
      </c>
      <c r="AY10" s="439">
        <f>100%-Table1[[#This Row],[نسبة المدة المنقضية %]]</f>
        <v>0.16798418972332019</v>
      </c>
      <c r="AZ10" s="69">
        <f>_xlfn.XLOOKUP(Table1[[#This Row],[PO]],Table156101114[PO],Table156101114[المدة المنقضية],0)</f>
        <v>0.83201581027667981</v>
      </c>
      <c r="BA10" s="108" t="s">
        <v>120</v>
      </c>
      <c r="BB10" s="108" t="s">
        <v>120</v>
      </c>
      <c r="BC10" s="95">
        <f>_xlfn.XLOOKUP(Table1[[#This Row],[PO]],Table156101114[PO],Table156101114[SPI],0)</f>
        <v>0.28858766943594233</v>
      </c>
      <c r="BD10" s="359">
        <f>Table1[[#This Row],[نسبة المدة المنقضية %]]*Table1[[#This Row],[مدة المشروع الكلية بالشهور]]</f>
        <v>28.066666666666666</v>
      </c>
      <c r="BE10" s="360">
        <f>Table1[[#This Row],[نسبة المدة المتبقية %]]*Table1[[#This Row],[مدة المشروع الكلية بالشهور]]</f>
        <v>5.6666666666666679</v>
      </c>
      <c r="BF10" s="360">
        <f>(Table1[[#This Row],[نهاية المشروع المعدلة PMO LIVE]]-Table1[[#This Row],[بداية المشروع التعاقدية]])</f>
        <v>1012</v>
      </c>
      <c r="BG10" s="361">
        <f>(Table1[[#This Row],[نهاية المشروع المعدلة PMO LIVE]]-Table1[[#This Row],[بداية المشروع التعاقدية]])/30</f>
        <v>33.733333333333334</v>
      </c>
      <c r="BH10" s="260">
        <f>1.25*Table1[[#This Row],[مدة المشروع بالايام]]</f>
        <v>1265</v>
      </c>
      <c r="BI10" s="661">
        <f>Table1[[#This Row],[125%من مدة المشروع]]+Table1[[#This Row],[بداية المشروع التعاقدية]]</f>
        <v>46733</v>
      </c>
      <c r="BJ10" s="648">
        <f>Table1[[#This Row],[قيمة المشروع بالضريبة]]*Table1[[#This Row],[المخطط % التراكمي]]</f>
        <v>20527790.182507999</v>
      </c>
      <c r="BK10" s="269">
        <f>Table1[[#This Row],[قيمة المشروع بالضريبة]]*Table1[[#This Row],[المنفذ % التراكمي]]</f>
        <v>5924067.1274400009</v>
      </c>
      <c r="BL10" s="316">
        <f>Table1[[#This Row],[نسبة الإنجاز المتبقية %]]*Table1[[#This Row],[قيمة المشروع بالضريبة]]</f>
        <v>38955229.292560004</v>
      </c>
      <c r="BM10" s="316">
        <f>Table1[[#This Row],[نسبة الإيقاف%]]*Table1[[#This Row],[قيمة المشروع بالضريبة]]</f>
        <v>10120281.342710001</v>
      </c>
      <c r="BN10" s="317">
        <f>Table1[[#This Row],[Suspended Budget]]/Table1[[#This Row],[Remaining Budget]]</f>
        <v>0.2597926267281106</v>
      </c>
      <c r="BQ10" s="903"/>
      <c r="BR10" s="904"/>
      <c r="BS10" s="904"/>
    </row>
    <row r="11" spans="1:71" s="320" customFormat="1" ht="30" hidden="1" customHeight="1">
      <c r="A11" s="80">
        <f>SUBTOTAL(3,$D$3:D11)</f>
        <v>1</v>
      </c>
      <c r="B11" s="83" t="s">
        <v>316</v>
      </c>
      <c r="C11" s="43" t="s">
        <v>315</v>
      </c>
      <c r="D11" s="42">
        <v>901250275</v>
      </c>
      <c r="E11" s="43" t="s">
        <v>272</v>
      </c>
      <c r="F11" s="43" t="s">
        <v>321</v>
      </c>
      <c r="G11" s="43" t="s">
        <v>151</v>
      </c>
      <c r="H11" s="43" t="s">
        <v>156</v>
      </c>
      <c r="I11" s="43" t="s">
        <v>274</v>
      </c>
      <c r="J11" s="43" t="s">
        <v>123</v>
      </c>
      <c r="K11" s="42" t="s">
        <v>73</v>
      </c>
      <c r="L11" s="42">
        <v>3</v>
      </c>
      <c r="M11" s="42" t="s">
        <v>259</v>
      </c>
      <c r="N11" s="593" t="s">
        <v>120</v>
      </c>
      <c r="O11" s="70">
        <v>4.3999999999999997E-2</v>
      </c>
      <c r="P11" s="43" t="s">
        <v>72</v>
      </c>
      <c r="Q11" s="92" t="s">
        <v>85</v>
      </c>
      <c r="R11" s="92" t="s">
        <v>85</v>
      </c>
      <c r="S11" s="44">
        <v>45979</v>
      </c>
      <c r="T11" s="250">
        <v>46526</v>
      </c>
      <c r="U11" s="250">
        <v>46520</v>
      </c>
      <c r="V11" s="44">
        <v>46524</v>
      </c>
      <c r="W11" s="255">
        <f>Table1[[#This Row],[نهاية المشروع المعدلة PMO LIVE]]-Table1[[#This Row],[نهاية المشروع المعدلة EPPM]]</f>
        <v>4</v>
      </c>
      <c r="X11" s="484" t="s">
        <v>562</v>
      </c>
      <c r="Y11" s="253">
        <v>46789</v>
      </c>
      <c r="Z11" s="44">
        <f>_xlfn.XLOOKUP(Table1[[#This Row],[PO]],Table156101114[PO],Table156101114[[النهاية المتوقعة ]],0)</f>
        <v>46796</v>
      </c>
      <c r="AA11" s="719">
        <f>Table1[[#This Row],[النهاية طبقاً للتحديث الاسبوعي الحالي]]-Table1[[#This Row],[النهاية طبقاً للتحديث الاسبوعي السابق]]</f>
        <v>7</v>
      </c>
      <c r="AB11" s="522">
        <v>10401222.5</v>
      </c>
      <c r="AC11" s="109">
        <v>11961405.880000001</v>
      </c>
      <c r="AD11" s="258">
        <v>0.37090000000000001</v>
      </c>
      <c r="AE11" s="258">
        <v>7.51E-2</v>
      </c>
      <c r="AF11" s="90">
        <f>_xlfn.XLOOKUP(Table1[[#This Row],[PO]],Table156101114[PO],Table156101114[المخطط % 15 اكتوبر2026],0)</f>
        <v>0.41210000000000002</v>
      </c>
      <c r="AG11" s="90">
        <f>_xlfn.XLOOKUP(Table1[[#This Row],[PO]],Table156101114[PO],Table156101114[Act %],0)</f>
        <v>7.51E-2</v>
      </c>
      <c r="AH11" s="627">
        <f>Table1[[#This Row],[المخطط % التراكمي]]-Table1[[#This Row],[المخطط % - الإسبوع السابق ]]</f>
        <v>4.1200000000000014E-2</v>
      </c>
      <c r="AI11" s="630">
        <f>Table1[[#This Row],[المنفذ % التراكمي]]-Table1[[#This Row],[المنفذ % - الإسبوع السابق]]</f>
        <v>0</v>
      </c>
      <c r="AJ11" s="102">
        <f>Table1[[#This Row],[المنفذ % التراكمي]]-Table1[[#This Row],[المخطط % التراكمي]]</f>
        <v>-0.33700000000000002</v>
      </c>
      <c r="AK11" s="45">
        <v>0.47664170437657688</v>
      </c>
      <c r="AL11" s="45">
        <f>Table1[[#This Row],[المنفذ % التراكمي]]</f>
        <v>7.51E-2</v>
      </c>
      <c r="AM11" s="45" t="s">
        <v>338</v>
      </c>
      <c r="AN11" s="45" t="s">
        <v>338</v>
      </c>
      <c r="AO11" s="45" t="s">
        <v>338</v>
      </c>
      <c r="AP11" s="45"/>
      <c r="AQ11" s="107">
        <f>_xlfn.XLOOKUP(Table1[[#This Row],[PO]],Table156101114[PO],Table156101114[TF],0)</f>
        <v>-231</v>
      </c>
      <c r="AR11" s="276">
        <f>Table1[[#This Row],[نسبة الإنجاز المتبقية %]]/(Table1[[#This Row],[مدة المشروع المتبقية بالشهور]])</f>
        <v>0.12965887850467289</v>
      </c>
      <c r="AS11" s="70">
        <v>0.46285180516040303</v>
      </c>
      <c r="AT11" s="70">
        <f>Table1[[#This Row],[نسبة المخطط التراكمي حتى 31 أكتوبر 2026]]-9.9%</f>
        <v>0.36385180516040305</v>
      </c>
      <c r="AU11" s="446">
        <f>Table1[[#This Row],[نسبة الانجاز التراكمي المطلوب للإنتظام]]-Table1[[#This Row],[المنفذ % التراكمي]]</f>
        <v>0.28875180516040305</v>
      </c>
      <c r="AV11" s="70">
        <f>Table1[[#This Row],[نسبة المخطط التراكمي حتى 31 أكتوبر 2026]]-24.9%</f>
        <v>0.21385180516040303</v>
      </c>
      <c r="AW11" s="449">
        <f>Table1[[#This Row],[نسبة الانجاز التراكمي المطلوب لتجنب التعثر]]-Table1[[#This Row],[المنفذ % التراكمي]]</f>
        <v>0.13875180516040303</v>
      </c>
      <c r="AX11" s="440">
        <f>100%-Table1[[#This Row],[المنفذ % التراكمي]]</f>
        <v>0.92490000000000006</v>
      </c>
      <c r="AY11" s="440">
        <f>100%-Table1[[#This Row],[نسبة المدة المنقضية %]]</f>
        <v>0.39266055045871562</v>
      </c>
      <c r="AZ11" s="70">
        <f>_xlfn.XLOOKUP(Table1[[#This Row],[PO]],Table156101114[PO],Table156101114[المدة المنقضية],0)</f>
        <v>0.60733944954128438</v>
      </c>
      <c r="BA11" s="70" t="s">
        <v>121</v>
      </c>
      <c r="BB11" s="108" t="s">
        <v>121</v>
      </c>
      <c r="BC11" s="96">
        <f>_xlfn.XLOOKUP(Table1[[#This Row],[PO]],Table156101114[PO],Table156101114[SPI],0)</f>
        <v>0.18223732103858287</v>
      </c>
      <c r="BD11" s="356">
        <f>Table1[[#This Row],[نسبة المدة المنقضية %]]*Table1[[#This Row],[مدة المشروع الكلية بالشهور]]</f>
        <v>11.033333333333333</v>
      </c>
      <c r="BE11" s="357">
        <f>Table1[[#This Row],[نسبة المدة المتبقية %]]*Table1[[#This Row],[مدة المشروع الكلية بالشهور]]</f>
        <v>7.1333333333333346</v>
      </c>
      <c r="BF11" s="357">
        <f>(Table1[[#This Row],[نهاية المشروع المعدلة PMO LIVE]]-Table1[[#This Row],[بداية المشروع التعاقدية]])</f>
        <v>545</v>
      </c>
      <c r="BG11" s="358">
        <f>(Table1[[#This Row],[نهاية المشروع المعدلة PMO LIVE]]-Table1[[#This Row],[بداية المشروع التعاقدية]])/30</f>
        <v>18.166666666666668</v>
      </c>
      <c r="BH11" s="261">
        <f>1.25*Table1[[#This Row],[مدة المشروع بالايام]]</f>
        <v>681.25</v>
      </c>
      <c r="BI11" s="661">
        <f>Table1[[#This Row],[125%من مدة المشروع]]+Table1[[#This Row],[بداية المشروع التعاقدية]]</f>
        <v>46660.25</v>
      </c>
      <c r="BJ11" s="648">
        <f>Table1[[#This Row],[قيمة المشروع بالضريبة]]*Table1[[#This Row],[المخطط % التراكمي]]</f>
        <v>4929295.363148001</v>
      </c>
      <c r="BK11" s="269">
        <f>Table1[[#This Row],[قيمة المشروع بالضريبة]]*Table1[[#This Row],[المنفذ % التراكمي]]</f>
        <v>898301.58158800006</v>
      </c>
      <c r="BL11" s="316">
        <f>Table1[[#This Row],[نسبة الإنجاز المتبقية %]]*Table1[[#This Row],[قيمة المشروع بالضريبة]]</f>
        <v>11063104.298412001</v>
      </c>
      <c r="BM11" s="316">
        <f>Table1[[#This Row],[نسبة الإيقاف%]]*Table1[[#This Row],[قيمة المشروع بالضريبة]]</f>
        <v>526301.85872000002</v>
      </c>
      <c r="BN11" s="317">
        <f>Table1[[#This Row],[Suspended Budget]]/Table1[[#This Row],[Remaining Budget]]</f>
        <v>4.7572710563304137E-2</v>
      </c>
      <c r="BQ11" s="903"/>
      <c r="BR11" s="904"/>
      <c r="BS11" s="904"/>
    </row>
    <row r="12" spans="1:71" ht="30" hidden="1" customHeight="1">
      <c r="A12" s="79">
        <f>SUBTOTAL(3,$D$3:D12)</f>
        <v>1</v>
      </c>
      <c r="B12" s="85">
        <v>10281</v>
      </c>
      <c r="C12" s="34" t="s">
        <v>221</v>
      </c>
      <c r="D12" s="48">
        <v>901240123</v>
      </c>
      <c r="E12" s="34" t="s">
        <v>117</v>
      </c>
      <c r="F12" s="34" t="s">
        <v>320</v>
      </c>
      <c r="G12" s="34" t="s">
        <v>164</v>
      </c>
      <c r="H12" s="34" t="s">
        <v>165</v>
      </c>
      <c r="I12" s="34" t="s">
        <v>16</v>
      </c>
      <c r="J12" s="34" t="s">
        <v>123</v>
      </c>
      <c r="K12" s="48" t="s">
        <v>136</v>
      </c>
      <c r="L12" s="48">
        <v>0</v>
      </c>
      <c r="M12" s="48" t="s">
        <v>259</v>
      </c>
      <c r="N12" s="594" t="s">
        <v>121</v>
      </c>
      <c r="O12" s="69">
        <v>0.14230000000000001</v>
      </c>
      <c r="P12" s="34" t="s">
        <v>366</v>
      </c>
      <c r="Q12" s="92" t="s">
        <v>85</v>
      </c>
      <c r="R12" s="92" t="s">
        <v>85</v>
      </c>
      <c r="S12" s="49">
        <v>45522</v>
      </c>
      <c r="T12" s="249">
        <v>46252</v>
      </c>
      <c r="U12" s="249">
        <v>46322</v>
      </c>
      <c r="V12" s="49">
        <v>46322</v>
      </c>
      <c r="W12" s="254">
        <f>Table1[[#This Row],[نهاية المشروع المعدلة PMO LIVE]]-Table1[[#This Row],[نهاية المشروع المعدلة EPPM]]</f>
        <v>0</v>
      </c>
      <c r="X12" s="254" t="s">
        <v>169</v>
      </c>
      <c r="Y12" s="249">
        <v>46453</v>
      </c>
      <c r="Z12" s="49">
        <f>_xlfn.XLOOKUP(Table1[[#This Row],[PO]],Table156101114[PO],Table156101114[[النهاية المتوقعة ]],0)</f>
        <v>46460</v>
      </c>
      <c r="AA12" s="716">
        <f>Table1[[#This Row],[النهاية طبقاً للتحديث الاسبوعي الحالي]]-Table1[[#This Row],[النهاية طبقاً للتحديث الاسبوعي السابق]]</f>
        <v>7</v>
      </c>
      <c r="AB12" s="523">
        <v>22389932.399999999</v>
      </c>
      <c r="AC12" s="110">
        <v>25748422.260000002</v>
      </c>
      <c r="AD12" s="257">
        <v>0.79510000000000003</v>
      </c>
      <c r="AE12" s="257">
        <v>0.27450000000000002</v>
      </c>
      <c r="AF12" s="47">
        <f>_xlfn.XLOOKUP(Table1[[#This Row],[PO]],Table156101114[PO],Table156101114[المخطط % 15 اكتوبر2026],0)</f>
        <v>0.83089999999999997</v>
      </c>
      <c r="AG12" s="47">
        <f>_xlfn.XLOOKUP(Table1[[#This Row],[PO]],Table156101114[PO],Table156101114[Act %],0)</f>
        <v>0.2777</v>
      </c>
      <c r="AH12" s="629">
        <f>Table1[[#This Row],[المخطط % التراكمي]]-Table1[[#This Row],[المخطط % - الإسبوع السابق ]]</f>
        <v>3.5799999999999943E-2</v>
      </c>
      <c r="AI12" s="629">
        <f>Table1[[#This Row],[المنفذ % التراكمي]]-Table1[[#This Row],[المنفذ % - الإسبوع السابق]]</f>
        <v>3.1999999999999806E-3</v>
      </c>
      <c r="AJ12" s="51">
        <f>Table1[[#This Row],[المنفذ % التراكمي]]-Table1[[#This Row],[المخطط % التراكمي]]</f>
        <v>-0.55319999999999991</v>
      </c>
      <c r="AK12" s="47">
        <v>0.80871039476653361</v>
      </c>
      <c r="AL12" s="47">
        <f>Table1[[#This Row],[المنفذ % التراكمي]]</f>
        <v>0.2777</v>
      </c>
      <c r="AM12" s="47" t="s">
        <v>338</v>
      </c>
      <c r="AN12" s="47" t="s">
        <v>338</v>
      </c>
      <c r="AO12" s="47" t="s">
        <v>338</v>
      </c>
      <c r="AP12" s="47" t="s">
        <v>338</v>
      </c>
      <c r="AQ12" s="103">
        <f>_xlfn.XLOOKUP(Table1[[#This Row],[PO]],Table156101114[PO],Table156101114[TF],0)</f>
        <v>-116</v>
      </c>
      <c r="AR12" s="277">
        <f>Table1[[#This Row],[نسبة الإنجاز المتبقية %]]/(Table1[[#This Row],[مدة المشروع المتبقية بالشهور]])</f>
        <v>1.8057499999999982</v>
      </c>
      <c r="AS12" s="69">
        <v>0.9999999991067412</v>
      </c>
      <c r="AT12" s="69">
        <f>Table1[[#This Row],[نسبة المخطط التراكمي حتى 31 أكتوبر 2026]]-9.9%</f>
        <v>0.90099999910674122</v>
      </c>
      <c r="AU12" s="445">
        <f>Table1[[#This Row],[نسبة الانجاز التراكمي المطلوب للإنتظام]]-Table1[[#This Row],[المنفذ % التراكمي]]</f>
        <v>0.62329999910674116</v>
      </c>
      <c r="AV12" s="69">
        <f>Table1[[#This Row],[نسبة المخطط التراكمي حتى 31 أكتوبر 2026]]-24.9%</f>
        <v>0.7509999991067412</v>
      </c>
      <c r="AW12" s="448">
        <f>Table1[[#This Row],[نسبة الانجاز التراكمي المطلوب لتجنب التعثر]]-Table1[[#This Row],[المنفذ % التراكمي]]</f>
        <v>0.4732999991067412</v>
      </c>
      <c r="AX12" s="439">
        <f>100%-Table1[[#This Row],[المنفذ % التراكمي]]</f>
        <v>0.72229999999999994</v>
      </c>
      <c r="AY12" s="439">
        <f>100%-Table1[[#This Row],[نسبة المدة المنقضية %]]</f>
        <v>1.5000000000000013E-2</v>
      </c>
      <c r="AZ12" s="69">
        <f>_xlfn.XLOOKUP(Table1[[#This Row],[PO]],Table156101114[PO],Table156101114[المدة المنقضية],0)</f>
        <v>0.98499999999999999</v>
      </c>
      <c r="BA12" s="69" t="s">
        <v>121</v>
      </c>
      <c r="BB12" s="105" t="s">
        <v>121</v>
      </c>
      <c r="BC12" s="95">
        <f>_xlfn.XLOOKUP(Table1[[#This Row],[PO]],Table156101114[PO],Table156101114[SPI],0)</f>
        <v>0.33421591045853893</v>
      </c>
      <c r="BD12" s="356">
        <f>Table1[[#This Row],[نسبة المدة المنقضية %]]*Table1[[#This Row],[مدة المشروع الكلية بالشهور]]</f>
        <v>26.266666666666666</v>
      </c>
      <c r="BE12" s="357">
        <f>Table1[[#This Row],[نسبة المدة المتبقية %]]*Table1[[#This Row],[مدة المشروع الكلية بالشهور]]</f>
        <v>0.40000000000000036</v>
      </c>
      <c r="BF12" s="357">
        <f>(Table1[[#This Row],[نهاية المشروع المعدلة PMO LIVE]]-Table1[[#This Row],[بداية المشروع التعاقدية]])</f>
        <v>800</v>
      </c>
      <c r="BG12" s="358">
        <f>(Table1[[#This Row],[نهاية المشروع المعدلة PMO LIVE]]-Table1[[#This Row],[بداية المشروع التعاقدية]])/30</f>
        <v>26.666666666666668</v>
      </c>
      <c r="BH12" s="261">
        <f>1.25*Table1[[#This Row],[مدة المشروع بالايام]]</f>
        <v>1000</v>
      </c>
      <c r="BI12" s="661">
        <f>Table1[[#This Row],[125%من مدة المشروع]]+Table1[[#This Row],[بداية المشروع التعاقدية]]</f>
        <v>46522</v>
      </c>
      <c r="BJ12" s="648">
        <f>Table1[[#This Row],[قيمة المشروع بالضريبة]]*Table1[[#This Row],[المخطط % التراكمي]]</f>
        <v>21394364.055833999</v>
      </c>
      <c r="BK12" s="269">
        <f>Table1[[#This Row],[قيمة المشروع بالضريبة]]*Table1[[#This Row],[المنفذ % التراكمي]]</f>
        <v>7150336.8616020009</v>
      </c>
      <c r="BL12" s="316">
        <f>Table1[[#This Row],[نسبة الإنجاز المتبقية %]]*Table1[[#This Row],[قيمة المشروع بالضريبة]]</f>
        <v>18598085.398398001</v>
      </c>
      <c r="BM12" s="316">
        <f>Table1[[#This Row],[نسبة الإيقاف%]]*Table1[[#This Row],[قيمة المشروع بالضريبة]]</f>
        <v>3664000.4875980006</v>
      </c>
      <c r="BN12" s="317">
        <f>Table1[[#This Row],[Suspended Budget]]/Table1[[#This Row],[Remaining Budget]]</f>
        <v>0.19700955281738891</v>
      </c>
      <c r="BQ12" s="903"/>
      <c r="BR12" s="904"/>
      <c r="BS12" s="904"/>
    </row>
    <row r="13" spans="1:71" s="320" customFormat="1" ht="30" hidden="1" customHeight="1">
      <c r="A13" s="80">
        <f>SUBTOTAL(3,$D$3:D13)</f>
        <v>1</v>
      </c>
      <c r="B13" s="83" t="s">
        <v>288</v>
      </c>
      <c r="C13" s="43" t="s">
        <v>200</v>
      </c>
      <c r="D13" s="42">
        <v>901250110</v>
      </c>
      <c r="E13" s="43" t="s">
        <v>107</v>
      </c>
      <c r="F13" s="43" t="s">
        <v>319</v>
      </c>
      <c r="G13" s="43" t="s">
        <v>266</v>
      </c>
      <c r="H13" s="153" t="s">
        <v>267</v>
      </c>
      <c r="I13" s="43" t="s">
        <v>104</v>
      </c>
      <c r="J13" s="43" t="s">
        <v>123</v>
      </c>
      <c r="K13" s="42" t="s">
        <v>116</v>
      </c>
      <c r="L13" s="42">
        <v>5</v>
      </c>
      <c r="M13" s="42" t="s">
        <v>259</v>
      </c>
      <c r="N13" s="593" t="s">
        <v>120</v>
      </c>
      <c r="O13" s="70">
        <v>0</v>
      </c>
      <c r="P13" s="43" t="s">
        <v>72</v>
      </c>
      <c r="Q13" s="92" t="s">
        <v>85</v>
      </c>
      <c r="R13" s="92" t="s">
        <v>85</v>
      </c>
      <c r="S13" s="44">
        <v>45774</v>
      </c>
      <c r="T13" s="250">
        <v>46138</v>
      </c>
      <c r="U13" s="250">
        <v>46268</v>
      </c>
      <c r="V13" s="44">
        <v>46304</v>
      </c>
      <c r="W13" s="255">
        <f>Table1[[#This Row],[نهاية المشروع المعدلة PMO LIVE]]-Table1[[#This Row],[نهاية المشروع المعدلة EPPM]]</f>
        <v>36</v>
      </c>
      <c r="X13" s="871" t="s">
        <v>692</v>
      </c>
      <c r="Y13" s="253">
        <v>46374</v>
      </c>
      <c r="Z13" s="89">
        <f>_xlfn.XLOOKUP(Table1[[#This Row],[PO]],Table156101114[PO],Table156101114[[النهاية المتوقعة ]],0)</f>
        <v>46381</v>
      </c>
      <c r="AA13" s="715">
        <f>Table1[[#This Row],[النهاية طبقاً للتحديث الاسبوعي الحالي]]-Table1[[#This Row],[النهاية طبقاً للتحديث الاسبوعي السابق]]</f>
        <v>7</v>
      </c>
      <c r="AB13" s="522">
        <v>4292848</v>
      </c>
      <c r="AC13" s="109">
        <v>4936775.2</v>
      </c>
      <c r="AD13" s="258">
        <v>1</v>
      </c>
      <c r="AE13" s="258">
        <v>0.46910000000000002</v>
      </c>
      <c r="AF13" s="45">
        <f>_xlfn.XLOOKUP(Table1[[#This Row],[PO]],Table156101114[PO],Table156101114[المخطط % 15 اكتوبر2026],0)</f>
        <v>1</v>
      </c>
      <c r="AG13" s="45">
        <f>_xlfn.XLOOKUP(Table1[[#This Row],[PO]],Table156101114[PO],Table156101114[Act %],0)</f>
        <v>0.46910000000000002</v>
      </c>
      <c r="AH13" s="630">
        <f>Table1[[#This Row],[المخطط % التراكمي]]-Table1[[#This Row],[المخطط % - الإسبوع السابق ]]</f>
        <v>0</v>
      </c>
      <c r="AI13" s="630">
        <f>Table1[[#This Row],[المنفذ % التراكمي]]-Table1[[#This Row],[المنفذ % - الإسبوع السابق]]</f>
        <v>0</v>
      </c>
      <c r="AJ13" s="102">
        <f>Table1[[#This Row],[المنفذ % التراكمي]]-Table1[[#This Row],[المخطط % التراكمي]]</f>
        <v>-0.53089999999999993</v>
      </c>
      <c r="AK13" s="636"/>
      <c r="AL13" s="636"/>
      <c r="AM13" s="673" t="s">
        <v>338</v>
      </c>
      <c r="AN13" s="673" t="s">
        <v>338</v>
      </c>
      <c r="AO13" s="673" t="s">
        <v>338</v>
      </c>
      <c r="AP13" s="673" t="s">
        <v>338</v>
      </c>
      <c r="AQ13" s="107">
        <f>_xlfn.XLOOKUP(Table1[[#This Row],[PO]],Table156101114[PO],Table156101114[TF],0)</f>
        <v>-125</v>
      </c>
      <c r="AR13" s="276">
        <f>Table1[[#This Row],[نسبة الإنجاز المتبقية %]]/(Table1[[#This Row],[مدة المشروع المتبقية بالشهور]])</f>
        <v>-2.6545000000000001</v>
      </c>
      <c r="AS13" s="70">
        <v>1</v>
      </c>
      <c r="AT13" s="70">
        <f>Table1[[#This Row],[نسبة المخطط التراكمي حتى 31 أكتوبر 2026]]-9.9%</f>
        <v>0.90100000000000002</v>
      </c>
      <c r="AU13" s="446">
        <f>Table1[[#This Row],[نسبة الانجاز التراكمي المطلوب للإنتظام]]-Table1[[#This Row],[المنفذ % التراكمي]]</f>
        <v>0.43190000000000001</v>
      </c>
      <c r="AV13" s="70">
        <f>Table1[[#This Row],[نسبة المخطط التراكمي حتى 31 أكتوبر 2026]]-24.9%</f>
        <v>0.751</v>
      </c>
      <c r="AW13" s="449">
        <f>Table1[[#This Row],[نسبة الانجاز التراكمي المطلوب لتجنب التعثر]]-Table1[[#This Row],[المنفذ % التراكمي]]</f>
        <v>0.28189999999999998</v>
      </c>
      <c r="AX13" s="440">
        <f>100%-Table1[[#This Row],[المنفذ % التراكمي]]</f>
        <v>0.53089999999999993</v>
      </c>
      <c r="AY13" s="440">
        <f>100%-Table1[[#This Row],[نسبة المدة المنقضية %]]</f>
        <v>-1.132075471698113E-2</v>
      </c>
      <c r="AZ13" s="70">
        <f>_xlfn.XLOOKUP(Table1[[#This Row],[PO]],Table156101114[PO],Table156101114[المدة المنقضية],0)</f>
        <v>1.0113207547169811</v>
      </c>
      <c r="BA13" s="108" t="s">
        <v>120</v>
      </c>
      <c r="BB13" s="108" t="s">
        <v>120</v>
      </c>
      <c r="BC13" s="96">
        <f>_xlfn.XLOOKUP(Table1[[#This Row],[PO]],Table156101114[PO],Table156101114[SPI],0)</f>
        <v>0.46910000000000002</v>
      </c>
      <c r="BD13" s="356">
        <f>Table1[[#This Row],[نسبة المدة المنقضية %]]*Table1[[#This Row],[مدة المشروع الكلية بالشهور]]</f>
        <v>17.866666666666667</v>
      </c>
      <c r="BE13" s="357">
        <f>Table1[[#This Row],[نسبة المدة المتبقية %]]*Table1[[#This Row],[مدة المشروع الكلية بالشهور]]</f>
        <v>-0.19999999999999996</v>
      </c>
      <c r="BF13" s="357">
        <f>(Table1[[#This Row],[نهاية المشروع المعدلة PMO LIVE]]-Table1[[#This Row],[بداية المشروع التعاقدية]])</f>
        <v>530</v>
      </c>
      <c r="BG13" s="361">
        <f>(Table1[[#This Row],[نهاية المشروع المعدلة PMO LIVE]]-Table1[[#This Row],[بداية المشروع التعاقدية]])/30</f>
        <v>17.666666666666668</v>
      </c>
      <c r="BH13" s="260">
        <f>1.25*Table1[[#This Row],[مدة المشروع بالايام]]</f>
        <v>662.5</v>
      </c>
      <c r="BI13" s="661">
        <f>Table1[[#This Row],[125%من مدة المشروع]]+Table1[[#This Row],[بداية المشروع التعاقدية]]</f>
        <v>46436.5</v>
      </c>
      <c r="BJ13" s="648">
        <f>Table1[[#This Row],[قيمة المشروع بالضريبة]]*Table1[[#This Row],[المخطط % التراكمي]]</f>
        <v>4936775.2</v>
      </c>
      <c r="BK13" s="269">
        <f>Table1[[#This Row],[قيمة المشروع بالضريبة]]*Table1[[#This Row],[المنفذ % التراكمي]]</f>
        <v>2315841.2463200004</v>
      </c>
      <c r="BL13" s="316">
        <f>Table1[[#This Row],[نسبة الإنجاز المتبقية %]]*Table1[[#This Row],[قيمة المشروع بالضريبة]]</f>
        <v>2620933.9536799998</v>
      </c>
      <c r="BM13" s="316">
        <f>Table1[[#This Row],[نسبة الإيقاف%]]*Table1[[#This Row],[قيمة المشروع بالضريبة]]</f>
        <v>0</v>
      </c>
      <c r="BN13" s="317">
        <f>Table1[[#This Row],[Suspended Budget]]/Table1[[#This Row],[Remaining Budget]]</f>
        <v>0</v>
      </c>
      <c r="BQ13" s="903"/>
      <c r="BR13" s="904"/>
      <c r="BS13" s="904"/>
    </row>
    <row r="14" spans="1:71" s="322" customFormat="1" ht="30" hidden="1" customHeight="1">
      <c r="A14" s="79">
        <f>SUBTOTAL(3,$D$3:D14)</f>
        <v>1</v>
      </c>
      <c r="B14" s="85">
        <v>10204</v>
      </c>
      <c r="C14" s="34" t="s">
        <v>227</v>
      </c>
      <c r="D14" s="48">
        <v>901230253</v>
      </c>
      <c r="E14" s="34" t="s">
        <v>55</v>
      </c>
      <c r="F14" s="34" t="s">
        <v>320</v>
      </c>
      <c r="G14" s="154" t="s">
        <v>164</v>
      </c>
      <c r="H14" s="154" t="s">
        <v>165</v>
      </c>
      <c r="I14" s="34" t="s">
        <v>24</v>
      </c>
      <c r="J14" s="34" t="s">
        <v>123</v>
      </c>
      <c r="K14" s="48" t="s">
        <v>136</v>
      </c>
      <c r="L14" s="48">
        <v>0</v>
      </c>
      <c r="M14" s="48" t="s">
        <v>259</v>
      </c>
      <c r="N14" s="594" t="s">
        <v>121</v>
      </c>
      <c r="O14" s="69">
        <v>0</v>
      </c>
      <c r="P14" s="34" t="s">
        <v>72</v>
      </c>
      <c r="Q14" s="92" t="s">
        <v>85</v>
      </c>
      <c r="R14" s="92" t="s">
        <v>85</v>
      </c>
      <c r="S14" s="49">
        <v>45316</v>
      </c>
      <c r="T14" s="249">
        <v>46379</v>
      </c>
      <c r="U14" s="249">
        <v>46379</v>
      </c>
      <c r="V14" s="49">
        <v>46379</v>
      </c>
      <c r="W14" s="254">
        <f>Table1[[#This Row],[نهاية المشروع المعدلة PMO LIVE]]-Table1[[#This Row],[نهاية المشروع المعدلة EPPM]]</f>
        <v>0</v>
      </c>
      <c r="X14" s="254" t="s">
        <v>169</v>
      </c>
      <c r="Y14" s="249">
        <v>46796</v>
      </c>
      <c r="Z14" s="49">
        <f>_xlfn.XLOOKUP(Table1[[#This Row],[PO]],Table156101114[PO],Table156101114[[النهاية المتوقعة ]],0)</f>
        <v>46809</v>
      </c>
      <c r="AA14" s="716">
        <f>Table1[[#This Row],[النهاية طبقاً للتحديث الاسبوعي الحالي]]-Table1[[#This Row],[النهاية طبقاً للتحديث الاسبوعي السابق]]</f>
        <v>13</v>
      </c>
      <c r="AB14" s="523">
        <v>23313385</v>
      </c>
      <c r="AC14" s="110">
        <v>26810392.75</v>
      </c>
      <c r="AD14" s="257">
        <v>0.62839999999999996</v>
      </c>
      <c r="AE14" s="257">
        <v>0.2102</v>
      </c>
      <c r="AF14" s="47">
        <f>_xlfn.XLOOKUP(Table1[[#This Row],[PO]],Table156101114[PO],Table156101114[المخطط % 15 اكتوبر2026],0)</f>
        <v>0.64480000000000004</v>
      </c>
      <c r="AG14" s="47">
        <f>_xlfn.XLOOKUP(Table1[[#This Row],[PO]],Table156101114[PO],Table156101114[Act %],0)</f>
        <v>0.2102</v>
      </c>
      <c r="AH14" s="630">
        <f>Table1[[#This Row],[المخطط % التراكمي]]-Table1[[#This Row],[المخطط % - الإسبوع السابق ]]</f>
        <v>1.6400000000000081E-2</v>
      </c>
      <c r="AI14" s="630">
        <f>Table1[[#This Row],[المنفذ % التراكمي]]-Table1[[#This Row],[المنفذ % - الإسبوع السابق]]</f>
        <v>0</v>
      </c>
      <c r="AJ14" s="46">
        <f>Table1[[#This Row],[المنفذ % التراكمي]]-Table1[[#This Row],[المخطط % التراكمي]]</f>
        <v>-0.43460000000000004</v>
      </c>
      <c r="AK14" s="47">
        <v>0.68712018482086579</v>
      </c>
      <c r="AL14" s="47">
        <f>Table1[[#This Row],[المنفذ % التراكمي]]</f>
        <v>0.2102</v>
      </c>
      <c r="AM14" s="47" t="s">
        <v>338</v>
      </c>
      <c r="AN14" s="47" t="s">
        <v>338</v>
      </c>
      <c r="AO14" s="47" t="s">
        <v>338</v>
      </c>
      <c r="AP14" s="47" t="s">
        <v>338</v>
      </c>
      <c r="AQ14" s="103">
        <f>_xlfn.XLOOKUP(Table1[[#This Row],[PO]],Table156101114[PO],Table156101114[TF],0)</f>
        <v>-336</v>
      </c>
      <c r="AR14" s="277">
        <f>Table1[[#This Row],[نسبة الإنجاز المتبقية %]]/(Table1[[#This Row],[مدة المشروع المتبقية بالشهور]])</f>
        <v>0.34339130434782617</v>
      </c>
      <c r="AS14" s="69">
        <v>0.67958688109856202</v>
      </c>
      <c r="AT14" s="69">
        <f>Table1[[#This Row],[نسبة المخطط التراكمي حتى 31 أكتوبر 2026]]-9.9%</f>
        <v>0.58058688109856205</v>
      </c>
      <c r="AU14" s="445">
        <f>Table1[[#This Row],[نسبة الانجاز التراكمي المطلوب للإنتظام]]-Table1[[#This Row],[المنفذ % التراكمي]]</f>
        <v>0.37038688109856205</v>
      </c>
      <c r="AV14" s="69">
        <f>Table1[[#This Row],[نسبة المخطط التراكمي حتى 31 أكتوبر 2026]]-24.9%</f>
        <v>0.43058688109856202</v>
      </c>
      <c r="AW14" s="448">
        <f>Table1[[#This Row],[نسبة الانجاز التراكمي المطلوب لتجنب التعثر]]-Table1[[#This Row],[المنفذ % التراكمي]]</f>
        <v>0.22038688109856203</v>
      </c>
      <c r="AX14" s="439">
        <f>100%-Table1[[#This Row],[المنفذ % التراكمي]]</f>
        <v>0.78980000000000006</v>
      </c>
      <c r="AY14" s="439">
        <f>100%-Table1[[#This Row],[نسبة المدة المنقضية %]]</f>
        <v>6.4910630291627469E-2</v>
      </c>
      <c r="AZ14" s="69">
        <f>_xlfn.XLOOKUP(Table1[[#This Row],[PO]],Table156101114[PO],Table156101114[المدة المنقضية],0)</f>
        <v>0.93508936970837253</v>
      </c>
      <c r="BA14" s="105" t="s">
        <v>120</v>
      </c>
      <c r="BB14" s="105" t="s">
        <v>121</v>
      </c>
      <c r="BC14" s="95">
        <f>_xlfn.XLOOKUP(Table1[[#This Row],[PO]],Table156101114[PO],Table156101114[SPI],0)</f>
        <v>0.32599255583126546</v>
      </c>
      <c r="BD14" s="359">
        <f>Table1[[#This Row],[نسبة المدة المنقضية %]]*Table1[[#This Row],[مدة المشروع الكلية بالشهور]]</f>
        <v>33.133333333333333</v>
      </c>
      <c r="BE14" s="360">
        <f>Table1[[#This Row],[نسبة المدة المتبقية %]]*Table1[[#This Row],[مدة المشروع الكلية بالشهور]]</f>
        <v>2.2999999999999998</v>
      </c>
      <c r="BF14" s="360">
        <f>(Table1[[#This Row],[نهاية المشروع المعدلة PMO LIVE]]-Table1[[#This Row],[بداية المشروع التعاقدية]])</f>
        <v>1063</v>
      </c>
      <c r="BG14" s="361">
        <f>(Table1[[#This Row],[نهاية المشروع المعدلة PMO LIVE]]-Table1[[#This Row],[بداية المشروع التعاقدية]])/30</f>
        <v>35.43333333333333</v>
      </c>
      <c r="BH14" s="260">
        <f>1.25*Table1[[#This Row],[مدة المشروع بالايام]]</f>
        <v>1328.75</v>
      </c>
      <c r="BI14" s="661">
        <f>Table1[[#This Row],[125%من مدة المشروع]]+Table1[[#This Row],[بداية المشروع التعاقدية]]</f>
        <v>46644.75</v>
      </c>
      <c r="BJ14" s="651">
        <f>Table1[[#This Row],[قيمة المشروع بالضريبة]]*Table1[[#This Row],[المخطط % التراكمي]]</f>
        <v>17287341.245200001</v>
      </c>
      <c r="BK14" s="270">
        <f>Table1[[#This Row],[قيمة المشروع بالضريبة]]*Table1[[#This Row],[المنفذ % التراكمي]]</f>
        <v>5635544.5560499998</v>
      </c>
      <c r="BL14" s="318">
        <f>Table1[[#This Row],[نسبة الإنجاز المتبقية %]]*Table1[[#This Row],[قيمة المشروع بالضريبة]]</f>
        <v>21174848.193950001</v>
      </c>
      <c r="BM14" s="318">
        <f>Table1[[#This Row],[نسبة الإيقاف%]]*Table1[[#This Row],[قيمة المشروع بالضريبة]]</f>
        <v>0</v>
      </c>
      <c r="BN14" s="319">
        <f>Table1[[#This Row],[Suspended Budget]]/Table1[[#This Row],[Remaining Budget]]</f>
        <v>0</v>
      </c>
      <c r="BQ14" s="903"/>
      <c r="BR14" s="904"/>
      <c r="BS14" s="918"/>
    </row>
    <row r="15" spans="1:71" ht="30" hidden="1" customHeight="1">
      <c r="A15" s="79">
        <f>SUBTOTAL(3,$D$3:D15)</f>
        <v>1</v>
      </c>
      <c r="B15" s="85" t="s">
        <v>309</v>
      </c>
      <c r="C15" s="34" t="s">
        <v>262</v>
      </c>
      <c r="D15" s="48">
        <v>901250252</v>
      </c>
      <c r="E15" s="34" t="s">
        <v>261</v>
      </c>
      <c r="F15" s="34" t="s">
        <v>319</v>
      </c>
      <c r="G15" s="34" t="s">
        <v>266</v>
      </c>
      <c r="H15" s="34" t="s">
        <v>265</v>
      </c>
      <c r="I15" s="34" t="s">
        <v>260</v>
      </c>
      <c r="J15" s="34" t="s">
        <v>111</v>
      </c>
      <c r="K15" s="48" t="s">
        <v>116</v>
      </c>
      <c r="L15" s="48">
        <v>0</v>
      </c>
      <c r="M15" s="48" t="s">
        <v>259</v>
      </c>
      <c r="N15" s="594" t="s">
        <v>120</v>
      </c>
      <c r="O15" s="69">
        <v>0</v>
      </c>
      <c r="P15" s="34" t="s">
        <v>72</v>
      </c>
      <c r="Q15" s="93" t="s">
        <v>78</v>
      </c>
      <c r="R15" s="93" t="s">
        <v>78</v>
      </c>
      <c r="S15" s="49">
        <v>45958</v>
      </c>
      <c r="T15" s="249">
        <v>47052</v>
      </c>
      <c r="U15" s="249">
        <v>47052</v>
      </c>
      <c r="V15" s="49">
        <v>47053</v>
      </c>
      <c r="W15" s="254">
        <f>Table1[[#This Row],[نهاية المشروع المعدلة PMO LIVE]]-Table1[[#This Row],[نهاية المشروع المعدلة EPPM]]</f>
        <v>1</v>
      </c>
      <c r="X15" s="254" t="s">
        <v>169</v>
      </c>
      <c r="Y15" s="252">
        <v>47288</v>
      </c>
      <c r="Z15" s="49">
        <f>_xlfn.XLOOKUP(Table1[[#This Row],[PO]],Table156101114[PO],Table156101114[[النهاية المتوقعة ]],0)</f>
        <v>47295</v>
      </c>
      <c r="AA15" s="716">
        <f>Table1[[#This Row],[النهاية طبقاً للتحديث الاسبوعي الحالي]]-Table1[[#This Row],[النهاية طبقاً للتحديث الاسبوعي السابق]]</f>
        <v>7</v>
      </c>
      <c r="AB15" s="523">
        <v>172933470</v>
      </c>
      <c r="AC15" s="110">
        <v>198873490.5</v>
      </c>
      <c r="AD15" s="257">
        <v>0.2646</v>
      </c>
      <c r="AE15" s="257">
        <v>0.37819999999999998</v>
      </c>
      <c r="AF15" s="81">
        <f>_xlfn.XLOOKUP(Table1[[#This Row],[PO]],Table156101114[PO],Table156101114[المخطط % 15 اكتوبر2026],0)</f>
        <v>0.26919999999999999</v>
      </c>
      <c r="AG15" s="81">
        <f>_xlfn.XLOOKUP(Table1[[#This Row],[PO]],Table156101114[PO],Table156101114[Act %],0)</f>
        <v>0.38500000000000001</v>
      </c>
      <c r="AH15" s="627">
        <f>Table1[[#This Row],[المخطط % التراكمي]]-Table1[[#This Row],[المخطط % - الإسبوع السابق ]]</f>
        <v>4.599999999999993E-3</v>
      </c>
      <c r="AI15" s="630">
        <f>Table1[[#This Row],[المنفذ % التراكمي]]-Table1[[#This Row],[المنفذ % - الإسبوع السابق]]</f>
        <v>6.8000000000000282E-3</v>
      </c>
      <c r="AJ15" s="102">
        <f>Table1[[#This Row],[المنفذ % التراكمي]]-Table1[[#This Row],[المخطط % التراكمي]]</f>
        <v>0.11580000000000001</v>
      </c>
      <c r="AK15" s="634"/>
      <c r="AL15" s="634"/>
      <c r="AM15" s="674"/>
      <c r="AN15" s="674"/>
      <c r="AO15" s="674"/>
      <c r="AP15" s="674"/>
      <c r="AQ15" s="103">
        <f>_xlfn.XLOOKUP(Table1[[#This Row],[PO]],Table156101114[PO],Table156101114[TF],0)</f>
        <v>-208</v>
      </c>
      <c r="AR15" s="277">
        <f>Table1[[#This Row],[نسبة الإنجاز المتبقية %]]/(Table1[[#This Row],[مدة المشروع المتبقية بالشهور]])</f>
        <v>2.4831763122476445E-2</v>
      </c>
      <c r="AS15" s="69">
        <v>0.28177096527352397</v>
      </c>
      <c r="AT15" s="69">
        <f>Table1[[#This Row],[نسبة المخطط التراكمي حتى 31 أكتوبر 2026]]-9.9%</f>
        <v>0.18277096527352396</v>
      </c>
      <c r="AU15" s="445">
        <v>0</v>
      </c>
      <c r="AV15" s="69">
        <f>Table1[[#This Row],[نسبة المخطط التراكمي حتى 31 أكتوبر 2026]]-24.9%</f>
        <v>3.2770965273523966E-2</v>
      </c>
      <c r="AW15" s="448">
        <v>0</v>
      </c>
      <c r="AX15" s="439">
        <f>100%-Table1[[#This Row],[المنفذ % التراكمي]]</f>
        <v>0.61499999999999999</v>
      </c>
      <c r="AY15" s="439">
        <f>100%-Table1[[#This Row],[نسبة المدة المنقضية %]]</f>
        <v>0.67853881278538819</v>
      </c>
      <c r="AZ15" s="69">
        <f>_xlfn.XLOOKUP(Table1[[#This Row],[PO]],Table156101114[PO],Table156101114[المدة المنقضية],0)</f>
        <v>0.32146118721461187</v>
      </c>
      <c r="BA15" s="69" t="s">
        <v>122</v>
      </c>
      <c r="BB15" s="105" t="s">
        <v>122</v>
      </c>
      <c r="BC15" s="95">
        <f>_xlfn.XLOOKUP(Table1[[#This Row],[PO]],Table156101114[PO],Table156101114[SPI],0)</f>
        <v>1.4301634472511144</v>
      </c>
      <c r="BD15" s="359">
        <f>Table1[[#This Row],[نسبة المدة المنقضية %]]*Table1[[#This Row],[مدة المشروع الكلية بالشهور]]</f>
        <v>11.733333333333333</v>
      </c>
      <c r="BE15" s="360">
        <f>Table1[[#This Row],[نسبة المدة المتبقية %]]*Table1[[#This Row],[مدة المشروع الكلية بالشهور]]</f>
        <v>24.766666666666669</v>
      </c>
      <c r="BF15" s="360">
        <f>(Table1[[#This Row],[نهاية المشروع المعدلة PMO LIVE]]-Table1[[#This Row],[بداية المشروع التعاقدية]])</f>
        <v>1095</v>
      </c>
      <c r="BG15" s="361">
        <f>(Table1[[#This Row],[نهاية المشروع المعدلة PMO LIVE]]-Table1[[#This Row],[بداية المشروع التعاقدية]])/30</f>
        <v>36.5</v>
      </c>
      <c r="BH15" s="260">
        <f>1.25*Table1[[#This Row],[مدة المشروع بالايام]]</f>
        <v>1368.75</v>
      </c>
      <c r="BI15" s="495">
        <f>Table1[[#This Row],[125%من مدة المشروع]]+Table1[[#This Row],[بداية المشروع التعاقدية]]</f>
        <v>47326.75</v>
      </c>
      <c r="BJ15" s="651">
        <f>Table1[[#This Row],[قيمة المشروع بالضريبة]]*Table1[[#This Row],[المخطط % التراكمي]]</f>
        <v>53536743.6426</v>
      </c>
      <c r="BK15" s="270">
        <f>Table1[[#This Row],[قيمة المشروع بالضريبة]]*Table1[[#This Row],[المنفذ % التراكمي]]</f>
        <v>76566293.842500001</v>
      </c>
      <c r="BL15" s="318">
        <f>Table1[[#This Row],[نسبة الإنجاز المتبقية %]]*Table1[[#This Row],[قيمة المشروع بالضريبة]]</f>
        <v>122307196.6575</v>
      </c>
      <c r="BM15" s="318">
        <f>Table1[[#This Row],[نسبة الإيقاف%]]*Table1[[#This Row],[قيمة المشروع بالضريبة]]</f>
        <v>0</v>
      </c>
      <c r="BN15" s="319">
        <f>Table1[[#This Row],[Suspended Budget]]/Table1[[#This Row],[Remaining Budget]]</f>
        <v>0</v>
      </c>
      <c r="BQ15" s="903"/>
      <c r="BR15" s="904"/>
      <c r="BS15" s="904"/>
    </row>
    <row r="16" spans="1:71" s="321" customFormat="1" ht="30" hidden="1" customHeight="1">
      <c r="A16" s="80">
        <f>SUBTOTAL(3,$D$3:D16)</f>
        <v>1</v>
      </c>
      <c r="B16" s="83" t="s">
        <v>292</v>
      </c>
      <c r="C16" s="43" t="s">
        <v>206</v>
      </c>
      <c r="D16" s="42">
        <v>901240355</v>
      </c>
      <c r="E16" s="43" t="s">
        <v>89</v>
      </c>
      <c r="F16" s="43" t="s">
        <v>320</v>
      </c>
      <c r="G16" s="43" t="s">
        <v>164</v>
      </c>
      <c r="H16" s="152" t="s">
        <v>264</v>
      </c>
      <c r="I16" s="43" t="s">
        <v>91</v>
      </c>
      <c r="J16" s="43" t="s">
        <v>123</v>
      </c>
      <c r="K16" s="42" t="s">
        <v>136</v>
      </c>
      <c r="L16" s="42">
        <v>0</v>
      </c>
      <c r="M16" s="42" t="s">
        <v>259</v>
      </c>
      <c r="N16" s="593" t="s">
        <v>120</v>
      </c>
      <c r="O16" s="70">
        <v>0</v>
      </c>
      <c r="P16" s="43" t="s">
        <v>72</v>
      </c>
      <c r="Q16" s="93" t="s">
        <v>78</v>
      </c>
      <c r="R16" s="93" t="s">
        <v>78</v>
      </c>
      <c r="S16" s="44">
        <v>45685</v>
      </c>
      <c r="T16" s="250">
        <v>46780</v>
      </c>
      <c r="U16" s="250">
        <v>47217</v>
      </c>
      <c r="V16" s="44">
        <v>47217</v>
      </c>
      <c r="W16" s="255">
        <f>Table1[[#This Row],[نهاية المشروع المعدلة PMO LIVE]]-Table1[[#This Row],[نهاية المشروع المعدلة EPPM]]</f>
        <v>0</v>
      </c>
      <c r="X16" s="255" t="s">
        <v>169</v>
      </c>
      <c r="Y16" s="250">
        <v>47278</v>
      </c>
      <c r="Z16" s="44">
        <f>_xlfn.XLOOKUP(Table1[[#This Row],[PO]],Table156101114[PO],Table156101114[[النهاية المتوقعة ]],0)</f>
        <v>47285</v>
      </c>
      <c r="AA16" s="719">
        <f>Table1[[#This Row],[النهاية طبقاً للتحديث الاسبوعي الحالي]]-Table1[[#This Row],[النهاية طبقاً للتحديث الاسبوعي السابق]]</f>
        <v>7</v>
      </c>
      <c r="AB16" s="522">
        <v>25782360</v>
      </c>
      <c r="AC16" s="109">
        <v>29649714</v>
      </c>
      <c r="AD16" s="258">
        <v>0.4325</v>
      </c>
      <c r="AE16" s="258">
        <v>0.68200000000000005</v>
      </c>
      <c r="AF16" s="45">
        <f>_xlfn.XLOOKUP(Table1[[#This Row],[PO]],Table156101114[PO],Table156101114[المخطط % 15 اكتوبر2026],0)</f>
        <v>0.43280000000000002</v>
      </c>
      <c r="AG16" s="45">
        <f>_xlfn.XLOOKUP(Table1[[#This Row],[PO]],Table156101114[PO],Table156101114[Act %],0)</f>
        <v>0.68889999999999996</v>
      </c>
      <c r="AH16" s="629">
        <f>Table1[[#This Row],[المخطط % التراكمي]]-Table1[[#This Row],[المخطط % - الإسبوع السابق ]]</f>
        <v>3.0000000000002247E-4</v>
      </c>
      <c r="AI16" s="629">
        <f>Table1[[#This Row],[المنفذ % التراكمي]]-Table1[[#This Row],[المنفذ % - الإسبوع السابق]]</f>
        <v>6.8999999999999062E-3</v>
      </c>
      <c r="AJ16" s="46">
        <f>Table1[[#This Row],[المنفذ % التراكمي]]-Table1[[#This Row],[المخطط % التراكمي]]</f>
        <v>0.25609999999999994</v>
      </c>
      <c r="AK16" s="636"/>
      <c r="AL16" s="636"/>
      <c r="AM16" s="673"/>
      <c r="AN16" s="673"/>
      <c r="AO16" s="673"/>
      <c r="AP16" s="673"/>
      <c r="AQ16" s="107">
        <f>_xlfn.XLOOKUP(Table1[[#This Row],[PO]],Table156101114[PO],Table156101114[TF],0)</f>
        <v>-55</v>
      </c>
      <c r="AR16" s="276">
        <f>Table1[[#This Row],[نسبة الإنجاز المتبقية %]]/(Table1[[#This Row],[مدة المشروع المتبقية بالشهور]])</f>
        <v>1.0289966923925028E-2</v>
      </c>
      <c r="AS16" s="70">
        <v>0.4346824728225035</v>
      </c>
      <c r="AT16" s="70">
        <f>Table1[[#This Row],[نسبة المخطط التراكمي حتى 31 أكتوبر 2026]]-9.9%</f>
        <v>0.33568247282250352</v>
      </c>
      <c r="AU16" s="446">
        <v>0</v>
      </c>
      <c r="AV16" s="70">
        <f>Table1[[#This Row],[نسبة المخطط التراكمي حتى 31 أكتوبر 2026]]-24.9%</f>
        <v>0.1856824728225035</v>
      </c>
      <c r="AW16" s="449">
        <v>0</v>
      </c>
      <c r="AX16" s="440">
        <f>100%-Table1[[#This Row],[المنفذ % التراكمي]]</f>
        <v>0.31110000000000004</v>
      </c>
      <c r="AY16" s="440">
        <f>100%-Table1[[#This Row],[نسبة المدة المنقضية %]]</f>
        <v>0.59203655352480422</v>
      </c>
      <c r="AZ16" s="70">
        <f>_xlfn.XLOOKUP(Table1[[#This Row],[PO]],Table156101114[PO],Table156101114[المدة المنقضية],0)</f>
        <v>0.40796344647519583</v>
      </c>
      <c r="BA16" s="70" t="s">
        <v>122</v>
      </c>
      <c r="BB16" s="108" t="s">
        <v>122</v>
      </c>
      <c r="BC16" s="96">
        <f>_xlfn.XLOOKUP(Table1[[#This Row],[PO]],Table156101114[PO],Table156101114[SPI],0)</f>
        <v>1.5917282809611828</v>
      </c>
      <c r="BD16" s="356">
        <f>Table1[[#This Row],[نسبة المدة المنقضية %]]*Table1[[#This Row],[مدة المشروع الكلية بالشهور]]</f>
        <v>20.833333333333336</v>
      </c>
      <c r="BE16" s="357">
        <f>Table1[[#This Row],[نسبة المدة المتبقية %]]*Table1[[#This Row],[مدة المشروع الكلية بالشهور]]</f>
        <v>30.233333333333338</v>
      </c>
      <c r="BF16" s="357">
        <f>(Table1[[#This Row],[نهاية المشروع المعدلة PMO LIVE]]-Table1[[#This Row],[بداية المشروع التعاقدية]])</f>
        <v>1532</v>
      </c>
      <c r="BG16" s="358">
        <f>(Table1[[#This Row],[نهاية المشروع المعدلة PMO LIVE]]-Table1[[#This Row],[بداية المشروع التعاقدية]])/30</f>
        <v>51.06666666666667</v>
      </c>
      <c r="BH16" s="261">
        <f>1.25*Table1[[#This Row],[مدة المشروع بالايام]]</f>
        <v>1915</v>
      </c>
      <c r="BI16" s="621">
        <f>Table1[[#This Row],[125%من مدة المشروع]]+Table1[[#This Row],[بداية المشروع التعاقدية]]</f>
        <v>47600</v>
      </c>
      <c r="BJ16" s="651">
        <f>Table1[[#This Row],[قيمة المشروع بالضريبة]]*Table1[[#This Row],[المخطط % التراكمي]]</f>
        <v>12832396.2192</v>
      </c>
      <c r="BK16" s="270">
        <f>Table1[[#This Row],[قيمة المشروع بالضريبة]]*Table1[[#This Row],[المنفذ % التراكمي]]</f>
        <v>20425687.974599998</v>
      </c>
      <c r="BL16" s="318">
        <f>Table1[[#This Row],[نسبة الإنجاز المتبقية %]]*Table1[[#This Row],[قيمة المشروع بالضريبة]]</f>
        <v>9224026.0254000016</v>
      </c>
      <c r="BM16" s="318">
        <f>Table1[[#This Row],[نسبة الإيقاف%]]*Table1[[#This Row],[قيمة المشروع بالضريبة]]</f>
        <v>0</v>
      </c>
      <c r="BN16" s="319">
        <f>Table1[[#This Row],[Suspended Budget]]/Table1[[#This Row],[Remaining Budget]]</f>
        <v>0</v>
      </c>
      <c r="BQ16" s="903"/>
      <c r="BR16" s="904"/>
      <c r="BS16" s="904"/>
    </row>
    <row r="17" spans="1:71" ht="30" hidden="1" customHeight="1">
      <c r="A17" s="80">
        <f>SUBTOTAL(3,$D$3:D17)</f>
        <v>1</v>
      </c>
      <c r="B17" s="83" t="s">
        <v>300</v>
      </c>
      <c r="C17" s="43" t="s">
        <v>216</v>
      </c>
      <c r="D17" s="42">
        <v>901250201</v>
      </c>
      <c r="E17" s="43" t="s">
        <v>144</v>
      </c>
      <c r="F17" s="43" t="s">
        <v>320</v>
      </c>
      <c r="G17" s="43" t="s">
        <v>164</v>
      </c>
      <c r="H17" s="43" t="s">
        <v>167</v>
      </c>
      <c r="I17" s="43" t="s">
        <v>148</v>
      </c>
      <c r="J17" s="100" t="s">
        <v>123</v>
      </c>
      <c r="K17" s="42" t="s">
        <v>136</v>
      </c>
      <c r="L17" s="42">
        <v>0</v>
      </c>
      <c r="M17" s="42" t="s">
        <v>259</v>
      </c>
      <c r="N17" s="593" t="s">
        <v>120</v>
      </c>
      <c r="O17" s="70">
        <v>0</v>
      </c>
      <c r="P17" s="43" t="s">
        <v>72</v>
      </c>
      <c r="Q17" s="93" t="s">
        <v>78</v>
      </c>
      <c r="R17" s="93" t="s">
        <v>78</v>
      </c>
      <c r="S17" s="44">
        <v>45901</v>
      </c>
      <c r="T17" s="250">
        <v>46631</v>
      </c>
      <c r="U17" s="250">
        <v>46996</v>
      </c>
      <c r="V17" s="44">
        <v>46996</v>
      </c>
      <c r="W17" s="255">
        <f>Table1[[#This Row],[نهاية المشروع المعدلة PMO LIVE]]-Table1[[#This Row],[نهاية المشروع المعدلة EPPM]]</f>
        <v>0</v>
      </c>
      <c r="X17" s="484" t="s">
        <v>682</v>
      </c>
      <c r="Y17" s="253">
        <v>47111</v>
      </c>
      <c r="Z17" s="101">
        <f>_xlfn.XLOOKUP(Table1[[#This Row],[PO]],Table156101114[PO],Table156101114[[النهاية المتوقعة ]],0)</f>
        <v>47117</v>
      </c>
      <c r="AA17" s="721">
        <f>Table1[[#This Row],[النهاية طبقاً للتحديث الاسبوعي الحالي]]-Table1[[#This Row],[النهاية طبقاً للتحديث الاسبوعي السابق]]</f>
        <v>6</v>
      </c>
      <c r="AB17" s="524">
        <v>18078565</v>
      </c>
      <c r="AC17" s="109">
        <v>20790349.75</v>
      </c>
      <c r="AD17" s="258">
        <v>0.16889999999999999</v>
      </c>
      <c r="AE17" s="258">
        <v>0.34499999999999997</v>
      </c>
      <c r="AF17" s="90">
        <f>_xlfn.XLOOKUP(Table1[[#This Row],[PO]],Table156101114[PO],Table156101114[المخطط % 15 اكتوبر2026],0)</f>
        <v>0.16689999999999999</v>
      </c>
      <c r="AG17" s="90">
        <f>_xlfn.XLOOKUP(Table1[[#This Row],[PO]],Table156101114[PO],Table156101114[Act %],0)</f>
        <v>0.34499999999999997</v>
      </c>
      <c r="AH17" s="628">
        <f>Table1[[#This Row],[المخطط % التراكمي]]-Table1[[#This Row],[المخطط % - الإسبوع السابق ]]</f>
        <v>-2.0000000000000018E-3</v>
      </c>
      <c r="AI17" s="631">
        <f>Table1[[#This Row],[المنفذ % التراكمي]]-Table1[[#This Row],[المنفذ % - الإسبوع السابق]]</f>
        <v>0</v>
      </c>
      <c r="AJ17" s="102">
        <f>Table1[[#This Row],[المنفذ % التراكمي]]-Table1[[#This Row],[المخطط % التراكمي]]</f>
        <v>0.17809999999999998</v>
      </c>
      <c r="AK17" s="637"/>
      <c r="AL17" s="637"/>
      <c r="AM17" s="675"/>
      <c r="AN17" s="675"/>
      <c r="AO17" s="675"/>
      <c r="AP17" s="675"/>
      <c r="AQ17" s="91">
        <f>_xlfn.XLOOKUP(Table1[[#This Row],[PO]],Table156101114[PO],Table156101114[TF],0)</f>
        <v>-104</v>
      </c>
      <c r="AR17" s="276">
        <f>Table1[[#This Row],[نسبة الإنجاز المتبقية %]]/(Table1[[#This Row],[مدة المشروع المتبقية بالشهور]])</f>
        <v>2.8618155677143663E-2</v>
      </c>
      <c r="AS17" s="70">
        <v>0.1707987293239259</v>
      </c>
      <c r="AT17" s="70">
        <f>Table1[[#This Row],[نسبة المخطط التراكمي حتى 31 أكتوبر 2026]]-9.9%</f>
        <v>7.1798729323925892E-2</v>
      </c>
      <c r="AU17" s="446">
        <v>0</v>
      </c>
      <c r="AV17" s="70">
        <v>0</v>
      </c>
      <c r="AW17" s="449">
        <v>0</v>
      </c>
      <c r="AX17" s="440">
        <f>100%-Table1[[#This Row],[المنفذ % التراكمي]]</f>
        <v>0.65500000000000003</v>
      </c>
      <c r="AY17" s="440">
        <f>100%-Table1[[#This Row],[نسبة المدة المنقضية %]]</f>
        <v>0.6270566727605118</v>
      </c>
      <c r="AZ17" s="70">
        <f>_xlfn.XLOOKUP(Table1[[#This Row],[PO]],Table156101114[PO],Table156101114[المدة المنقضية],0)</f>
        <v>0.37294332723948814</v>
      </c>
      <c r="BA17" s="70" t="s">
        <v>122</v>
      </c>
      <c r="BB17" s="108" t="s">
        <v>122</v>
      </c>
      <c r="BC17" s="96">
        <f>_xlfn.XLOOKUP(Table1[[#This Row],[PO]],Table156101114[PO],Table156101114[SPI],0)</f>
        <v>2.067106051527861</v>
      </c>
      <c r="BD17" s="359">
        <f>Table1[[#This Row],[نسبة المدة المنقضية %]]*Table1[[#This Row],[مدة المشروع الكلية بالشهور]]</f>
        <v>13.612431444241317</v>
      </c>
      <c r="BE17" s="360">
        <f>Table1[[#This Row],[نسبة المدة المتبقية %]]*Table1[[#This Row],[مدة المشروع الكلية بالشهور]]</f>
        <v>22.88756855575868</v>
      </c>
      <c r="BF17" s="360">
        <f>(Table1[[#This Row],[نهاية المشروع المعدلة PMO LIVE]]-Table1[[#This Row],[بداية المشروع التعاقدية]])</f>
        <v>1095</v>
      </c>
      <c r="BG17" s="361">
        <f>(Table1[[#This Row],[نهاية المشروع المعدلة PMO LIVE]]-Table1[[#This Row],[بداية المشروع التعاقدية]])/30</f>
        <v>36.5</v>
      </c>
      <c r="BH17" s="260">
        <f>1.25*Table1[[#This Row],[مدة المشروع بالايام]]</f>
        <v>1368.75</v>
      </c>
      <c r="BI17" s="621">
        <f>Table1[[#This Row],[125%من مدة المشروع]]+Table1[[#This Row],[بداية المشروع التعاقدية]]</f>
        <v>47269.75</v>
      </c>
      <c r="BJ17" s="648">
        <f>Table1[[#This Row],[قيمة المشروع بالضريبة]]*Table1[[#This Row],[المخطط % التراكمي]]</f>
        <v>3469909.3732749997</v>
      </c>
      <c r="BK17" s="269">
        <f>Table1[[#This Row],[قيمة المشروع بالضريبة]]*Table1[[#This Row],[المنفذ % التراكمي]]</f>
        <v>7172670.6637499994</v>
      </c>
      <c r="BL17" s="316">
        <f>Table1[[#This Row],[نسبة الإنجاز المتبقية %]]*Table1[[#This Row],[قيمة المشروع بالضريبة]]</f>
        <v>13617679.08625</v>
      </c>
      <c r="BM17" s="316">
        <f>Table1[[#This Row],[نسبة الإيقاف%]]*Table1[[#This Row],[قيمة المشروع بالضريبة]]</f>
        <v>0</v>
      </c>
      <c r="BN17" s="317">
        <f>Table1[[#This Row],[Suspended Budget]]/Table1[[#This Row],[Remaining Budget]]</f>
        <v>0</v>
      </c>
      <c r="BQ17" s="903"/>
      <c r="BR17" s="904"/>
      <c r="BS17" s="918"/>
    </row>
    <row r="18" spans="1:71" s="323" customFormat="1" ht="30" hidden="1" customHeight="1">
      <c r="A18" s="79">
        <f>SUBTOTAL(3,$D$3:D18)</f>
        <v>1</v>
      </c>
      <c r="B18" s="85" t="s">
        <v>305</v>
      </c>
      <c r="C18" s="34" t="s">
        <v>231</v>
      </c>
      <c r="D18" s="48">
        <v>901250300</v>
      </c>
      <c r="E18" s="34" t="s">
        <v>170</v>
      </c>
      <c r="F18" s="34" t="s">
        <v>319</v>
      </c>
      <c r="G18" s="34" t="s">
        <v>266</v>
      </c>
      <c r="H18" s="34" t="s">
        <v>269</v>
      </c>
      <c r="I18" s="34" t="s">
        <v>171</v>
      </c>
      <c r="J18" s="34" t="s">
        <v>111</v>
      </c>
      <c r="K18" s="48" t="s">
        <v>116</v>
      </c>
      <c r="L18" s="48">
        <v>0</v>
      </c>
      <c r="M18" s="48" t="s">
        <v>259</v>
      </c>
      <c r="N18" s="594" t="s">
        <v>120</v>
      </c>
      <c r="O18" s="69">
        <v>0</v>
      </c>
      <c r="P18" s="34" t="s">
        <v>72</v>
      </c>
      <c r="Q18" s="93" t="s">
        <v>78</v>
      </c>
      <c r="R18" s="93" t="s">
        <v>78</v>
      </c>
      <c r="S18" s="49">
        <v>45942</v>
      </c>
      <c r="T18" s="249">
        <v>47037</v>
      </c>
      <c r="U18" s="249">
        <v>47286</v>
      </c>
      <c r="V18" s="49">
        <v>47286</v>
      </c>
      <c r="W18" s="254">
        <f>Table1[[#This Row],[نهاية المشروع المعدلة PMO LIVE]]-Table1[[#This Row],[نهاية المشروع المعدلة EPPM]]</f>
        <v>0</v>
      </c>
      <c r="X18" s="254" t="s">
        <v>169</v>
      </c>
      <c r="Y18" s="252">
        <v>47442</v>
      </c>
      <c r="Z18" s="49">
        <f>_xlfn.XLOOKUP(Table1[[#This Row],[PO]],Table156101114[PO],Table156101114[[النهاية المتوقعة ]],0)</f>
        <v>47449</v>
      </c>
      <c r="AA18" s="716">
        <f>Table1[[#This Row],[النهاية طبقاً للتحديث الاسبوعي الحالي]]-Table1[[#This Row],[النهاية طبقاً للتحديث الاسبوعي السابق]]</f>
        <v>7</v>
      </c>
      <c r="AB18" s="523">
        <v>297570000</v>
      </c>
      <c r="AC18" s="110">
        <v>342205500</v>
      </c>
      <c r="AD18" s="257">
        <v>8.4000000000000005E-2</v>
      </c>
      <c r="AE18" s="257">
        <v>0.16209999999999999</v>
      </c>
      <c r="AF18" s="47">
        <f>_xlfn.XLOOKUP(Table1[[#This Row],[PO]],Table156101114[PO],Table156101114[المخطط % 15 اكتوبر2026],0)</f>
        <v>8.4699999999999998E-2</v>
      </c>
      <c r="AG18" s="47">
        <f>_xlfn.XLOOKUP(Table1[[#This Row],[PO]],Table156101114[PO],Table156101114[Act %],0)</f>
        <v>0.16389999999999999</v>
      </c>
      <c r="AH18" s="630">
        <f>Table1[[#This Row],[المخطط % التراكمي]]-Table1[[#This Row],[المخطط % - الإسبوع السابق ]]</f>
        <v>6.999999999999923E-4</v>
      </c>
      <c r="AI18" s="630">
        <f>Table1[[#This Row],[المنفذ % التراكمي]]-Table1[[#This Row],[المنفذ % - الإسبوع السابق]]</f>
        <v>1.799999999999996E-3</v>
      </c>
      <c r="AJ18" s="102">
        <f>Table1[[#This Row],[المنفذ % التراكمي]]-Table1[[#This Row],[المخطط % التراكمي]]</f>
        <v>7.9199999999999993E-2</v>
      </c>
      <c r="AK18" s="634"/>
      <c r="AL18" s="634"/>
      <c r="AM18" s="674"/>
      <c r="AN18" s="674"/>
      <c r="AO18" s="674"/>
      <c r="AP18" s="674"/>
      <c r="AQ18" s="103">
        <f>_xlfn.XLOOKUP(Table1[[#This Row],[PO]],Table156101114[PO],Table156101114[TF],0)</f>
        <v>-140</v>
      </c>
      <c r="AR18" s="277">
        <f>Table1[[#This Row],[نسبة الإنجاز المتبقية %]]/(Table1[[#This Row],[مدة المشروع المتبقية بالشهور]])</f>
        <v>2.5699795081967215E-2</v>
      </c>
      <c r="AS18" s="69">
        <v>8.7609380011425889E-2</v>
      </c>
      <c r="AT18" s="69">
        <v>0</v>
      </c>
      <c r="AU18" s="445">
        <v>0</v>
      </c>
      <c r="AV18" s="69">
        <v>0</v>
      </c>
      <c r="AW18" s="448">
        <v>0</v>
      </c>
      <c r="AX18" s="439">
        <f>100%-Table1[[#This Row],[المنفذ % التراكمي]]</f>
        <v>0.83610000000000007</v>
      </c>
      <c r="AY18" s="439">
        <f>100%-Table1[[#This Row],[نسبة المدة المنقضية %]]</f>
        <v>0.72619047619047616</v>
      </c>
      <c r="AZ18" s="69">
        <f>_xlfn.XLOOKUP(Table1[[#This Row],[PO]],Table156101114[PO],Table156101114[المدة المنقضية],0)</f>
        <v>0.27380952380952384</v>
      </c>
      <c r="BA18" s="69" t="s">
        <v>122</v>
      </c>
      <c r="BB18" s="105" t="s">
        <v>122</v>
      </c>
      <c r="BC18" s="95">
        <f>_xlfn.XLOOKUP(Table1[[#This Row],[PO]],Table156101114[PO],Table156101114[SPI],0)</f>
        <v>1.9350649350649349</v>
      </c>
      <c r="BD18" s="359">
        <f>Table1[[#This Row],[نسبة المدة المنقضية %]]*Table1[[#This Row],[مدة المشروع الكلية بالشهور]]</f>
        <v>12.266666666666667</v>
      </c>
      <c r="BE18" s="360">
        <f>Table1[[#This Row],[نسبة المدة المتبقية %]]*Table1[[#This Row],[مدة المشروع الكلية بالشهور]]</f>
        <v>32.533333333333331</v>
      </c>
      <c r="BF18" s="360">
        <f>(Table1[[#This Row],[نهاية المشروع المعدلة PMO LIVE]]-Table1[[#This Row],[بداية المشروع التعاقدية]])</f>
        <v>1344</v>
      </c>
      <c r="BG18" s="361">
        <f>(Table1[[#This Row],[نهاية المشروع المعدلة PMO LIVE]]-Table1[[#This Row],[بداية المشروع التعاقدية]])/30</f>
        <v>44.8</v>
      </c>
      <c r="BH18" s="260">
        <f>1.25*Table1[[#This Row],[مدة المشروع بالايام]]</f>
        <v>1680</v>
      </c>
      <c r="BI18" s="495">
        <f>Table1[[#This Row],[125%من مدة المشروع]]+Table1[[#This Row],[بداية المشروع التعاقدية]]</f>
        <v>47622</v>
      </c>
      <c r="BJ18" s="648">
        <f>Table1[[#This Row],[قيمة المشروع بالضريبة]]*Table1[[#This Row],[المخطط % التراكمي]]</f>
        <v>28984805.849999998</v>
      </c>
      <c r="BK18" s="269">
        <f>Table1[[#This Row],[قيمة المشروع بالضريبة]]*Table1[[#This Row],[المنفذ % التراكمي]]</f>
        <v>56087481.449999996</v>
      </c>
      <c r="BL18" s="316">
        <f>Table1[[#This Row],[نسبة الإنجاز المتبقية %]]*Table1[[#This Row],[قيمة المشروع بالضريبة]]</f>
        <v>286118018.55000001</v>
      </c>
      <c r="BM18" s="316">
        <f>Table1[[#This Row],[نسبة الإيقاف%]]*Table1[[#This Row],[قيمة المشروع بالضريبة]]</f>
        <v>0</v>
      </c>
      <c r="BN18" s="317">
        <f>Table1[[#This Row],[Suspended Budget]]/Table1[[#This Row],[Remaining Budget]]</f>
        <v>0</v>
      </c>
      <c r="BQ18" s="903"/>
      <c r="BR18" s="904"/>
      <c r="BS18" s="904"/>
    </row>
    <row r="19" spans="1:71" s="248" customFormat="1" ht="30" hidden="1" customHeight="1">
      <c r="A19" s="79">
        <f>SUBTOTAL(3,$D$3:D19)</f>
        <v>1</v>
      </c>
      <c r="B19" s="85" t="s">
        <v>294</v>
      </c>
      <c r="C19" s="34" t="s">
        <v>214</v>
      </c>
      <c r="D19" s="48">
        <v>901250191</v>
      </c>
      <c r="E19" s="34" t="s">
        <v>142</v>
      </c>
      <c r="F19" s="34" t="s">
        <v>319</v>
      </c>
      <c r="G19" s="34" t="s">
        <v>164</v>
      </c>
      <c r="H19" s="34" t="s">
        <v>237</v>
      </c>
      <c r="I19" s="34" t="s">
        <v>146</v>
      </c>
      <c r="J19" s="98" t="s">
        <v>123</v>
      </c>
      <c r="K19" s="48" t="s">
        <v>116</v>
      </c>
      <c r="L19" s="48">
        <v>0</v>
      </c>
      <c r="M19" s="48" t="s">
        <v>259</v>
      </c>
      <c r="N19" s="594" t="s">
        <v>120</v>
      </c>
      <c r="O19" s="69">
        <v>0</v>
      </c>
      <c r="P19" s="34" t="s">
        <v>72</v>
      </c>
      <c r="Q19" s="93" t="s">
        <v>78</v>
      </c>
      <c r="R19" s="93" t="s">
        <v>78</v>
      </c>
      <c r="S19" s="49">
        <v>45908</v>
      </c>
      <c r="T19" s="249">
        <v>47002</v>
      </c>
      <c r="U19" s="249">
        <v>47239</v>
      </c>
      <c r="V19" s="49">
        <v>47239</v>
      </c>
      <c r="W19" s="254">
        <f>Table1[[#This Row],[نهاية المشروع المعدلة PMO LIVE]]-Table1[[#This Row],[نهاية المشروع المعدلة EPPM]]</f>
        <v>0</v>
      </c>
      <c r="X19" s="254" t="s">
        <v>169</v>
      </c>
      <c r="Y19" s="252">
        <v>47358</v>
      </c>
      <c r="Z19" s="99">
        <f>_xlfn.XLOOKUP(Table1[[#This Row],[PO]],Table156101114[PO],Table156101114[[النهاية المتوقعة ]],0)</f>
        <v>47366</v>
      </c>
      <c r="AA19" s="722">
        <f>Table1[[#This Row],[النهاية طبقاً للتحديث الاسبوعي الحالي]]-Table1[[#This Row],[النهاية طبقاً للتحديث الاسبوعي السابق]]</f>
        <v>8</v>
      </c>
      <c r="AB19" s="525">
        <v>37750000</v>
      </c>
      <c r="AC19" s="110">
        <v>43412500</v>
      </c>
      <c r="AD19" s="257">
        <v>0.14760000000000001</v>
      </c>
      <c r="AE19" s="257">
        <v>0.28349999999999997</v>
      </c>
      <c r="AF19" s="81">
        <f>_xlfn.XLOOKUP(Table1[[#This Row],[PO]],Table156101114[PO],Table156101114[المخطط % 15 اكتوبر2026],0)</f>
        <v>0.14760000000000001</v>
      </c>
      <c r="AG19" s="81">
        <f>_xlfn.XLOOKUP(Table1[[#This Row],[PO]],Table156101114[PO],Table156101114[Act %],0)</f>
        <v>0.28499999999999998</v>
      </c>
      <c r="AH19" s="627">
        <f>Table1[[#This Row],[المخطط % التراكمي]]-Table1[[#This Row],[المخطط % - الإسبوع السابق ]]</f>
        <v>0</v>
      </c>
      <c r="AI19" s="632">
        <f>Table1[[#This Row],[المنفذ % التراكمي]]-Table1[[#This Row],[المنفذ % - الإسبوع السابق]]</f>
        <v>1.5000000000000013E-3</v>
      </c>
      <c r="AJ19" s="102">
        <f>Table1[[#This Row],[المنفذ % التراكمي]]-Table1[[#This Row],[المخطط % التراكمي]]</f>
        <v>0.13739999999999997</v>
      </c>
      <c r="AK19" s="638"/>
      <c r="AL19" s="638"/>
      <c r="AM19" s="676"/>
      <c r="AN19" s="676"/>
      <c r="AO19" s="676"/>
      <c r="AP19" s="676"/>
      <c r="AQ19" s="106">
        <f>_xlfn.XLOOKUP(Table1[[#This Row],[PO]],Table156101114[PO],Table156101114[TF],0)</f>
        <v>-88</v>
      </c>
      <c r="AR19" s="277">
        <f>Table1[[#This Row],[نسبة الإنجاز المتبقية %]]/(Table1[[#This Row],[مدة المشروع المتبقية بالشهور]])</f>
        <v>2.3089343379978474E-2</v>
      </c>
      <c r="AS19" s="69">
        <v>0.1475905692715232</v>
      </c>
      <c r="AT19" s="69">
        <f>Table1[[#This Row],[نسبة المخطط التراكمي حتى 31 أكتوبر 2026]]-9.9%</f>
        <v>4.8590569271523193E-2</v>
      </c>
      <c r="AU19" s="445">
        <v>0</v>
      </c>
      <c r="AV19" s="69">
        <v>0</v>
      </c>
      <c r="AW19" s="448">
        <v>0</v>
      </c>
      <c r="AX19" s="439">
        <f>100%-Table1[[#This Row],[المنفذ % التراكمي]]</f>
        <v>0.71500000000000008</v>
      </c>
      <c r="AY19" s="439">
        <f>100%-Table1[[#This Row],[نسبة المدة المنقضية %]]</f>
        <v>0.69797145003756578</v>
      </c>
      <c r="AZ19" s="69">
        <f>_xlfn.XLOOKUP(Table1[[#This Row],[PO]],Table156101114[PO],Table156101114[المدة المنقضية],0)</f>
        <v>0.30202854996243428</v>
      </c>
      <c r="BA19" s="69" t="s">
        <v>122</v>
      </c>
      <c r="BB19" s="105" t="s">
        <v>122</v>
      </c>
      <c r="BC19" s="95">
        <f>_xlfn.XLOOKUP(Table1[[#This Row],[PO]],Table156101114[PO],Table156101114[SPI],0)</f>
        <v>1.9308943089430892</v>
      </c>
      <c r="BD19" s="359">
        <f>Table1[[#This Row],[نسبة المدة المنقضية %]]*Table1[[#This Row],[مدة المشروع الكلية بالشهور]]</f>
        <v>13.4</v>
      </c>
      <c r="BE19" s="360">
        <f>Table1[[#This Row],[نسبة المدة المتبقية %]]*Table1[[#This Row],[مدة المشروع الكلية بالشهور]]</f>
        <v>30.966666666666669</v>
      </c>
      <c r="BF19" s="360">
        <f>(Table1[[#This Row],[نهاية المشروع المعدلة PMO LIVE]]-Table1[[#This Row],[بداية المشروع التعاقدية]])</f>
        <v>1331</v>
      </c>
      <c r="BG19" s="361">
        <f>(Table1[[#This Row],[نهاية المشروع المعدلة PMO LIVE]]-Table1[[#This Row],[بداية المشروع التعاقدية]])/30</f>
        <v>44.366666666666667</v>
      </c>
      <c r="BH19" s="260">
        <f>1.25*Table1[[#This Row],[مدة المشروع بالايام]]</f>
        <v>1663.75</v>
      </c>
      <c r="BI19" s="495">
        <f>Table1[[#This Row],[125%من مدة المشروع]]+Table1[[#This Row],[بداية المشروع التعاقدية]]</f>
        <v>47571.75</v>
      </c>
      <c r="BJ19" s="648">
        <f>Table1[[#This Row],[قيمة المشروع بالضريبة]]*Table1[[#This Row],[المخطط % التراكمي]]</f>
        <v>6407685</v>
      </c>
      <c r="BK19" s="269">
        <f>Table1[[#This Row],[قيمة المشروع بالضريبة]]*Table1[[#This Row],[المنفذ % التراكمي]]</f>
        <v>12372562.499999998</v>
      </c>
      <c r="BL19" s="316">
        <f>Table1[[#This Row],[نسبة الإنجاز المتبقية %]]*Table1[[#This Row],[قيمة المشروع بالضريبة]]</f>
        <v>31039937.500000004</v>
      </c>
      <c r="BM19" s="316">
        <f>Table1[[#This Row],[نسبة الإيقاف%]]*Table1[[#This Row],[قيمة المشروع بالضريبة]]</f>
        <v>0</v>
      </c>
      <c r="BN19" s="317">
        <f>Table1[[#This Row],[Suspended Budget]]/Table1[[#This Row],[Remaining Budget]]</f>
        <v>0</v>
      </c>
      <c r="BQ19" s="903"/>
      <c r="BR19" s="904"/>
      <c r="BS19" s="904"/>
    </row>
    <row r="20" spans="1:71" s="321" customFormat="1" ht="30" hidden="1" customHeight="1">
      <c r="A20" s="80">
        <f>SUBTOTAL(3,$D$3:D20)</f>
        <v>1</v>
      </c>
      <c r="B20" s="83" t="s">
        <v>313</v>
      </c>
      <c r="C20" s="43" t="s">
        <v>312</v>
      </c>
      <c r="D20" s="42">
        <v>901250341</v>
      </c>
      <c r="E20" s="43" t="s">
        <v>271</v>
      </c>
      <c r="F20" s="43" t="s">
        <v>319</v>
      </c>
      <c r="G20" s="43" t="s">
        <v>266</v>
      </c>
      <c r="H20" s="43" t="s">
        <v>267</v>
      </c>
      <c r="I20" s="43" t="s">
        <v>273</v>
      </c>
      <c r="J20" s="43" t="s">
        <v>123</v>
      </c>
      <c r="K20" s="42" t="s">
        <v>116</v>
      </c>
      <c r="L20" s="42">
        <v>0</v>
      </c>
      <c r="M20" s="42" t="s">
        <v>259</v>
      </c>
      <c r="N20" s="593" t="s">
        <v>120</v>
      </c>
      <c r="O20" s="70">
        <v>0</v>
      </c>
      <c r="P20" s="43" t="s">
        <v>72</v>
      </c>
      <c r="Q20" s="93" t="s">
        <v>78</v>
      </c>
      <c r="R20" s="93" t="s">
        <v>78</v>
      </c>
      <c r="S20" s="44">
        <v>45978</v>
      </c>
      <c r="T20" s="250">
        <v>47073</v>
      </c>
      <c r="U20" s="250">
        <v>47241</v>
      </c>
      <c r="V20" s="44">
        <v>47241</v>
      </c>
      <c r="W20" s="255">
        <f>Table1[[#This Row],[نهاية المشروع المعدلة PMO LIVE]]-Table1[[#This Row],[نهاية المشروع المعدلة EPPM]]</f>
        <v>0</v>
      </c>
      <c r="X20" s="872" t="s">
        <v>671</v>
      </c>
      <c r="Y20" s="253">
        <v>47391</v>
      </c>
      <c r="Z20" s="44">
        <f>_xlfn.XLOOKUP(Table1[[#This Row],[PO]],Table156101114[PO],Table156101114[[النهاية المتوقعة ]],0)</f>
        <v>47398</v>
      </c>
      <c r="AA20" s="719">
        <f>Table1[[#This Row],[النهاية طبقاً للتحديث الاسبوعي الحالي]]-Table1[[#This Row],[النهاية طبقاً للتحديث الاسبوعي السابق]]</f>
        <v>7</v>
      </c>
      <c r="AB20" s="522">
        <v>18957585</v>
      </c>
      <c r="AC20" s="109">
        <v>21801222.75</v>
      </c>
      <c r="AD20" s="258">
        <v>5.57E-2</v>
      </c>
      <c r="AE20" s="258">
        <v>0.17280000000000001</v>
      </c>
      <c r="AF20" s="90">
        <f>_xlfn.XLOOKUP(Table1[[#This Row],[PO]],Table156101114[PO],Table156101114[المخطط % 15 اكتوبر2026],0)</f>
        <v>5.5800000000000002E-2</v>
      </c>
      <c r="AG20" s="90">
        <f>_xlfn.XLOOKUP(Table1[[#This Row],[PO]],Table156101114[PO],Table156101114[Act %],0)</f>
        <v>0.17280000000000001</v>
      </c>
      <c r="AH20" s="628">
        <f>Table1[[#This Row],[المخطط % التراكمي]]-Table1[[#This Row],[المخطط % - الإسبوع السابق ]]</f>
        <v>1.0000000000000286E-4</v>
      </c>
      <c r="AI20" s="629">
        <f>Table1[[#This Row],[المنفذ % التراكمي]]-Table1[[#This Row],[المنفذ % - الإسبوع السابق]]</f>
        <v>0</v>
      </c>
      <c r="AJ20" s="274">
        <f>Table1[[#This Row],[المنفذ % التراكمي]]-Table1[[#This Row],[المخطط % التراكمي]]</f>
        <v>0.11700000000000001</v>
      </c>
      <c r="AK20" s="636"/>
      <c r="AL20" s="636"/>
      <c r="AM20" s="673"/>
      <c r="AN20" s="673"/>
      <c r="AO20" s="673"/>
      <c r="AP20" s="673"/>
      <c r="AQ20" s="107">
        <f>_xlfn.XLOOKUP(Table1[[#This Row],[PO]],Table156101114[PO],Table156101114[TF],0)</f>
        <v>-133</v>
      </c>
      <c r="AR20" s="276">
        <f>Table1[[#This Row],[نسبة الإنجاز المتبقية %]]/(Table1[[#This Row],[مدة المشروع المتبقية بالشهور]])</f>
        <v>2.6655209452201931E-2</v>
      </c>
      <c r="AS20" s="70">
        <v>5.5973430160012473E-2</v>
      </c>
      <c r="AT20" s="70">
        <v>0</v>
      </c>
      <c r="AU20" s="446">
        <v>0</v>
      </c>
      <c r="AV20" s="70">
        <v>0</v>
      </c>
      <c r="AW20" s="449">
        <v>0</v>
      </c>
      <c r="AX20" s="440">
        <f>100%-Table1[[#This Row],[المنفذ % التراكمي]]</f>
        <v>0.82719999999999994</v>
      </c>
      <c r="AY20" s="440">
        <f>100%-Table1[[#This Row],[نسبة المدة المنقضية %]]</f>
        <v>0.73713380839271569</v>
      </c>
      <c r="AZ20" s="70">
        <f>_xlfn.XLOOKUP(Table1[[#This Row],[PO]],Table156101114[PO],Table156101114[المدة المنقضية],0)</f>
        <v>0.26286619160728425</v>
      </c>
      <c r="BA20" s="70" t="s">
        <v>122</v>
      </c>
      <c r="BB20" s="108" t="s">
        <v>122</v>
      </c>
      <c r="BC20" s="96">
        <f>_xlfn.XLOOKUP(Table1[[#This Row],[PO]],Table156101114[PO],Table156101114[SPI],0)</f>
        <v>3.096774193548387</v>
      </c>
      <c r="BD20" s="359">
        <f>Table1[[#This Row],[نسبة المدة المنقضية %]]*Table1[[#This Row],[مدة المشروع الكلية بالشهور]]</f>
        <v>11.066666666666666</v>
      </c>
      <c r="BE20" s="360">
        <f>Table1[[#This Row],[نسبة المدة المتبقية %]]*Table1[[#This Row],[مدة المشروع الكلية بالشهور]]</f>
        <v>31.033333333333331</v>
      </c>
      <c r="BF20" s="360">
        <f>(Table1[[#This Row],[نهاية المشروع المعدلة PMO LIVE]]-Table1[[#This Row],[بداية المشروع التعاقدية]])</f>
        <v>1263</v>
      </c>
      <c r="BG20" s="361">
        <f>(Table1[[#This Row],[نهاية المشروع المعدلة PMO LIVE]]-Table1[[#This Row],[بداية المشروع التعاقدية]])/30</f>
        <v>42.1</v>
      </c>
      <c r="BH20" s="260">
        <f>1.25*Table1[[#This Row],[مدة المشروع بالايام]]</f>
        <v>1578.75</v>
      </c>
      <c r="BI20" s="621">
        <f>Table1[[#This Row],[125%من مدة المشروع]]+Table1[[#This Row],[بداية المشروع التعاقدية]]</f>
        <v>47556.75</v>
      </c>
      <c r="BJ20" s="651">
        <f>Table1[[#This Row],[قيمة المشروع بالضريبة]]*Table1[[#This Row],[المخطط % التراكمي]]</f>
        <v>1216508.22945</v>
      </c>
      <c r="BK20" s="270">
        <f>Table1[[#This Row],[قيمة المشروع بالضريبة]]*Table1[[#This Row],[المنفذ % التراكمي]]</f>
        <v>3767251.2912000003</v>
      </c>
      <c r="BL20" s="318">
        <f>Table1[[#This Row],[نسبة الإنجاز المتبقية %]]*Table1[[#This Row],[قيمة المشروع بالضريبة]]</f>
        <v>18033971.458799999</v>
      </c>
      <c r="BM20" s="318">
        <f>Table1[[#This Row],[نسبة الإيقاف%]]*Table1[[#This Row],[قيمة المشروع بالضريبة]]</f>
        <v>0</v>
      </c>
      <c r="BN20" s="319">
        <f>Table1[[#This Row],[Suspended Budget]]/Table1[[#This Row],[Remaining Budget]]</f>
        <v>0</v>
      </c>
      <c r="BQ20" s="903"/>
      <c r="BR20" s="904"/>
      <c r="BS20" s="904"/>
    </row>
    <row r="21" spans="1:71" ht="30" hidden="1" customHeight="1">
      <c r="A21" s="80">
        <f>SUBTOTAL(3,$D$3:D21)</f>
        <v>1</v>
      </c>
      <c r="B21" s="83" t="s">
        <v>291</v>
      </c>
      <c r="C21" s="43" t="s">
        <v>205</v>
      </c>
      <c r="D21" s="42">
        <v>901250059</v>
      </c>
      <c r="E21" s="43" t="s">
        <v>108</v>
      </c>
      <c r="F21" s="43" t="s">
        <v>320</v>
      </c>
      <c r="G21" s="43" t="s">
        <v>164</v>
      </c>
      <c r="H21" s="152" t="s">
        <v>165</v>
      </c>
      <c r="I21" s="43" t="s">
        <v>103</v>
      </c>
      <c r="J21" s="43" t="s">
        <v>123</v>
      </c>
      <c r="K21" s="42" t="s">
        <v>136</v>
      </c>
      <c r="L21" s="42">
        <v>0</v>
      </c>
      <c r="M21" s="42" t="s">
        <v>259</v>
      </c>
      <c r="N21" s="593" t="s">
        <v>120</v>
      </c>
      <c r="O21" s="70">
        <v>0</v>
      </c>
      <c r="P21" s="43" t="s">
        <v>72</v>
      </c>
      <c r="Q21" s="93" t="s">
        <v>78</v>
      </c>
      <c r="R21" s="93" t="s">
        <v>78</v>
      </c>
      <c r="S21" s="44">
        <v>45762</v>
      </c>
      <c r="T21" s="250">
        <v>46492</v>
      </c>
      <c r="U21" s="250">
        <v>46856</v>
      </c>
      <c r="V21" s="44">
        <v>46857</v>
      </c>
      <c r="W21" s="255">
        <f>Table1[[#This Row],[نهاية المشروع المعدلة PMO LIVE]]-Table1[[#This Row],[نهاية المشروع المعدلة EPPM]]</f>
        <v>1</v>
      </c>
      <c r="X21" s="484" t="s">
        <v>169</v>
      </c>
      <c r="Y21" s="250">
        <v>47003</v>
      </c>
      <c r="Z21" s="44">
        <f>_xlfn.XLOOKUP(Table1[[#This Row],[PO]],Table156101114[PO],Table156101114[[النهاية المتوقعة ]],0)</f>
        <v>47006</v>
      </c>
      <c r="AA21" s="719">
        <f>Table1[[#This Row],[النهاية طبقاً للتحديث الاسبوعي الحالي]]-Table1[[#This Row],[النهاية طبقاً للتحديث الاسبوعي السابق]]</f>
        <v>3</v>
      </c>
      <c r="AB21" s="522">
        <v>50627136</v>
      </c>
      <c r="AC21" s="109">
        <v>58221206.399999999</v>
      </c>
      <c r="AD21" s="258">
        <v>0.43509999999999999</v>
      </c>
      <c r="AE21" s="258">
        <v>0.5111</v>
      </c>
      <c r="AF21" s="45">
        <f>_xlfn.XLOOKUP(Table1[[#This Row],[PO]],Table156101114[PO],Table156101114[المخطط % 15 اكتوبر2026],0)</f>
        <v>0.43880000000000002</v>
      </c>
      <c r="AG21" s="45">
        <f>_xlfn.XLOOKUP(Table1[[#This Row],[PO]],Table156101114[PO],Table156101114[Act %],0)</f>
        <v>0.51690000000000003</v>
      </c>
      <c r="AH21" s="629">
        <f>Table1[[#This Row],[المخطط % التراكمي]]-Table1[[#This Row],[المخطط % - الإسبوع السابق ]]</f>
        <v>3.7000000000000366E-3</v>
      </c>
      <c r="AI21" s="629">
        <f>Table1[[#This Row],[المنفذ % التراكمي]]-Table1[[#This Row],[المنفذ % - الإسبوع السابق]]</f>
        <v>5.8000000000000274E-3</v>
      </c>
      <c r="AJ21" s="51">
        <f>Table1[[#This Row],[المنفذ % التراكمي]]-Table1[[#This Row],[المخطط % التراكمي]]</f>
        <v>7.8100000000000003E-2</v>
      </c>
      <c r="AK21" s="636"/>
      <c r="AL21" s="636"/>
      <c r="AM21" s="673"/>
      <c r="AN21" s="673"/>
      <c r="AO21" s="673"/>
      <c r="AP21" s="673"/>
      <c r="AQ21" s="107">
        <f>_xlfn.XLOOKUP(Table1[[#This Row],[PO]],Table156101114[PO],Table156101114[TF],0)</f>
        <v>-128</v>
      </c>
      <c r="AR21" s="276">
        <f>Table1[[#This Row],[نسبة الإنجاز المتبقية %]]/(Table1[[#This Row],[مدة المشروع المتبقية بالشهور]])</f>
        <v>2.6495429616087748E-2</v>
      </c>
      <c r="AS21" s="70">
        <v>0.43999780872455446</v>
      </c>
      <c r="AT21" s="70">
        <f>Table1[[#This Row],[نسبة المخطط التراكمي حتى 31 أكتوبر 2026]]-9.9%</f>
        <v>0.34099780872455443</v>
      </c>
      <c r="AU21" s="446">
        <v>0</v>
      </c>
      <c r="AV21" s="70">
        <f>Table1[[#This Row],[نسبة المخطط التراكمي حتى 31 أكتوبر 2026]]-24.9%</f>
        <v>0.19099780872455446</v>
      </c>
      <c r="AW21" s="449">
        <v>0</v>
      </c>
      <c r="AX21" s="440">
        <f>100%-Table1[[#This Row],[المنفذ % التراكمي]]</f>
        <v>0.48309999999999997</v>
      </c>
      <c r="AY21" s="440">
        <f>100%-Table1[[#This Row],[نسبة المدة المنقضية %]]</f>
        <v>0.49954337899543377</v>
      </c>
      <c r="AZ21" s="70">
        <f>_xlfn.XLOOKUP(Table1[[#This Row],[PO]],Table156101114[PO],Table156101114[المدة المنقضية],0)</f>
        <v>0.50045662100456623</v>
      </c>
      <c r="BA21" s="70" t="s">
        <v>122</v>
      </c>
      <c r="BB21" s="108" t="s">
        <v>122</v>
      </c>
      <c r="BC21" s="96">
        <f>_xlfn.XLOOKUP(Table1[[#This Row],[PO]],Table156101114[PO],Table156101114[SPI],0)</f>
        <v>1.1779854147675479</v>
      </c>
      <c r="BD21" s="359">
        <f>Table1[[#This Row],[نسبة المدة المنقضية %]]*Table1[[#This Row],[مدة المشروع الكلية بالشهور]]</f>
        <v>18.266666666666666</v>
      </c>
      <c r="BE21" s="360">
        <f>Table1[[#This Row],[نسبة المدة المتبقية %]]*Table1[[#This Row],[مدة المشروع الكلية بالشهور]]</f>
        <v>18.233333333333334</v>
      </c>
      <c r="BF21" s="360">
        <f>(Table1[[#This Row],[نهاية المشروع المعدلة PMO LIVE]]-Table1[[#This Row],[بداية المشروع التعاقدية]])</f>
        <v>1095</v>
      </c>
      <c r="BG21" s="361">
        <f>(Table1[[#This Row],[نهاية المشروع المعدلة PMO LIVE]]-Table1[[#This Row],[بداية المشروع التعاقدية]])/30</f>
        <v>36.5</v>
      </c>
      <c r="BH21" s="260">
        <f>1.25*Table1[[#This Row],[مدة المشروع بالايام]]</f>
        <v>1368.75</v>
      </c>
      <c r="BI21" s="621">
        <f>Table1[[#This Row],[125%من مدة المشروع]]+Table1[[#This Row],[بداية المشروع التعاقدية]]</f>
        <v>47130.75</v>
      </c>
      <c r="BJ21" s="648">
        <f>Table1[[#This Row],[قيمة المشروع بالضريبة]]*Table1[[#This Row],[المخطط % التراكمي]]</f>
        <v>25547465.368319999</v>
      </c>
      <c r="BK21" s="269">
        <f>Table1[[#This Row],[قيمة المشروع بالضريبة]]*Table1[[#This Row],[المنفذ % التراكمي]]</f>
        <v>30094541.588160001</v>
      </c>
      <c r="BL21" s="316">
        <f>Table1[[#This Row],[نسبة الإنجاز المتبقية %]]*Table1[[#This Row],[قيمة المشروع بالضريبة]]</f>
        <v>28126664.811839998</v>
      </c>
      <c r="BM21" s="316">
        <f>Table1[[#This Row],[نسبة الإيقاف%]]*Table1[[#This Row],[قيمة المشروع بالضريبة]]</f>
        <v>0</v>
      </c>
      <c r="BN21" s="317">
        <f>Table1[[#This Row],[Suspended Budget]]/Table1[[#This Row],[Remaining Budget]]</f>
        <v>0</v>
      </c>
      <c r="BQ21" s="903"/>
      <c r="BR21" s="904"/>
      <c r="BS21" s="904"/>
    </row>
    <row r="22" spans="1:71" s="322" customFormat="1" ht="30" hidden="1" customHeight="1">
      <c r="A22" s="79">
        <f>SUBTOTAL(3,$D$3:D22)</f>
        <v>1</v>
      </c>
      <c r="B22" s="85" t="s">
        <v>304</v>
      </c>
      <c r="C22" s="34" t="s">
        <v>225</v>
      </c>
      <c r="D22" s="48">
        <v>901240021</v>
      </c>
      <c r="E22" s="34" t="s">
        <v>84</v>
      </c>
      <c r="F22" s="34" t="s">
        <v>318</v>
      </c>
      <c r="G22" s="155" t="s">
        <v>159</v>
      </c>
      <c r="H22" s="154" t="s">
        <v>408</v>
      </c>
      <c r="I22" s="34" t="s">
        <v>260</v>
      </c>
      <c r="J22" s="34" t="s">
        <v>123</v>
      </c>
      <c r="K22" s="48" t="s">
        <v>116</v>
      </c>
      <c r="L22" s="48">
        <v>0</v>
      </c>
      <c r="M22" s="48" t="s">
        <v>259</v>
      </c>
      <c r="N22" s="594" t="s">
        <v>121</v>
      </c>
      <c r="O22" s="69">
        <v>0</v>
      </c>
      <c r="P22" s="34" t="s">
        <v>72</v>
      </c>
      <c r="Q22" s="93" t="s">
        <v>78</v>
      </c>
      <c r="R22" s="93" t="s">
        <v>78</v>
      </c>
      <c r="S22" s="49">
        <v>45404</v>
      </c>
      <c r="T22" s="249">
        <v>46499</v>
      </c>
      <c r="U22" s="249">
        <v>47014</v>
      </c>
      <c r="V22" s="49">
        <v>47014</v>
      </c>
      <c r="W22" s="254">
        <f>Table1[[#This Row],[نهاية المشروع المعدلة PMO LIVE]]-Table1[[#This Row],[نهاية المشروع المعدلة EPPM]]</f>
        <v>0</v>
      </c>
      <c r="X22" s="254" t="s">
        <v>169</v>
      </c>
      <c r="Y22" s="249">
        <v>47147</v>
      </c>
      <c r="Z22" s="49">
        <f>_xlfn.XLOOKUP(Table1[[#This Row],[PO]],Table156101114[PO],Table156101114[[النهاية المتوقعة ]],0)</f>
        <v>47154</v>
      </c>
      <c r="AA22" s="716">
        <f>Table1[[#This Row],[النهاية طبقاً للتحديث الاسبوعي الحالي]]-Table1[[#This Row],[النهاية طبقاً للتحديث الاسبوعي السابق]]</f>
        <v>7</v>
      </c>
      <c r="AB22" s="523">
        <v>97195616</v>
      </c>
      <c r="AC22" s="110">
        <v>111774958.40000001</v>
      </c>
      <c r="AD22" s="257">
        <v>0.50749999999999995</v>
      </c>
      <c r="AE22" s="257">
        <v>0.57809999999999995</v>
      </c>
      <c r="AF22" s="47">
        <f>_xlfn.XLOOKUP(Table1[[#This Row],[PO]],Table156101114[PO],Table156101114[المخطط % 15 اكتوبر2026],0)</f>
        <v>0.50870000000000004</v>
      </c>
      <c r="AG22" s="47">
        <f>_xlfn.XLOOKUP(Table1[[#This Row],[PO]],Table156101114[PO],Table156101114[Act %],0)</f>
        <v>0.57850000000000001</v>
      </c>
      <c r="AH22" s="630">
        <f>Table1[[#This Row],[المخطط % التراكمي]]-Table1[[#This Row],[المخطط % - الإسبوع السابق ]]</f>
        <v>1.2000000000000899E-3</v>
      </c>
      <c r="AI22" s="630">
        <f>Table1[[#This Row],[المنفذ % التراكمي]]-Table1[[#This Row],[المنفذ % - الإسبوع السابق]]</f>
        <v>4.0000000000006697E-4</v>
      </c>
      <c r="AJ22" s="51">
        <f>Table1[[#This Row],[المنفذ % التراكمي]]-Table1[[#This Row],[المخطط % التراكمي]]</f>
        <v>6.9799999999999973E-2</v>
      </c>
      <c r="AK22" s="634"/>
      <c r="AL22" s="634"/>
      <c r="AM22" s="674"/>
      <c r="AN22" s="674"/>
      <c r="AO22" s="674"/>
      <c r="AP22" s="674"/>
      <c r="AQ22" s="103">
        <f>_xlfn.XLOOKUP(Table1[[#This Row],[PO]],Table156101114[PO],Table156101114[TF],0)</f>
        <v>-119</v>
      </c>
      <c r="AR22" s="277">
        <f>Table1[[#This Row],[نسبة الإنجاز المتبقية %]]/(Table1[[#This Row],[مدة المشروع المتبقية بالشهور]])</f>
        <v>1.7961647727272729E-2</v>
      </c>
      <c r="AS22" s="69">
        <v>0.51146309284155378</v>
      </c>
      <c r="AT22" s="69">
        <f>Table1[[#This Row],[نسبة المخطط التراكمي حتى 31 أكتوبر 2026]]-9.9%</f>
        <v>0.4124630928415538</v>
      </c>
      <c r="AU22" s="445">
        <v>0</v>
      </c>
      <c r="AV22" s="69">
        <f>Table1[[#This Row],[نسبة المخطط التراكمي حتى 31 أكتوبر 2026]]-24.9%</f>
        <v>0.26246309284155378</v>
      </c>
      <c r="AW22" s="448">
        <v>0</v>
      </c>
      <c r="AX22" s="439">
        <f>100%-Table1[[#This Row],[المنفذ % التراكمي]]</f>
        <v>0.42149999999999999</v>
      </c>
      <c r="AY22" s="439">
        <f>100%-Table1[[#This Row],[نسبة المدة المنقضية %]]</f>
        <v>0.4372670807453416</v>
      </c>
      <c r="AZ22" s="69">
        <f>_xlfn.XLOOKUP(Table1[[#This Row],[PO]],Table156101114[PO],Table156101114[المدة المنقضية],0)</f>
        <v>0.5627329192546584</v>
      </c>
      <c r="BA22" s="69" t="s">
        <v>122</v>
      </c>
      <c r="BB22" s="105" t="s">
        <v>122</v>
      </c>
      <c r="BC22" s="95">
        <f>_xlfn.XLOOKUP(Table1[[#This Row],[PO]],Table156101114[PO],Table156101114[SPI],0)</f>
        <v>1.1372125024572439</v>
      </c>
      <c r="BD22" s="359">
        <f>Table1[[#This Row],[نسبة المدة المنقضية %]]*Table1[[#This Row],[مدة المشروع الكلية بالشهور]]</f>
        <v>30.2</v>
      </c>
      <c r="BE22" s="360">
        <f>Table1[[#This Row],[نسبة المدة المتبقية %]]*Table1[[#This Row],[مدة المشروع الكلية بالشهور]]</f>
        <v>23.466666666666665</v>
      </c>
      <c r="BF22" s="360">
        <f>(Table1[[#This Row],[نهاية المشروع المعدلة PMO LIVE]]-Table1[[#This Row],[بداية المشروع التعاقدية]])</f>
        <v>1610</v>
      </c>
      <c r="BG22" s="361">
        <f>(Table1[[#This Row],[نهاية المشروع المعدلة PMO LIVE]]-Table1[[#This Row],[بداية المشروع التعاقدية]])/30</f>
        <v>53.666666666666664</v>
      </c>
      <c r="BH22" s="260">
        <f>1.25*Table1[[#This Row],[مدة المشروع بالايام]]</f>
        <v>2012.5</v>
      </c>
      <c r="BI22" s="495">
        <f>Table1[[#This Row],[125%من مدة المشروع]]+Table1[[#This Row],[بداية المشروع التعاقدية]]</f>
        <v>47416.5</v>
      </c>
      <c r="BJ22" s="651">
        <f>Table1[[#This Row],[قيمة المشروع بالضريبة]]*Table1[[#This Row],[المخطط % التراكمي]]</f>
        <v>56859921.338080011</v>
      </c>
      <c r="BK22" s="270">
        <f>Table1[[#This Row],[قيمة المشروع بالضريبة]]*Table1[[#This Row],[المنفذ % التراكمي]]</f>
        <v>64661813.434400007</v>
      </c>
      <c r="BL22" s="318">
        <f>Table1[[#This Row],[نسبة الإنجاز المتبقية %]]*Table1[[#This Row],[قيمة المشروع بالضريبة]]</f>
        <v>47113144.965599999</v>
      </c>
      <c r="BM22" s="318">
        <f>Table1[[#This Row],[نسبة الإيقاف%]]*Table1[[#This Row],[قيمة المشروع بالضريبة]]</f>
        <v>0</v>
      </c>
      <c r="BN22" s="319">
        <f>Table1[[#This Row],[Suspended Budget]]/Table1[[#This Row],[Remaining Budget]]</f>
        <v>0</v>
      </c>
      <c r="BQ22" s="903"/>
      <c r="BR22" s="904"/>
      <c r="BS22" s="904"/>
    </row>
    <row r="23" spans="1:71" ht="30" hidden="1" customHeight="1">
      <c r="A23" s="80">
        <f>SUBTOTAL(3,$D$3:D23)</f>
        <v>1</v>
      </c>
      <c r="B23" s="83" t="s">
        <v>307</v>
      </c>
      <c r="C23" s="43" t="s">
        <v>243</v>
      </c>
      <c r="D23" s="42">
        <v>901250206</v>
      </c>
      <c r="E23" s="43" t="s">
        <v>240</v>
      </c>
      <c r="F23" s="43" t="s">
        <v>319</v>
      </c>
      <c r="G23" s="43" t="s">
        <v>266</v>
      </c>
      <c r="H23" s="43" t="s">
        <v>237</v>
      </c>
      <c r="I23" s="43" t="s">
        <v>241</v>
      </c>
      <c r="J23" s="43" t="s">
        <v>123</v>
      </c>
      <c r="K23" s="42" t="s">
        <v>116</v>
      </c>
      <c r="L23" s="42">
        <v>0</v>
      </c>
      <c r="M23" s="42" t="s">
        <v>259</v>
      </c>
      <c r="N23" s="593" t="s">
        <v>120</v>
      </c>
      <c r="O23" s="70">
        <v>0</v>
      </c>
      <c r="P23" s="43" t="s">
        <v>72</v>
      </c>
      <c r="Q23" s="93" t="s">
        <v>78</v>
      </c>
      <c r="R23" s="93" t="s">
        <v>78</v>
      </c>
      <c r="S23" s="44">
        <v>45952</v>
      </c>
      <c r="T23" s="250">
        <v>46682</v>
      </c>
      <c r="U23" s="250">
        <v>47003</v>
      </c>
      <c r="V23" s="44">
        <v>47004</v>
      </c>
      <c r="W23" s="255">
        <f>Table1[[#This Row],[نهاية المشروع المعدلة PMO LIVE]]-Table1[[#This Row],[نهاية المشروع المعدلة EPPM]]</f>
        <v>1</v>
      </c>
      <c r="X23" s="872" t="s">
        <v>672</v>
      </c>
      <c r="Y23" s="253">
        <v>47115</v>
      </c>
      <c r="Z23" s="44">
        <f>_xlfn.XLOOKUP(Table1[[#This Row],[PO]],Table156101114[PO],Table156101114[[النهاية المتوقعة ]],0)</f>
        <v>47122</v>
      </c>
      <c r="AA23" s="719">
        <f>Table1[[#This Row],[النهاية طبقاً للتحديث الاسبوعي الحالي]]-Table1[[#This Row],[النهاية طبقاً للتحديث الاسبوعي السابق]]</f>
        <v>7</v>
      </c>
      <c r="AB23" s="522">
        <v>26462318</v>
      </c>
      <c r="AC23" s="109">
        <v>30431665.699999999</v>
      </c>
      <c r="AD23" s="258">
        <v>0.20899999999999999</v>
      </c>
      <c r="AE23" s="258">
        <v>0.30249999999999999</v>
      </c>
      <c r="AF23" s="90">
        <f>_xlfn.XLOOKUP(Table1[[#This Row],[PO]],Table156101114[PO],Table156101114[المخطط % 15 اكتوبر2026],0)</f>
        <v>0.19839999999999999</v>
      </c>
      <c r="AG23" s="90">
        <f>_xlfn.XLOOKUP(Table1[[#This Row],[PO]],Table156101114[PO],Table156101114[Act %],0)</f>
        <v>0.31190000000000001</v>
      </c>
      <c r="AH23" s="628">
        <f>Table1[[#This Row],[المخطط % التراكمي]]-Table1[[#This Row],[المخطط % - الإسبوع السابق ]]</f>
        <v>-1.0599999999999998E-2</v>
      </c>
      <c r="AI23" s="629">
        <f>Table1[[#This Row],[المنفذ % التراكمي]]-Table1[[#This Row],[المنفذ % - الإسبوع السابق]]</f>
        <v>9.4000000000000195E-3</v>
      </c>
      <c r="AJ23" s="274">
        <f>Table1[[#This Row],[المنفذ % التراكمي]]-Table1[[#This Row],[المخطط % التراكمي]]</f>
        <v>0.11350000000000002</v>
      </c>
      <c r="AK23" s="636"/>
      <c r="AL23" s="636"/>
      <c r="AM23" s="673"/>
      <c r="AN23" s="673"/>
      <c r="AO23" s="673"/>
      <c r="AP23" s="673"/>
      <c r="AQ23" s="107">
        <f>_xlfn.XLOOKUP(Table1[[#This Row],[PO]],Table156101114[PO],Table156101114[TF],0)</f>
        <v>-101</v>
      </c>
      <c r="AR23" s="276">
        <f>Table1[[#This Row],[نسبة الإنجاز المتبقية %]]/(Table1[[#This Row],[مدة المشروع المتبقية بالشهور]])</f>
        <v>2.9744956772334286E-2</v>
      </c>
      <c r="AS23" s="70">
        <v>0.20960553531251491</v>
      </c>
      <c r="AT23" s="70">
        <f>Table1[[#This Row],[نسبة المخطط التراكمي حتى 31 أكتوبر 2026]]-9.9%</f>
        <v>0.11060553531251491</v>
      </c>
      <c r="AU23" s="446">
        <v>0</v>
      </c>
      <c r="AV23" s="70">
        <v>0</v>
      </c>
      <c r="AW23" s="449">
        <v>0</v>
      </c>
      <c r="AX23" s="440">
        <f>100%-Table1[[#This Row],[المنفذ % التراكمي]]</f>
        <v>0.68809999999999993</v>
      </c>
      <c r="AY23" s="440">
        <f>100%-Table1[[#This Row],[نسبة المدة المنقضية %]]</f>
        <v>0.65969581749049433</v>
      </c>
      <c r="AZ23" s="70">
        <f>_xlfn.XLOOKUP(Table1[[#This Row],[PO]],Table156101114[PO],Table156101114[المدة المنقضية],0)</f>
        <v>0.34030418250950573</v>
      </c>
      <c r="BA23" s="70" t="s">
        <v>122</v>
      </c>
      <c r="BB23" s="108" t="s">
        <v>122</v>
      </c>
      <c r="BC23" s="96">
        <f>_xlfn.XLOOKUP(Table1[[#This Row],[PO]],Table156101114[PO],Table156101114[SPI],0)</f>
        <v>1.572076612903226</v>
      </c>
      <c r="BD23" s="356">
        <f>Table1[[#This Row],[نسبة المدة المنقضية %]]*Table1[[#This Row],[مدة المشروع الكلية بالشهور]]</f>
        <v>11.933333333333335</v>
      </c>
      <c r="BE23" s="357">
        <f>Table1[[#This Row],[نسبة المدة المتبقية %]]*Table1[[#This Row],[مدة المشروع الكلية بالشهور]]</f>
        <v>23.133333333333336</v>
      </c>
      <c r="BF23" s="357">
        <f>(Table1[[#This Row],[نهاية المشروع المعدلة PMO LIVE]]-Table1[[#This Row],[بداية المشروع التعاقدية]])</f>
        <v>1052</v>
      </c>
      <c r="BG23" s="358">
        <f>(Table1[[#This Row],[نهاية المشروع المعدلة PMO LIVE]]-Table1[[#This Row],[بداية المشروع التعاقدية]])/30</f>
        <v>35.06666666666667</v>
      </c>
      <c r="BH23" s="261">
        <f>1.25*Table1[[#This Row],[مدة المشروع بالايام]]</f>
        <v>1315</v>
      </c>
      <c r="BI23" s="621">
        <f>Table1[[#This Row],[125%من مدة المشروع]]+Table1[[#This Row],[بداية المشروع التعاقدية]]</f>
        <v>47267</v>
      </c>
      <c r="BJ23" s="651">
        <f>Table1[[#This Row],[قيمة المشروع بالضريبة]]*Table1[[#This Row],[المخطط % التراكمي]]</f>
        <v>6037642.4748799996</v>
      </c>
      <c r="BK23" s="270">
        <f>Table1[[#This Row],[قيمة المشروع بالضريبة]]*Table1[[#This Row],[المنفذ % التراكمي]]</f>
        <v>9491636.5318299998</v>
      </c>
      <c r="BL23" s="318">
        <f>Table1[[#This Row],[نسبة الإنجاز المتبقية %]]*Table1[[#This Row],[قيمة المشروع بالضريبة]]</f>
        <v>20940029.168169998</v>
      </c>
      <c r="BM23" s="318">
        <f>Table1[[#This Row],[نسبة الإيقاف%]]*Table1[[#This Row],[قيمة المشروع بالضريبة]]</f>
        <v>0</v>
      </c>
      <c r="BN23" s="319">
        <f>Table1[[#This Row],[Suspended Budget]]/Table1[[#This Row],[Remaining Budget]]</f>
        <v>0</v>
      </c>
      <c r="BQ23" s="903"/>
      <c r="BR23" s="904"/>
      <c r="BS23" s="918"/>
    </row>
    <row r="24" spans="1:71" s="321" customFormat="1" ht="30" hidden="1" customHeight="1">
      <c r="A24" s="80">
        <f>SUBTOTAL(3,$D$3:D24)</f>
        <v>1</v>
      </c>
      <c r="B24" s="83" t="s">
        <v>290</v>
      </c>
      <c r="C24" s="43" t="s">
        <v>204</v>
      </c>
      <c r="D24" s="42">
        <v>901250210</v>
      </c>
      <c r="E24" s="43" t="s">
        <v>133</v>
      </c>
      <c r="F24" s="43" t="s">
        <v>318</v>
      </c>
      <c r="G24" s="152" t="s">
        <v>159</v>
      </c>
      <c r="H24" s="43" t="s">
        <v>161</v>
      </c>
      <c r="I24" s="663" t="s">
        <v>134</v>
      </c>
      <c r="J24" s="43" t="s">
        <v>111</v>
      </c>
      <c r="K24" s="42" t="s">
        <v>116</v>
      </c>
      <c r="L24" s="42">
        <v>0</v>
      </c>
      <c r="M24" s="42" t="s">
        <v>259</v>
      </c>
      <c r="N24" s="593" t="s">
        <v>121</v>
      </c>
      <c r="O24" s="70">
        <v>0</v>
      </c>
      <c r="P24" s="43" t="s">
        <v>72</v>
      </c>
      <c r="Q24" s="93" t="s">
        <v>78</v>
      </c>
      <c r="R24" s="93" t="s">
        <v>78</v>
      </c>
      <c r="S24" s="44">
        <v>45868</v>
      </c>
      <c r="T24" s="250">
        <v>46962</v>
      </c>
      <c r="U24" s="250">
        <v>47303</v>
      </c>
      <c r="V24" s="44">
        <v>47302</v>
      </c>
      <c r="W24" s="255">
        <f>Table1[[#This Row],[نهاية المشروع المعدلة PMO LIVE]]-Table1[[#This Row],[نهاية المشروع المعدلة EPPM]]</f>
        <v>-1</v>
      </c>
      <c r="X24" s="255" t="s">
        <v>169</v>
      </c>
      <c r="Y24" s="253">
        <v>47451</v>
      </c>
      <c r="Z24" s="89">
        <f>_xlfn.XLOOKUP(Table1[[#This Row],[PO]],Table156101114[PO],Table156101114[[النهاية المتوقعة ]],0)</f>
        <v>47451</v>
      </c>
      <c r="AA24" s="715">
        <f>Table1[[#This Row],[النهاية طبقاً للتحديث الاسبوعي الحالي]]-Table1[[#This Row],[النهاية طبقاً للتحديث الاسبوعي السابق]]</f>
        <v>0</v>
      </c>
      <c r="AB24" s="522">
        <v>101528690</v>
      </c>
      <c r="AC24" s="109">
        <v>116757993.5</v>
      </c>
      <c r="AD24" s="258">
        <v>8.7099999999999997E-2</v>
      </c>
      <c r="AE24" s="258">
        <v>0.1305</v>
      </c>
      <c r="AF24" s="90">
        <f>_xlfn.XLOOKUP(Table1[[#This Row],[PO]],Table156101114[PO],Table156101114[المخطط % 15 اكتوبر2026],0)</f>
        <v>8.7099999999999997E-2</v>
      </c>
      <c r="AG24" s="90">
        <f>_xlfn.XLOOKUP(Table1[[#This Row],[PO]],Table156101114[PO],Table156101114[Act %],0)</f>
        <v>0.13519999999999999</v>
      </c>
      <c r="AH24" s="627">
        <f>Table1[[#This Row],[المخطط % التراكمي]]-Table1[[#This Row],[المخطط % - الإسبوع السابق ]]</f>
        <v>0</v>
      </c>
      <c r="AI24" s="627">
        <f>Table1[[#This Row],[المنفذ % التراكمي]]-Table1[[#This Row],[المنفذ % - الإسبوع السابق]]</f>
        <v>4.699999999999982E-3</v>
      </c>
      <c r="AJ24" s="274">
        <f>Table1[[#This Row],[المنفذ % التراكمي]]-Table1[[#This Row],[المخطط % التراكمي]]</f>
        <v>4.809999999999999E-2</v>
      </c>
      <c r="AK24" s="635"/>
      <c r="AL24" s="635"/>
      <c r="AM24" s="258"/>
      <c r="AN24" s="258"/>
      <c r="AO24" s="258"/>
      <c r="AP24" s="258"/>
      <c r="AQ24" s="91">
        <f>_xlfn.XLOOKUP(Table1[[#This Row],[PO]],Table156101114[PO],Table156101114[TF],0)</f>
        <v>-126</v>
      </c>
      <c r="AR24" s="276">
        <f>Table1[[#This Row],[نسبة الإنجاز المتبقية %]]/(Table1[[#This Row],[مدة المشروع المتبقية بالشهور]])</f>
        <v>2.6153225806451616E-2</v>
      </c>
      <c r="AS24" s="70">
        <v>9.0943119407055448E-2</v>
      </c>
      <c r="AT24" s="70">
        <v>0</v>
      </c>
      <c r="AU24" s="446">
        <v>0</v>
      </c>
      <c r="AV24" s="70">
        <v>0</v>
      </c>
      <c r="AW24" s="449">
        <v>0</v>
      </c>
      <c r="AX24" s="440">
        <f>100%-Table1[[#This Row],[المنفذ % التراكمي]]</f>
        <v>0.86480000000000001</v>
      </c>
      <c r="AY24" s="440">
        <f>100%-Table1[[#This Row],[نسبة المدة المنقضية %]]</f>
        <v>0.69177126917712695</v>
      </c>
      <c r="AZ24" s="70">
        <f>_xlfn.XLOOKUP(Table1[[#This Row],[PO]],Table156101114[PO],Table156101114[المدة المنقضية],0)</f>
        <v>0.30822873082287311</v>
      </c>
      <c r="BA24" s="70" t="s">
        <v>122</v>
      </c>
      <c r="BB24" s="108" t="s">
        <v>122</v>
      </c>
      <c r="BC24" s="96">
        <f>_xlfn.XLOOKUP(Table1[[#This Row],[PO]],Table156101114[PO],Table156101114[SPI],0)</f>
        <v>1.5522388059701491</v>
      </c>
      <c r="BD24" s="356">
        <f>Table1[[#This Row],[نسبة المدة المنقضية %]]*Table1[[#This Row],[مدة المشروع الكلية بالشهور]]</f>
        <v>14.733333333333334</v>
      </c>
      <c r="BE24" s="357">
        <f>Table1[[#This Row],[نسبة المدة المتبقية %]]*Table1[[#This Row],[مدة المشروع الكلية بالشهور]]</f>
        <v>33.066666666666663</v>
      </c>
      <c r="BF24" s="357">
        <f>(Table1[[#This Row],[نهاية المشروع المعدلة PMO LIVE]]-Table1[[#This Row],[بداية المشروع التعاقدية]])</f>
        <v>1434</v>
      </c>
      <c r="BG24" s="358">
        <f>(Table1[[#This Row],[نهاية المشروع المعدلة PMO LIVE]]-Table1[[#This Row],[بداية المشروع التعاقدية]])/30</f>
        <v>47.8</v>
      </c>
      <c r="BH24" s="261">
        <f>1.25*Table1[[#This Row],[مدة المشروع بالايام]]</f>
        <v>1792.5</v>
      </c>
      <c r="BI24" s="621">
        <f>Table1[[#This Row],[125%من مدة المشروع]]+Table1[[#This Row],[بداية المشروع التعاقدية]]</f>
        <v>47660.5</v>
      </c>
      <c r="BJ24" s="651">
        <f>Table1[[#This Row],[قيمة المشروع بالضريبة]]*Table1[[#This Row],[المخطط % التراكمي]]</f>
        <v>10169621.23385</v>
      </c>
      <c r="BK24" s="270">
        <f>Table1[[#This Row],[قيمة المشروع بالضريبة]]*Table1[[#This Row],[المنفذ % التراكمي]]</f>
        <v>15785680.721199999</v>
      </c>
      <c r="BL24" s="318">
        <f>Table1[[#This Row],[نسبة الإنجاز المتبقية %]]*Table1[[#This Row],[قيمة المشروع بالضريبة]]</f>
        <v>100972312.7788</v>
      </c>
      <c r="BM24" s="318">
        <f>Table1[[#This Row],[نسبة الإيقاف%]]*Table1[[#This Row],[قيمة المشروع بالضريبة]]</f>
        <v>0</v>
      </c>
      <c r="BN24" s="319">
        <f>Table1[[#This Row],[Suspended Budget]]/Table1[[#This Row],[Remaining Budget]]</f>
        <v>0</v>
      </c>
      <c r="BQ24" s="903"/>
      <c r="BR24" s="904"/>
      <c r="BS24" s="904"/>
    </row>
    <row r="25" spans="1:71" s="141" customFormat="1" ht="30" hidden="1" customHeight="1">
      <c r="A25" s="79">
        <f>SUBTOTAL(3,$D$3:D25)</f>
        <v>1</v>
      </c>
      <c r="B25" s="85" t="s">
        <v>306</v>
      </c>
      <c r="C25" s="34" t="s">
        <v>232</v>
      </c>
      <c r="D25" s="48">
        <v>901250290</v>
      </c>
      <c r="E25" s="34" t="s">
        <v>190</v>
      </c>
      <c r="F25" s="34" t="s">
        <v>321</v>
      </c>
      <c r="G25" s="34" t="s">
        <v>151</v>
      </c>
      <c r="H25" s="34" t="s">
        <v>156</v>
      </c>
      <c r="I25" s="34" t="s">
        <v>191</v>
      </c>
      <c r="J25" s="34" t="s">
        <v>123</v>
      </c>
      <c r="K25" s="48" t="s">
        <v>73</v>
      </c>
      <c r="L25" s="48">
        <v>0</v>
      </c>
      <c r="M25" s="48" t="s">
        <v>259</v>
      </c>
      <c r="N25" s="594" t="s">
        <v>120</v>
      </c>
      <c r="O25" s="69">
        <v>0</v>
      </c>
      <c r="P25" s="34" t="s">
        <v>72</v>
      </c>
      <c r="Q25" s="93" t="s">
        <v>78</v>
      </c>
      <c r="R25" s="93" t="s">
        <v>78</v>
      </c>
      <c r="S25" s="49">
        <v>45939</v>
      </c>
      <c r="T25" s="249">
        <v>47034</v>
      </c>
      <c r="U25" s="249">
        <v>47309</v>
      </c>
      <c r="V25" s="49">
        <v>47309</v>
      </c>
      <c r="W25" s="254">
        <f>Table1[[#This Row],[نهاية المشروع المعدلة PMO LIVE]]-Table1[[#This Row],[نهاية المشروع المعدلة EPPM]]</f>
        <v>0</v>
      </c>
      <c r="X25" s="254" t="s">
        <v>169</v>
      </c>
      <c r="Y25" s="252">
        <v>47482</v>
      </c>
      <c r="Z25" s="49">
        <f>_xlfn.XLOOKUP(Table1[[#This Row],[PO]],Table156101114[PO],Table156101114[[النهاية المتوقعة ]],0)</f>
        <v>47486</v>
      </c>
      <c r="AA25" s="716">
        <f>Table1[[#This Row],[النهاية طبقاً للتحديث الاسبوعي الحالي]]-Table1[[#This Row],[النهاية طبقاً للتحديث الاسبوعي السابق]]</f>
        <v>4</v>
      </c>
      <c r="AB25" s="523">
        <v>62999999</v>
      </c>
      <c r="AC25" s="110">
        <v>72449998.849999994</v>
      </c>
      <c r="AD25" s="257">
        <v>4.9099999999999998E-2</v>
      </c>
      <c r="AE25" s="257">
        <v>9.1600000000000001E-2</v>
      </c>
      <c r="AF25" s="47">
        <f>_xlfn.XLOOKUP(Table1[[#This Row],[PO]],Table156101114[PO],Table156101114[المخطط % 15 اكتوبر2026],0)</f>
        <v>5.0599999999999999E-2</v>
      </c>
      <c r="AG25" s="47">
        <f>_xlfn.XLOOKUP(Table1[[#This Row],[PO]],Table156101114[PO],Table156101114[Act %],0)</f>
        <v>9.64E-2</v>
      </c>
      <c r="AH25" s="630">
        <f>Table1[[#This Row],[المخطط % التراكمي]]-Table1[[#This Row],[المخطط % - الإسبوع السابق ]]</f>
        <v>1.5000000000000013E-3</v>
      </c>
      <c r="AI25" s="630">
        <f>Table1[[#This Row],[المنفذ % التراكمي]]-Table1[[#This Row],[المنفذ % - الإسبوع السابق]]</f>
        <v>4.7999999999999987E-3</v>
      </c>
      <c r="AJ25" s="102">
        <f>Table1[[#This Row],[المنفذ % التراكمي]]-Table1[[#This Row],[المخطط % التراكمي]]</f>
        <v>4.58E-2</v>
      </c>
      <c r="AK25" s="634"/>
      <c r="AL25" s="634"/>
      <c r="AM25" s="674"/>
      <c r="AN25" s="674"/>
      <c r="AO25" s="674"/>
      <c r="AP25" s="674"/>
      <c r="AQ25" s="103">
        <f>_xlfn.XLOOKUP(Table1[[#This Row],[PO]],Table156101114[PO],Table156101114[TF],0)</f>
        <v>-152</v>
      </c>
      <c r="AR25" s="277">
        <f>Table1[[#This Row],[نسبة الإنجاز المتبقية %]]/(Table1[[#This Row],[مدة المشروع المتبقية بالشهور]])</f>
        <v>2.7135135135135137E-2</v>
      </c>
      <c r="AS25" s="69">
        <v>5.369956339205656E-2</v>
      </c>
      <c r="AT25" s="69">
        <v>0</v>
      </c>
      <c r="AU25" s="445">
        <v>0</v>
      </c>
      <c r="AV25" s="69">
        <v>0</v>
      </c>
      <c r="AW25" s="448">
        <v>0</v>
      </c>
      <c r="AX25" s="439">
        <f>100%-Table1[[#This Row],[المنفذ % التراكمي]]</f>
        <v>0.90359999999999996</v>
      </c>
      <c r="AY25" s="439">
        <f>100%-Table1[[#This Row],[نسبة المدة المنقضية %]]</f>
        <v>0.72919708029197072</v>
      </c>
      <c r="AZ25" s="69">
        <f>_xlfn.XLOOKUP(Table1[[#This Row],[PO]],Table156101114[PO],Table156101114[المدة المنقضية],0)</f>
        <v>0.27080291970802922</v>
      </c>
      <c r="BA25" s="69" t="s">
        <v>122</v>
      </c>
      <c r="BB25" s="105" t="s">
        <v>122</v>
      </c>
      <c r="BC25" s="95">
        <f>_xlfn.XLOOKUP(Table1[[#This Row],[PO]],Table156101114[PO],Table156101114[SPI],0)</f>
        <v>1.9051383399209487</v>
      </c>
      <c r="BD25" s="359">
        <f>Table1[[#This Row],[نسبة المدة المنقضية %]]*Table1[[#This Row],[مدة المشروع الكلية بالشهور]]</f>
        <v>12.366666666666667</v>
      </c>
      <c r="BE25" s="360">
        <f>Table1[[#This Row],[نسبة المدة المتبقية %]]*Table1[[#This Row],[مدة المشروع الكلية بالشهور]]</f>
        <v>33.299999999999997</v>
      </c>
      <c r="BF25" s="360">
        <f>(Table1[[#This Row],[نهاية المشروع المعدلة PMO LIVE]]-Table1[[#This Row],[بداية المشروع التعاقدية]])</f>
        <v>1370</v>
      </c>
      <c r="BG25" s="361">
        <f>(Table1[[#This Row],[نهاية المشروع المعدلة PMO LIVE]]-Table1[[#This Row],[بداية المشروع التعاقدية]])/30</f>
        <v>45.666666666666664</v>
      </c>
      <c r="BH25" s="260">
        <f>1.25*Table1[[#This Row],[مدة المشروع بالايام]]</f>
        <v>1712.5</v>
      </c>
      <c r="BI25" s="495">
        <f>Table1[[#This Row],[125%من مدة المشروع]]+Table1[[#This Row],[بداية المشروع التعاقدية]]</f>
        <v>47651.5</v>
      </c>
      <c r="BJ25" s="648">
        <f>Table1[[#This Row],[قيمة المشروع بالضريبة]]*Table1[[#This Row],[المخطط % التراكمي]]</f>
        <v>3665969.9418099998</v>
      </c>
      <c r="BK25" s="269">
        <f>Table1[[#This Row],[قيمة المشروع بالضريبة]]*Table1[[#This Row],[المنفذ % التراكمي]]</f>
        <v>6984179.8891399996</v>
      </c>
      <c r="BL25" s="316">
        <f>Table1[[#This Row],[نسبة الإنجاز المتبقية %]]*Table1[[#This Row],[قيمة المشروع بالضريبة]]</f>
        <v>65465818.960859992</v>
      </c>
      <c r="BM25" s="316">
        <f>Table1[[#This Row],[نسبة الإيقاف%]]*Table1[[#This Row],[قيمة المشروع بالضريبة]]</f>
        <v>0</v>
      </c>
      <c r="BN25" s="317">
        <f>Table1[[#This Row],[Suspended Budget]]/Table1[[#This Row],[Remaining Budget]]</f>
        <v>0</v>
      </c>
      <c r="BQ25" s="903"/>
      <c r="BR25" s="904"/>
      <c r="BS25" s="904"/>
    </row>
    <row r="26" spans="1:71" s="322" customFormat="1" ht="30" hidden="1" customHeight="1">
      <c r="A26" s="80">
        <f>SUBTOTAL(3,$D$3:D26)</f>
        <v>1</v>
      </c>
      <c r="B26" s="83" t="s">
        <v>293</v>
      </c>
      <c r="C26" s="43" t="s">
        <v>209</v>
      </c>
      <c r="D26" s="42">
        <v>901250150</v>
      </c>
      <c r="E26" s="43" t="s">
        <v>131</v>
      </c>
      <c r="F26" s="43" t="s">
        <v>321</v>
      </c>
      <c r="G26" s="152" t="s">
        <v>151</v>
      </c>
      <c r="H26" s="152" t="s">
        <v>158</v>
      </c>
      <c r="I26" s="43" t="s">
        <v>132</v>
      </c>
      <c r="J26" s="100" t="s">
        <v>123</v>
      </c>
      <c r="K26" s="42" t="s">
        <v>73</v>
      </c>
      <c r="L26" s="42">
        <v>0</v>
      </c>
      <c r="M26" s="42" t="s">
        <v>259</v>
      </c>
      <c r="N26" s="593" t="s">
        <v>120</v>
      </c>
      <c r="O26" s="70">
        <v>0</v>
      </c>
      <c r="P26" s="43" t="s">
        <v>72</v>
      </c>
      <c r="Q26" s="93" t="s">
        <v>78</v>
      </c>
      <c r="R26" s="93" t="s">
        <v>78</v>
      </c>
      <c r="S26" s="44">
        <v>45868</v>
      </c>
      <c r="T26" s="250">
        <v>46962</v>
      </c>
      <c r="U26" s="250">
        <v>47300</v>
      </c>
      <c r="V26" s="44">
        <v>47299</v>
      </c>
      <c r="W26" s="255">
        <f>Table1[[#This Row],[نهاية المشروع المعدلة PMO LIVE]]-Table1[[#This Row],[نهاية المشروع المعدلة EPPM]]</f>
        <v>-1</v>
      </c>
      <c r="X26" s="255" t="s">
        <v>169</v>
      </c>
      <c r="Y26" s="253">
        <v>47331</v>
      </c>
      <c r="Z26" s="101">
        <f>_xlfn.XLOOKUP(Table1[[#This Row],[PO]],Table156101114[PO],Table156101114[[النهاية المتوقعة ]],0)</f>
        <v>47338</v>
      </c>
      <c r="AA26" s="721">
        <f>Table1[[#This Row],[النهاية طبقاً للتحديث الاسبوعي الحالي]]-Table1[[#This Row],[النهاية طبقاً للتحديث الاسبوعي السابق]]</f>
        <v>7</v>
      </c>
      <c r="AB26" s="524">
        <v>40892454.780000001</v>
      </c>
      <c r="AC26" s="109">
        <v>47026323</v>
      </c>
      <c r="AD26" s="258">
        <v>0.1051</v>
      </c>
      <c r="AE26" s="258">
        <v>0.15409999999999999</v>
      </c>
      <c r="AF26" s="45">
        <f>_xlfn.XLOOKUP(Table1[[#This Row],[PO]],Table156101114[PO],Table156101114[المخطط % 15 اكتوبر2026],0)</f>
        <v>0.10539999999999999</v>
      </c>
      <c r="AG26" s="45">
        <f>_xlfn.XLOOKUP(Table1[[#This Row],[PO]],Table156101114[PO],Table156101114[Act %],0)</f>
        <v>0.15540000000000001</v>
      </c>
      <c r="AH26" s="629">
        <f>Table1[[#This Row],[المخطط % التراكمي]]-Table1[[#This Row],[المخطط % - الإسبوع السابق ]]</f>
        <v>2.9999999999999472E-4</v>
      </c>
      <c r="AI26" s="631">
        <f>Table1[[#This Row],[المنفذ % التراكمي]]-Table1[[#This Row],[المنفذ % - الإسبوع السابق]]</f>
        <v>1.3000000000000234E-3</v>
      </c>
      <c r="AJ26" s="274">
        <f>Table1[[#This Row],[المنفذ % التراكمي]]-Table1[[#This Row],[المخطط % التراكمي]]</f>
        <v>5.0000000000000017E-2</v>
      </c>
      <c r="AK26" s="637"/>
      <c r="AL26" s="637"/>
      <c r="AM26" s="675"/>
      <c r="AN26" s="675"/>
      <c r="AO26" s="675"/>
      <c r="AP26" s="675"/>
      <c r="AQ26" s="486">
        <f>_xlfn.XLOOKUP(Table1[[#This Row],[PO]],Table156101114[PO],Table156101114[TF],0)</f>
        <v>-33</v>
      </c>
      <c r="AR26" s="487">
        <f>Table1[[#This Row],[نسبة الإنجاز المتبقية %]]/(Table1[[#This Row],[مدة المشروع المتبقية بالشهور]])</f>
        <v>2.5619817997977756E-2</v>
      </c>
      <c r="AS26" s="488">
        <v>0.10619649495828264</v>
      </c>
      <c r="AT26" s="488">
        <f>Table1[[#This Row],[نسبة المخطط التراكمي حتى 31 أكتوبر 2026]]-9.9%</f>
        <v>7.1964949582826315E-3</v>
      </c>
      <c r="AU26" s="489">
        <v>0</v>
      </c>
      <c r="AV26" s="488">
        <v>0</v>
      </c>
      <c r="AW26" s="490">
        <v>0</v>
      </c>
      <c r="AX26" s="491">
        <f>100%-Table1[[#This Row],[المنفذ % التراكمي]]</f>
        <v>0.84460000000000002</v>
      </c>
      <c r="AY26" s="491">
        <f>100%-Table1[[#This Row],[نسبة المدة المنقضية %]]</f>
        <v>0.69112508735150247</v>
      </c>
      <c r="AZ26" s="70">
        <f>_xlfn.XLOOKUP(Table1[[#This Row],[PO]],Table156101114[PO],Table156101114[المدة المنقضية],0)</f>
        <v>0.30887491264849753</v>
      </c>
      <c r="BA26" s="70" t="s">
        <v>122</v>
      </c>
      <c r="BB26" s="108" t="s">
        <v>122</v>
      </c>
      <c r="BC26" s="96">
        <f>_xlfn.XLOOKUP(Table1[[#This Row],[PO]],Table156101114[PO],Table156101114[SPI],0)</f>
        <v>1.4743833017077801</v>
      </c>
      <c r="BD26" s="359">
        <f>Table1[[#This Row],[نسبة المدة المنقضية %]]*Table1[[#This Row],[مدة المشروع الكلية بالشهور]]</f>
        <v>14.733333333333333</v>
      </c>
      <c r="BE26" s="360">
        <f>Table1[[#This Row],[نسبة المدة المتبقية %]]*Table1[[#This Row],[مدة المشروع الكلية بالشهور]]</f>
        <v>32.966666666666669</v>
      </c>
      <c r="BF26" s="360">
        <f>(Table1[[#This Row],[نهاية المشروع المعدلة PMO LIVE]]-Table1[[#This Row],[بداية المشروع التعاقدية]])</f>
        <v>1431</v>
      </c>
      <c r="BG26" s="361">
        <f>(Table1[[#This Row],[نهاية المشروع المعدلة PMO LIVE]]-Table1[[#This Row],[بداية المشروع التعاقدية]])/30</f>
        <v>47.7</v>
      </c>
      <c r="BH26" s="260">
        <f>1.25*Table1[[#This Row],[مدة المشروع بالايام]]</f>
        <v>1788.75</v>
      </c>
      <c r="BI26" s="621">
        <f>Table1[[#This Row],[125%من مدة المشروع]]+Table1[[#This Row],[بداية المشروع التعاقدية]]</f>
        <v>47656.75</v>
      </c>
      <c r="BJ26" s="651">
        <f>Table1[[#This Row],[قيمة المشروع بالضريبة]]*Table1[[#This Row],[المخطط % التراكمي]]</f>
        <v>4956574.4441999998</v>
      </c>
      <c r="BK26" s="270">
        <f>Table1[[#This Row],[قيمة المشروع بالضريبة]]*Table1[[#This Row],[المنفذ % التراكمي]]</f>
        <v>7307890.5942000002</v>
      </c>
      <c r="BL26" s="318">
        <f>Table1[[#This Row],[نسبة الإنجاز المتبقية %]]*Table1[[#This Row],[قيمة المشروع بالضريبة]]</f>
        <v>39718432.4058</v>
      </c>
      <c r="BM26" s="318">
        <f>Table1[[#This Row],[نسبة الإيقاف%]]*Table1[[#This Row],[قيمة المشروع بالضريبة]]</f>
        <v>0</v>
      </c>
      <c r="BN26" s="319">
        <f>Table1[[#This Row],[Suspended Budget]]/Table1[[#This Row],[Remaining Budget]]</f>
        <v>0</v>
      </c>
      <c r="BQ26" s="903"/>
      <c r="BR26" s="904"/>
      <c r="BS26" s="904"/>
    </row>
    <row r="27" spans="1:71" s="30" customFormat="1" ht="30" hidden="1" customHeight="1">
      <c r="A27" s="79">
        <f>SUBTOTAL(3,$D$3:D27)</f>
        <v>1</v>
      </c>
      <c r="B27" s="85" t="s">
        <v>299</v>
      </c>
      <c r="C27" s="34" t="s">
        <v>215</v>
      </c>
      <c r="D27" s="48">
        <v>901250291</v>
      </c>
      <c r="E27" s="34" t="s">
        <v>143</v>
      </c>
      <c r="F27" s="34" t="s">
        <v>321</v>
      </c>
      <c r="G27" s="34" t="s">
        <v>151</v>
      </c>
      <c r="H27" s="34" t="s">
        <v>153</v>
      </c>
      <c r="I27" s="34" t="s">
        <v>147</v>
      </c>
      <c r="J27" s="98" t="s">
        <v>123</v>
      </c>
      <c r="K27" s="48" t="s">
        <v>73</v>
      </c>
      <c r="L27" s="48">
        <v>0</v>
      </c>
      <c r="M27" s="48" t="s">
        <v>259</v>
      </c>
      <c r="N27" s="594" t="s">
        <v>120</v>
      </c>
      <c r="O27" s="69">
        <v>0</v>
      </c>
      <c r="P27" s="34" t="s">
        <v>72</v>
      </c>
      <c r="Q27" s="93" t="s">
        <v>78</v>
      </c>
      <c r="R27" s="93" t="s">
        <v>78</v>
      </c>
      <c r="S27" s="49">
        <v>45902</v>
      </c>
      <c r="T27" s="249">
        <v>46996</v>
      </c>
      <c r="U27" s="249">
        <v>47252</v>
      </c>
      <c r="V27" s="49">
        <v>47252</v>
      </c>
      <c r="W27" s="254">
        <f>Table1[[#This Row],[نهاية المشروع المعدلة PMO LIVE]]-Table1[[#This Row],[نهاية المشروع المعدلة EPPM]]</f>
        <v>0</v>
      </c>
      <c r="X27" s="254" t="s">
        <v>169</v>
      </c>
      <c r="Y27" s="252">
        <v>47407</v>
      </c>
      <c r="Z27" s="99">
        <f>_xlfn.XLOOKUP(Table1[[#This Row],[PO]],Table156101114[PO],Table156101114[[النهاية المتوقعة ]],0)</f>
        <v>47412</v>
      </c>
      <c r="AA27" s="722">
        <f>Table1[[#This Row],[النهاية طبقاً للتحديث الاسبوعي الحالي]]-Table1[[#This Row],[النهاية طبقاً للتحديث الاسبوعي السابق]]</f>
        <v>5</v>
      </c>
      <c r="AB27" s="525">
        <v>72054220</v>
      </c>
      <c r="AC27" s="110">
        <v>82862353</v>
      </c>
      <c r="AD27" s="257">
        <v>8.9800000000000005E-2</v>
      </c>
      <c r="AE27" s="257">
        <v>0.12540000000000001</v>
      </c>
      <c r="AF27" s="81">
        <f>_xlfn.XLOOKUP(Table1[[#This Row],[PO]],Table156101114[PO],Table156101114[المخطط % 15 اكتوبر2026],0)</f>
        <v>9.1300000000000006E-2</v>
      </c>
      <c r="AG27" s="81">
        <f>_xlfn.XLOOKUP(Table1[[#This Row],[PO]],Table156101114[PO],Table156101114[Act %],0)</f>
        <v>0.1263</v>
      </c>
      <c r="AH27" s="627">
        <f>Table1[[#This Row],[المخطط % التراكمي]]-Table1[[#This Row],[المخطط % - الإسبوع السابق ]]</f>
        <v>1.5000000000000013E-3</v>
      </c>
      <c r="AI27" s="632">
        <f>Table1[[#This Row],[المنفذ % التراكمي]]-Table1[[#This Row],[المنفذ % - الإسبوع السابق]]</f>
        <v>8.9999999999998415E-4</v>
      </c>
      <c r="AJ27" s="102">
        <f>Table1[[#This Row],[المنفذ % التراكمي]]-Table1[[#This Row],[المخطط % التراكمي]]</f>
        <v>3.4999999999999989E-2</v>
      </c>
      <c r="AK27" s="638"/>
      <c r="AL27" s="638"/>
      <c r="AM27" s="676"/>
      <c r="AN27" s="676"/>
      <c r="AO27" s="676"/>
      <c r="AP27" s="676"/>
      <c r="AQ27" s="106">
        <f>_xlfn.XLOOKUP(Table1[[#This Row],[PO]],Table156101114[PO],Table156101114[TF],0)</f>
        <v>-137</v>
      </c>
      <c r="AR27" s="277">
        <f>Table1[[#This Row],[نسبة الإنجاز المتبقية %]]/(Table1[[#This Row],[مدة المشروع المتبقية بالشهور]])</f>
        <v>2.7824840764331209E-2</v>
      </c>
      <c r="AS27" s="69">
        <v>9.4324178388763932E-2</v>
      </c>
      <c r="AT27" s="69">
        <v>0</v>
      </c>
      <c r="AU27" s="445">
        <v>0</v>
      </c>
      <c r="AV27" s="69">
        <v>0</v>
      </c>
      <c r="AW27" s="448">
        <v>0</v>
      </c>
      <c r="AX27" s="439">
        <f>100%-Table1[[#This Row],[المنفذ % التراكمي]]</f>
        <v>0.87370000000000003</v>
      </c>
      <c r="AY27" s="439">
        <f>100%-Table1[[#This Row],[نسبة المدة المنقضية %]]</f>
        <v>0.69777777777777783</v>
      </c>
      <c r="AZ27" s="69">
        <f>_xlfn.XLOOKUP(Table1[[#This Row],[PO]],Table156101114[PO],Table156101114[المدة المنقضية],0)</f>
        <v>0.30222222222222223</v>
      </c>
      <c r="BA27" s="69" t="s">
        <v>122</v>
      </c>
      <c r="BB27" s="105" t="s">
        <v>122</v>
      </c>
      <c r="BC27" s="95">
        <f>_xlfn.XLOOKUP(Table1[[#This Row],[PO]],Table156101114[PO],Table156101114[SPI],0)</f>
        <v>1.3833515881708651</v>
      </c>
      <c r="BD27" s="359">
        <f>Table1[[#This Row],[نسبة المدة المنقضية %]]*Table1[[#This Row],[مدة المشروع الكلية بالشهور]]</f>
        <v>13.6</v>
      </c>
      <c r="BE27" s="360">
        <f>Table1[[#This Row],[نسبة المدة المتبقية %]]*Table1[[#This Row],[مدة المشروع الكلية بالشهور]]</f>
        <v>31.400000000000002</v>
      </c>
      <c r="BF27" s="360">
        <f>(Table1[[#This Row],[نهاية المشروع المعدلة PMO LIVE]]-Table1[[#This Row],[بداية المشروع التعاقدية]])</f>
        <v>1350</v>
      </c>
      <c r="BG27" s="361">
        <f>(Table1[[#This Row],[نهاية المشروع المعدلة PMO LIVE]]-Table1[[#This Row],[بداية المشروع التعاقدية]])/30</f>
        <v>45</v>
      </c>
      <c r="BH27" s="260">
        <f>1.25*Table1[[#This Row],[مدة المشروع بالايام]]</f>
        <v>1687.5</v>
      </c>
      <c r="BI27" s="495">
        <f>Table1[[#This Row],[125%من مدة المشروع]]+Table1[[#This Row],[بداية المشروع التعاقدية]]</f>
        <v>47589.5</v>
      </c>
      <c r="BJ27" s="648">
        <f>Table1[[#This Row],[قيمة المشروع بالضريبة]]*Table1[[#This Row],[المخطط % التراكمي]]</f>
        <v>7565332.8289000001</v>
      </c>
      <c r="BK27" s="269">
        <f>Table1[[#This Row],[قيمة المشروع بالضريبة]]*Table1[[#This Row],[المنفذ % التراكمي]]</f>
        <v>10465515.183900001</v>
      </c>
      <c r="BL27" s="316">
        <f>Table1[[#This Row],[نسبة الإنجاز المتبقية %]]*Table1[[#This Row],[قيمة المشروع بالضريبة]]</f>
        <v>72396837.816100001</v>
      </c>
      <c r="BM27" s="316">
        <f>Table1[[#This Row],[نسبة الإيقاف%]]*Table1[[#This Row],[قيمة المشروع بالضريبة]]</f>
        <v>0</v>
      </c>
      <c r="BN27" s="317">
        <f>Table1[[#This Row],[Suspended Budget]]/Table1[[#This Row],[Remaining Budget]]</f>
        <v>0</v>
      </c>
      <c r="BQ27" s="903"/>
      <c r="BR27" s="904"/>
      <c r="BS27" s="904"/>
    </row>
    <row r="28" spans="1:71" s="320" customFormat="1" ht="30" hidden="1" customHeight="1">
      <c r="A28" s="80">
        <f>SUBTOTAL(3,$D$3:D28)</f>
        <v>1</v>
      </c>
      <c r="B28" s="83">
        <v>10203</v>
      </c>
      <c r="C28" s="43" t="s">
        <v>207</v>
      </c>
      <c r="D28" s="42">
        <v>901230202</v>
      </c>
      <c r="E28" s="43" t="s">
        <v>64</v>
      </c>
      <c r="F28" s="43" t="s">
        <v>321</v>
      </c>
      <c r="G28" s="152" t="s">
        <v>151</v>
      </c>
      <c r="H28" s="152" t="s">
        <v>155</v>
      </c>
      <c r="I28" s="43" t="s">
        <v>13</v>
      </c>
      <c r="J28" s="43" t="s">
        <v>123</v>
      </c>
      <c r="K28" s="42" t="s">
        <v>73</v>
      </c>
      <c r="L28" s="42">
        <v>0</v>
      </c>
      <c r="M28" s="42" t="s">
        <v>259</v>
      </c>
      <c r="N28" s="593" t="s">
        <v>121</v>
      </c>
      <c r="O28" s="70">
        <v>0</v>
      </c>
      <c r="P28" s="43" t="s">
        <v>72</v>
      </c>
      <c r="Q28" s="93" t="s">
        <v>78</v>
      </c>
      <c r="R28" s="93" t="s">
        <v>78</v>
      </c>
      <c r="S28" s="44">
        <v>45288</v>
      </c>
      <c r="T28" s="250">
        <v>46384</v>
      </c>
      <c r="U28" s="250">
        <v>46741</v>
      </c>
      <c r="V28" s="44">
        <v>46741</v>
      </c>
      <c r="W28" s="255">
        <f>Table1[[#This Row],[نهاية المشروع المعدلة PMO LIVE]]-Table1[[#This Row],[نهاية المشروع المعدلة EPPM]]</f>
        <v>0</v>
      </c>
      <c r="X28" s="255" t="s">
        <v>169</v>
      </c>
      <c r="Y28" s="250">
        <v>46916</v>
      </c>
      <c r="Z28" s="44">
        <f>_xlfn.XLOOKUP(Table1[[#This Row],[PO]],Table156101114[PO],Table156101114[[النهاية المتوقعة ]],0)</f>
        <v>46923</v>
      </c>
      <c r="AA28" s="719">
        <f>Table1[[#This Row],[النهاية طبقاً للتحديث الاسبوعي الحالي]]-Table1[[#This Row],[النهاية طبقاً للتحديث الاسبوعي السابق]]</f>
        <v>7</v>
      </c>
      <c r="AB28" s="522">
        <v>101925144.40000001</v>
      </c>
      <c r="AC28" s="109">
        <v>117213916.06</v>
      </c>
      <c r="AD28" s="258">
        <v>0.50600000000000001</v>
      </c>
      <c r="AE28" s="258">
        <v>0.53610000000000002</v>
      </c>
      <c r="AF28" s="45">
        <f>_xlfn.XLOOKUP(Table1[[#This Row],[PO]],Table156101114[PO],Table156101114[المخطط % 15 اكتوبر2026],0)</f>
        <v>0.50649999999999995</v>
      </c>
      <c r="AG28" s="45">
        <f>_xlfn.XLOOKUP(Table1[[#This Row],[PO]],Table156101114[PO],Table156101114[Act %],0)</f>
        <v>0.53890000000000005</v>
      </c>
      <c r="AH28" s="629">
        <f>Table1[[#This Row],[المخطط % التراكمي]]-Table1[[#This Row],[المخطط % - الإسبوع السابق ]]</f>
        <v>4.9999999999994493E-4</v>
      </c>
      <c r="AI28" s="629">
        <f>Table1[[#This Row],[المنفذ % التراكمي]]-Table1[[#This Row],[المنفذ % - الإسبوع السابق]]</f>
        <v>2.8000000000000247E-3</v>
      </c>
      <c r="AJ28" s="51">
        <f>Table1[[#This Row],[المنفذ % التراكمي]]-Table1[[#This Row],[المخطط % التراكمي]]</f>
        <v>3.2400000000000095E-2</v>
      </c>
      <c r="AK28" s="636"/>
      <c r="AL28" s="636"/>
      <c r="AM28" s="673"/>
      <c r="AN28" s="673"/>
      <c r="AO28" s="673"/>
      <c r="AP28" s="673"/>
      <c r="AQ28" s="107">
        <f>_xlfn.XLOOKUP(Table1[[#This Row],[PO]],Table156101114[PO],Table156101114[TF],0)</f>
        <v>156</v>
      </c>
      <c r="AR28" s="276">
        <f>Table1[[#This Row],[نسبة الإنجاز المتبقية %]]/(Table1[[#This Row],[مدة المشروع المتبقية بالشهور]])</f>
        <v>3.2095127610208815E-2</v>
      </c>
      <c r="AS28" s="70">
        <v>0.50874486379180095</v>
      </c>
      <c r="AT28" s="70">
        <f>Table1[[#This Row],[نسبة المخطط التراكمي حتى 31 أكتوبر 2026]]-9.9%</f>
        <v>0.40974486379180097</v>
      </c>
      <c r="AU28" s="446">
        <v>0</v>
      </c>
      <c r="AV28" s="70">
        <f>Table1[[#This Row],[نسبة المخطط التراكمي حتى 31 أكتوبر 2026]]-24.9%</f>
        <v>0.25974486379180095</v>
      </c>
      <c r="AW28" s="449">
        <v>0</v>
      </c>
      <c r="AX28" s="440">
        <f>100%-Table1[[#This Row],[المنفذ % التراكمي]]</f>
        <v>0.46109999999999995</v>
      </c>
      <c r="AY28" s="440">
        <f>100%-Table1[[#This Row],[نسبة المدة المنقضية %]]</f>
        <v>0.29662766689607711</v>
      </c>
      <c r="AZ28" s="70">
        <f>_xlfn.XLOOKUP(Table1[[#This Row],[PO]],Table156101114[PO],Table156101114[المدة المنقضية],0)</f>
        <v>0.70337233310392289</v>
      </c>
      <c r="BA28" s="70" t="s">
        <v>122</v>
      </c>
      <c r="BB28" s="108" t="s">
        <v>122</v>
      </c>
      <c r="BC28" s="96">
        <f>_xlfn.XLOOKUP(Table1[[#This Row],[PO]],Table156101114[PO],Table156101114[SPI],0)</f>
        <v>1.063968410661402</v>
      </c>
      <c r="BD28" s="359">
        <f>Table1[[#This Row],[نسبة المدة المنقضية %]]*Table1[[#This Row],[مدة المشروع الكلية بالشهور]]</f>
        <v>34.066666666666663</v>
      </c>
      <c r="BE28" s="360">
        <f>Table1[[#This Row],[نسبة المدة المتبقية %]]*Table1[[#This Row],[مدة المشروع الكلية بالشهور]]</f>
        <v>14.366666666666667</v>
      </c>
      <c r="BF28" s="360">
        <f>(Table1[[#This Row],[نهاية المشروع المعدلة PMO LIVE]]-Table1[[#This Row],[بداية المشروع التعاقدية]])</f>
        <v>1453</v>
      </c>
      <c r="BG28" s="361">
        <f>(Table1[[#This Row],[نهاية المشروع المعدلة PMO LIVE]]-Table1[[#This Row],[بداية المشروع التعاقدية]])/30</f>
        <v>48.43333333333333</v>
      </c>
      <c r="BH28" s="260">
        <f>1.25*Table1[[#This Row],[مدة المشروع بالايام]]</f>
        <v>1816.25</v>
      </c>
      <c r="BI28" s="621">
        <f>Table1[[#This Row],[125%من مدة المشروع]]+Table1[[#This Row],[بداية المشروع التعاقدية]]</f>
        <v>47104.25</v>
      </c>
      <c r="BJ28" s="648">
        <f>Table1[[#This Row],[قيمة المشروع بالضريبة]]*Table1[[#This Row],[المخطط % التراكمي]]</f>
        <v>59368848.484389998</v>
      </c>
      <c r="BK28" s="269">
        <f>Table1[[#This Row],[قيمة المشروع بالضريبة]]*Table1[[#This Row],[المنفذ % التراكمي]]</f>
        <v>63166579.364734009</v>
      </c>
      <c r="BL28" s="316">
        <f>Table1[[#This Row],[نسبة الإنجاز المتبقية %]]*Table1[[#This Row],[قيمة المشروع بالضريبة]]</f>
        <v>54047336.695265993</v>
      </c>
      <c r="BM28" s="316">
        <f>Table1[[#This Row],[نسبة الإيقاف%]]*Table1[[#This Row],[قيمة المشروع بالضريبة]]</f>
        <v>0</v>
      </c>
      <c r="BN28" s="317">
        <f>Table1[[#This Row],[Suspended Budget]]/Table1[[#This Row],[Remaining Budget]]</f>
        <v>0</v>
      </c>
      <c r="BQ28" s="903"/>
      <c r="BR28" s="904"/>
      <c r="BS28" s="904"/>
    </row>
    <row r="29" spans="1:71" ht="30" hidden="1" customHeight="1">
      <c r="A29" s="79">
        <f>SUBTOTAL(3,$D$3:D29)</f>
        <v>1</v>
      </c>
      <c r="B29" s="85" t="s">
        <v>282</v>
      </c>
      <c r="C29" s="34" t="s">
        <v>195</v>
      </c>
      <c r="D29" s="48">
        <v>901240137</v>
      </c>
      <c r="E29" s="34" t="s">
        <v>3</v>
      </c>
      <c r="F29" s="34" t="s">
        <v>318</v>
      </c>
      <c r="G29" s="154" t="s">
        <v>159</v>
      </c>
      <c r="H29" s="154" t="s">
        <v>163</v>
      </c>
      <c r="I29" s="34" t="s">
        <v>29</v>
      </c>
      <c r="J29" s="34" t="s">
        <v>123</v>
      </c>
      <c r="K29" s="48" t="s">
        <v>116</v>
      </c>
      <c r="L29" s="48">
        <v>6</v>
      </c>
      <c r="M29" s="48" t="s">
        <v>259</v>
      </c>
      <c r="N29" s="594" t="s">
        <v>120</v>
      </c>
      <c r="O29" s="69">
        <v>0</v>
      </c>
      <c r="P29" s="34" t="s">
        <v>72</v>
      </c>
      <c r="Q29" s="93" t="s">
        <v>78</v>
      </c>
      <c r="R29" s="93" t="s">
        <v>78</v>
      </c>
      <c r="S29" s="49">
        <v>45565</v>
      </c>
      <c r="T29" s="249">
        <v>46660</v>
      </c>
      <c r="U29" s="249">
        <v>47057</v>
      </c>
      <c r="V29" s="49">
        <v>47057</v>
      </c>
      <c r="W29" s="254">
        <f>Table1[[#This Row],[نهاية المشروع المعدلة PMO LIVE]]-Table1[[#This Row],[نهاية المشروع المعدلة EPPM]]</f>
        <v>0</v>
      </c>
      <c r="X29" s="254" t="s">
        <v>169</v>
      </c>
      <c r="Y29" s="249">
        <v>47241</v>
      </c>
      <c r="Z29" s="49">
        <f>_xlfn.XLOOKUP(Table1[[#This Row],[PO]],Table156101114[PO],Table156101114[[النهاية المتوقعة ]],0)</f>
        <v>47248</v>
      </c>
      <c r="AA29" s="716">
        <f>Table1[[#This Row],[النهاية طبقاً للتحديث الاسبوعي الحالي]]-Table1[[#This Row],[النهاية طبقاً للتحديث الاسبوعي السابق]]</f>
        <v>7</v>
      </c>
      <c r="AB29" s="523">
        <v>25173950</v>
      </c>
      <c r="AC29" s="110">
        <v>28950042.5</v>
      </c>
      <c r="AD29" s="257">
        <v>0.14360000000000001</v>
      </c>
      <c r="AE29" s="257">
        <v>0.151</v>
      </c>
      <c r="AF29" s="47">
        <f>_xlfn.XLOOKUP(Table1[[#This Row],[PO]],Table156101114[PO],Table156101114[المخطط % 15 اكتوبر2026],0)</f>
        <v>0.14369999999999999</v>
      </c>
      <c r="AG29" s="47">
        <f>_xlfn.XLOOKUP(Table1[[#This Row],[PO]],Table156101114[PO],Table156101114[Act %],0)</f>
        <v>0.151</v>
      </c>
      <c r="AH29" s="630">
        <f>Table1[[#This Row],[المخطط % التراكمي]]-Table1[[#This Row],[المخطط % - الإسبوع السابق ]]</f>
        <v>9.9999999999988987E-5</v>
      </c>
      <c r="AI29" s="630">
        <f>Table1[[#This Row],[المنفذ % التراكمي]]-Table1[[#This Row],[المنفذ % - الإسبوع السابق]]</f>
        <v>0</v>
      </c>
      <c r="AJ29" s="51">
        <f>Table1[[#This Row],[المنفذ % التراكمي]]-Table1[[#This Row],[المخطط % التراكمي]]</f>
        <v>7.3000000000000009E-3</v>
      </c>
      <c r="AK29" s="634"/>
      <c r="AL29" s="634"/>
      <c r="AM29" s="674"/>
      <c r="AN29" s="674"/>
      <c r="AO29" s="674"/>
      <c r="AP29" s="674"/>
      <c r="AQ29" s="103">
        <f>_xlfn.XLOOKUP(Table1[[#This Row],[PO]],Table156101114[PO],Table156101114[TF],0)</f>
        <v>-164</v>
      </c>
      <c r="AR29" s="277">
        <f>Table1[[#This Row],[نسبة الإنجاز المتبقية %]]/(Table1[[#This Row],[مدة المشروع المتبقية بالشهور]])</f>
        <v>3.4096385542168671E-2</v>
      </c>
      <c r="AS29" s="69">
        <v>0.15011225135507142</v>
      </c>
      <c r="AT29" s="69">
        <f>Table1[[#This Row],[نسبة المخطط التراكمي حتى 31 أكتوبر 2026]]-9.9%</f>
        <v>5.1112251355071414E-2</v>
      </c>
      <c r="AU29" s="445">
        <v>0</v>
      </c>
      <c r="AV29" s="69">
        <v>0</v>
      </c>
      <c r="AW29" s="448">
        <v>0</v>
      </c>
      <c r="AX29" s="439">
        <f>100%-Table1[[#This Row],[المنفذ % التراكمي]]</f>
        <v>0.84899999999999998</v>
      </c>
      <c r="AY29" s="439">
        <f>100%-Table1[[#This Row],[نسبة المدة المنقضية %]]</f>
        <v>0.50067024128686333</v>
      </c>
      <c r="AZ29" s="69">
        <f>_xlfn.XLOOKUP(Table1[[#This Row],[PO]],Table156101114[PO],Table156101114[المدة المنقضية],0)</f>
        <v>0.49932975871313673</v>
      </c>
      <c r="BA29" s="69" t="s">
        <v>122</v>
      </c>
      <c r="BB29" s="105" t="s">
        <v>122</v>
      </c>
      <c r="BC29" s="95">
        <f>_xlfn.XLOOKUP(Table1[[#This Row],[PO]],Table156101114[PO],Table156101114[SPI],0)</f>
        <v>1.0508002783576897</v>
      </c>
      <c r="BD29" s="359">
        <f>Table1[[#This Row],[نسبة المدة المنقضية %]]*Table1[[#This Row],[مدة المشروع الكلية بالشهور]]</f>
        <v>24.833333333333332</v>
      </c>
      <c r="BE29" s="360">
        <f>Table1[[#This Row],[نسبة المدة المتبقية %]]*Table1[[#This Row],[مدة المشروع الكلية بالشهور]]</f>
        <v>24.900000000000002</v>
      </c>
      <c r="BF29" s="360">
        <f>(Table1[[#This Row],[نهاية المشروع المعدلة PMO LIVE]]-Table1[[#This Row],[بداية المشروع التعاقدية]])</f>
        <v>1492</v>
      </c>
      <c r="BG29" s="361">
        <f>(Table1[[#This Row],[نهاية المشروع المعدلة PMO LIVE]]-Table1[[#This Row],[بداية المشروع التعاقدية]])/30</f>
        <v>49.733333333333334</v>
      </c>
      <c r="BH29" s="260">
        <f>1.25*Table1[[#This Row],[مدة المشروع بالايام]]</f>
        <v>1865</v>
      </c>
      <c r="BI29" s="495">
        <f>Table1[[#This Row],[125%من مدة المشروع]]+Table1[[#This Row],[بداية المشروع التعاقدية]]</f>
        <v>47430</v>
      </c>
      <c r="BJ29" s="648">
        <f>Table1[[#This Row],[قيمة المشروع بالضريبة]]*Table1[[#This Row],[المخطط % التراكمي]]</f>
        <v>4160121.1072499999</v>
      </c>
      <c r="BK29" s="269">
        <f>Table1[[#This Row],[قيمة المشروع بالضريبة]]*Table1[[#This Row],[المنفذ % التراكمي]]</f>
        <v>4371456.4174999995</v>
      </c>
      <c r="BL29" s="316">
        <f>Table1[[#This Row],[نسبة الإنجاز المتبقية %]]*Table1[[#This Row],[قيمة المشروع بالضريبة]]</f>
        <v>24578586.0825</v>
      </c>
      <c r="BM29" s="316">
        <f>Table1[[#This Row],[نسبة الإيقاف%]]*Table1[[#This Row],[قيمة المشروع بالضريبة]]</f>
        <v>0</v>
      </c>
      <c r="BN29" s="317">
        <f>Table1[[#This Row],[Suspended Budget]]/Table1[[#This Row],[Remaining Budget]]</f>
        <v>0</v>
      </c>
      <c r="BQ29" s="903"/>
      <c r="BR29" s="904"/>
      <c r="BS29" s="918"/>
    </row>
    <row r="30" spans="1:71" s="322" customFormat="1" ht="30" hidden="1" customHeight="1">
      <c r="A30" s="80">
        <f>SUBTOTAL(3,$D$3:D30)</f>
        <v>1</v>
      </c>
      <c r="B30" s="83" t="s">
        <v>284</v>
      </c>
      <c r="C30" s="43" t="s">
        <v>203</v>
      </c>
      <c r="D30" s="42">
        <v>901240090</v>
      </c>
      <c r="E30" s="43" t="s">
        <v>59</v>
      </c>
      <c r="F30" s="43" t="s">
        <v>318</v>
      </c>
      <c r="G30" s="152" t="s">
        <v>159</v>
      </c>
      <c r="H30" s="153" t="s">
        <v>161</v>
      </c>
      <c r="I30" s="43" t="s">
        <v>32</v>
      </c>
      <c r="J30" s="43" t="s">
        <v>111</v>
      </c>
      <c r="K30" s="42" t="s">
        <v>116</v>
      </c>
      <c r="L30" s="42">
        <v>0</v>
      </c>
      <c r="M30" s="42" t="s">
        <v>259</v>
      </c>
      <c r="N30" s="593" t="s">
        <v>121</v>
      </c>
      <c r="O30" s="70">
        <v>0</v>
      </c>
      <c r="P30" s="43" t="s">
        <v>72</v>
      </c>
      <c r="Q30" s="93" t="s">
        <v>78</v>
      </c>
      <c r="R30" s="93" t="s">
        <v>78</v>
      </c>
      <c r="S30" s="44">
        <v>45447</v>
      </c>
      <c r="T30" s="250">
        <v>46542</v>
      </c>
      <c r="U30" s="250">
        <v>46936</v>
      </c>
      <c r="V30" s="44">
        <v>46936</v>
      </c>
      <c r="W30" s="255">
        <f>Table1[[#This Row],[نهاية المشروع المعدلة PMO LIVE]]-Table1[[#This Row],[نهاية المشروع المعدلة EPPM]]</f>
        <v>0</v>
      </c>
      <c r="X30" s="255" t="s">
        <v>169</v>
      </c>
      <c r="Y30" s="253">
        <v>47096</v>
      </c>
      <c r="Z30" s="89">
        <f>_xlfn.XLOOKUP(Table1[[#This Row],[PO]],Table156101114[PO],Table156101114[[النهاية المتوقعة ]],0)</f>
        <v>47103</v>
      </c>
      <c r="AA30" s="715">
        <f>Table1[[#This Row],[النهاية طبقاً للتحديث الاسبوعي الحالي]]-Table1[[#This Row],[النهاية طبقاً للتحديث الاسبوعي السابق]]</f>
        <v>7</v>
      </c>
      <c r="AB30" s="522">
        <v>21591420</v>
      </c>
      <c r="AC30" s="109">
        <v>24830133</v>
      </c>
      <c r="AD30" s="258">
        <v>0.2079</v>
      </c>
      <c r="AE30" s="258">
        <v>0.28670000000000001</v>
      </c>
      <c r="AF30" s="90">
        <f>_xlfn.XLOOKUP(Table1[[#This Row],[PO]],Table156101114[PO],Table156101114[المخطط % 15 اكتوبر2026],0)</f>
        <v>0.2094</v>
      </c>
      <c r="AG30" s="90">
        <f>_xlfn.XLOOKUP(Table1[[#This Row],[PO]],Table156101114[PO],Table156101114[Act %],0)</f>
        <v>0.28789999999999999</v>
      </c>
      <c r="AH30" s="628">
        <f>Table1[[#This Row],[المخطط % التراكمي]]-Table1[[#This Row],[المخطط % - الإسبوع السابق ]]</f>
        <v>1.5000000000000013E-3</v>
      </c>
      <c r="AI30" s="628">
        <f>Table1[[#This Row],[المنفذ % التراكمي]]-Table1[[#This Row],[المنفذ % - الإسبوع السابق]]</f>
        <v>1.1999999999999789E-3</v>
      </c>
      <c r="AJ30" s="274">
        <f>Table1[[#This Row],[المنفذ % التراكمي]]-Table1[[#This Row],[المخطط % التراكمي]]</f>
        <v>7.8499999999999986E-2</v>
      </c>
      <c r="AK30" s="635"/>
      <c r="AL30" s="635"/>
      <c r="AM30" s="258"/>
      <c r="AN30" s="258"/>
      <c r="AO30" s="258"/>
      <c r="AP30" s="258"/>
      <c r="AQ30" s="91">
        <f>_xlfn.XLOOKUP(Table1[[#This Row],[PO]],Table156101114[PO],Table156101114[TF],0)</f>
        <v>-143</v>
      </c>
      <c r="AR30" s="276">
        <f>Table1[[#This Row],[نسبة الإنجاز المتبقية %]]/(Table1[[#This Row],[مدة المشروع المتبقية بالشهور]])</f>
        <v>3.4126198083067091E-2</v>
      </c>
      <c r="AS30" s="70">
        <v>0.21490891150280991</v>
      </c>
      <c r="AT30" s="70">
        <f>Table1[[#This Row],[نسبة المخطط التراكمي حتى 31 أكتوبر 2026]]-9.9%</f>
        <v>0.11590891150280991</v>
      </c>
      <c r="AU30" s="446">
        <v>0</v>
      </c>
      <c r="AV30" s="70">
        <v>0</v>
      </c>
      <c r="AW30" s="449">
        <v>0</v>
      </c>
      <c r="AX30" s="440">
        <f>100%-Table1[[#This Row],[المنفذ % التراكمي]]</f>
        <v>0.71209999999999996</v>
      </c>
      <c r="AY30" s="440">
        <f>100%-Table1[[#This Row],[نسبة المدة المنقضية %]]</f>
        <v>0.42041638683680327</v>
      </c>
      <c r="AZ30" s="70">
        <f>_xlfn.XLOOKUP(Table1[[#This Row],[PO]],Table156101114[PO],Table156101114[المدة المنقضية],0)</f>
        <v>0.57958361316319673</v>
      </c>
      <c r="BA30" s="70" t="s">
        <v>122</v>
      </c>
      <c r="BB30" s="108" t="s">
        <v>122</v>
      </c>
      <c r="BC30" s="96">
        <f>_xlfn.XLOOKUP(Table1[[#This Row],[PO]],Table156101114[PO],Table156101114[SPI],0)</f>
        <v>1.374880611270296</v>
      </c>
      <c r="BD30" s="356">
        <f>Table1[[#This Row],[نسبة المدة المنقضية %]]*Table1[[#This Row],[مدة المشروع الكلية بالشهور]]</f>
        <v>28.766666666666666</v>
      </c>
      <c r="BE30" s="357">
        <f>Table1[[#This Row],[نسبة المدة المتبقية %]]*Table1[[#This Row],[مدة المشروع الكلية بالشهور]]</f>
        <v>20.866666666666667</v>
      </c>
      <c r="BF30" s="357">
        <f>(Table1[[#This Row],[نهاية المشروع المعدلة PMO LIVE]]-Table1[[#This Row],[بداية المشروع التعاقدية]])</f>
        <v>1489</v>
      </c>
      <c r="BG30" s="358">
        <f>(Table1[[#This Row],[نهاية المشروع المعدلة PMO LIVE]]-Table1[[#This Row],[بداية المشروع التعاقدية]])/30</f>
        <v>49.633333333333333</v>
      </c>
      <c r="BH30" s="261">
        <f>1.25*Table1[[#This Row],[مدة المشروع بالايام]]</f>
        <v>1861.25</v>
      </c>
      <c r="BI30" s="621">
        <f>Table1[[#This Row],[125%من مدة المشروع]]+Table1[[#This Row],[بداية المشروع التعاقدية]]</f>
        <v>47308.25</v>
      </c>
      <c r="BJ30" s="651">
        <f>Table1[[#This Row],[قيمة المشروع بالضريبة]]*Table1[[#This Row],[المخطط % التراكمي]]</f>
        <v>5199429.8502000002</v>
      </c>
      <c r="BK30" s="270">
        <f>Table1[[#This Row],[قيمة المشروع بالضريبة]]*Table1[[#This Row],[المنفذ % التراكمي]]</f>
        <v>7148595.2906999998</v>
      </c>
      <c r="BL30" s="318">
        <f>Table1[[#This Row],[نسبة الإنجاز المتبقية %]]*Table1[[#This Row],[قيمة المشروع بالضريبة]]</f>
        <v>17681537.7093</v>
      </c>
      <c r="BM30" s="318">
        <f>Table1[[#This Row],[نسبة الإيقاف%]]*Table1[[#This Row],[قيمة المشروع بالضريبة]]</f>
        <v>0</v>
      </c>
      <c r="BN30" s="319">
        <f>Table1[[#This Row],[Suspended Budget]]/Table1[[#This Row],[Remaining Budget]]</f>
        <v>0</v>
      </c>
      <c r="BQ30" s="903"/>
      <c r="BR30" s="904"/>
      <c r="BS30" s="904"/>
    </row>
    <row r="31" spans="1:71" ht="30" hidden="1" customHeight="1">
      <c r="A31" s="80">
        <f>SUBTOTAL(3,$D$3:D31)</f>
        <v>1</v>
      </c>
      <c r="B31" s="83" t="s">
        <v>308</v>
      </c>
      <c r="C31" s="43" t="s">
        <v>245</v>
      </c>
      <c r="D31" s="42">
        <v>901250199</v>
      </c>
      <c r="E31" s="43" t="s">
        <v>244</v>
      </c>
      <c r="F31" s="43" t="s">
        <v>318</v>
      </c>
      <c r="G31" s="43" t="s">
        <v>159</v>
      </c>
      <c r="H31" s="43" t="s">
        <v>408</v>
      </c>
      <c r="I31" s="43" t="s">
        <v>241</v>
      </c>
      <c r="J31" s="43" t="s">
        <v>123</v>
      </c>
      <c r="K31" s="42" t="s">
        <v>116</v>
      </c>
      <c r="L31" s="42">
        <v>0</v>
      </c>
      <c r="M31" s="42" t="s">
        <v>259</v>
      </c>
      <c r="N31" s="593" t="s">
        <v>120</v>
      </c>
      <c r="O31" s="70">
        <v>0</v>
      </c>
      <c r="P31" s="43" t="s">
        <v>72</v>
      </c>
      <c r="Q31" s="93" t="s">
        <v>78</v>
      </c>
      <c r="R31" s="93" t="s">
        <v>78</v>
      </c>
      <c r="S31" s="44">
        <v>45949</v>
      </c>
      <c r="T31" s="250">
        <v>47044</v>
      </c>
      <c r="U31" s="250">
        <v>47301</v>
      </c>
      <c r="V31" s="44">
        <v>47301</v>
      </c>
      <c r="W31" s="255">
        <f>Table1[[#This Row],[نهاية المشروع المعدلة PMO LIVE]]-Table1[[#This Row],[نهاية المشروع المعدلة EPPM]]</f>
        <v>0</v>
      </c>
      <c r="X31" s="255" t="s">
        <v>169</v>
      </c>
      <c r="Y31" s="253">
        <v>47440</v>
      </c>
      <c r="Z31" s="44">
        <f>_xlfn.XLOOKUP(Table1[[#This Row],[PO]],Table156101114[PO],Table156101114[[النهاية المتوقعة ]],0)</f>
        <v>47447</v>
      </c>
      <c r="AA31" s="719">
        <f>Table1[[#This Row],[النهاية طبقاً للتحديث الاسبوعي الحالي]]-Table1[[#This Row],[النهاية طبقاً للتحديث الاسبوعي السابق]]</f>
        <v>7</v>
      </c>
      <c r="AB31" s="522">
        <v>32985994</v>
      </c>
      <c r="AC31" s="109">
        <v>37933893.100000001</v>
      </c>
      <c r="AD31" s="258">
        <v>6.7199999999999996E-2</v>
      </c>
      <c r="AE31" s="258">
        <v>8.4699999999999998E-2</v>
      </c>
      <c r="AF31" s="90">
        <f>_xlfn.XLOOKUP(Table1[[#This Row],[PO]],Table156101114[PO],Table156101114[المخطط % 15 اكتوبر2026],0)</f>
        <v>7.0599999999999996E-2</v>
      </c>
      <c r="AG31" s="90">
        <f>_xlfn.XLOOKUP(Table1[[#This Row],[PO]],Table156101114[PO],Table156101114[Act %],0)</f>
        <v>8.4699999999999998E-2</v>
      </c>
      <c r="AH31" s="628">
        <f>Table1[[#This Row],[المخطط % التراكمي]]-Table1[[#This Row],[المخطط % - الإسبوع السابق ]]</f>
        <v>3.4000000000000002E-3</v>
      </c>
      <c r="AI31" s="629">
        <f>Table1[[#This Row],[المنفذ % التراكمي]]-Table1[[#This Row],[المنفذ % - الإسبوع السابق]]</f>
        <v>0</v>
      </c>
      <c r="AJ31" s="102">
        <f>Table1[[#This Row],[المنفذ % التراكمي]]-Table1[[#This Row],[المخطط % التراكمي]]</f>
        <v>1.4100000000000001E-2</v>
      </c>
      <c r="AK31" s="636"/>
      <c r="AL31" s="636"/>
      <c r="AM31" s="673"/>
      <c r="AN31" s="673"/>
      <c r="AO31" s="673"/>
      <c r="AP31" s="673"/>
      <c r="AQ31" s="107">
        <f>_xlfn.XLOOKUP(Table1[[#This Row],[PO]],Table156101114[PO],Table156101114[TF],0)</f>
        <v>-125</v>
      </c>
      <c r="AR31" s="276">
        <f>Table1[[#This Row],[نسبة الإنجاز المتبقية %]]/(Table1[[#This Row],[مدة المشروع المتبقية بالشهور]])</f>
        <v>2.7708375378405651E-2</v>
      </c>
      <c r="AS31" s="70">
        <v>7.4861445509831079E-2</v>
      </c>
      <c r="AT31" s="70">
        <v>0</v>
      </c>
      <c r="AU31" s="446">
        <v>0</v>
      </c>
      <c r="AV31" s="70">
        <v>0</v>
      </c>
      <c r="AW31" s="449">
        <v>0</v>
      </c>
      <c r="AX31" s="440">
        <f>100%-Table1[[#This Row],[المنفذ % التراكمي]]</f>
        <v>0.9153</v>
      </c>
      <c r="AY31" s="440">
        <f>100%-Table1[[#This Row],[نسبة المدة المنقضية %]]</f>
        <v>0.73298816568047331</v>
      </c>
      <c r="AZ31" s="70">
        <f>_xlfn.XLOOKUP(Table1[[#This Row],[PO]],Table156101114[PO],Table156101114[المدة المنقضية],0)</f>
        <v>0.26701183431952663</v>
      </c>
      <c r="BA31" s="70" t="s">
        <v>122</v>
      </c>
      <c r="BB31" s="108" t="s">
        <v>122</v>
      </c>
      <c r="BC31" s="96">
        <f>_xlfn.XLOOKUP(Table1[[#This Row],[PO]],Table156101114[PO],Table156101114[SPI],0)</f>
        <v>1.1997167138810199</v>
      </c>
      <c r="BD31" s="359">
        <f>Table1[[#This Row],[نسبة المدة المنقضية %]]*Table1[[#This Row],[مدة المشروع الكلية بالشهور]]</f>
        <v>12.033333333333335</v>
      </c>
      <c r="BE31" s="360">
        <f>Table1[[#This Row],[نسبة المدة المتبقية %]]*Table1[[#This Row],[مدة المشروع الكلية بالشهور]]</f>
        <v>33.033333333333331</v>
      </c>
      <c r="BF31" s="360">
        <f>(Table1[[#This Row],[نهاية المشروع المعدلة PMO LIVE]]-Table1[[#This Row],[بداية المشروع التعاقدية]])</f>
        <v>1352</v>
      </c>
      <c r="BG31" s="361">
        <f>(Table1[[#This Row],[نهاية المشروع المعدلة PMO LIVE]]-Table1[[#This Row],[بداية المشروع التعاقدية]])/30</f>
        <v>45.06666666666667</v>
      </c>
      <c r="BH31" s="260">
        <f>1.25*Table1[[#This Row],[مدة المشروع بالايام]]</f>
        <v>1690</v>
      </c>
      <c r="BI31" s="621">
        <f>Table1[[#This Row],[125%من مدة المشروع]]+Table1[[#This Row],[بداية المشروع التعاقدية]]</f>
        <v>47639</v>
      </c>
      <c r="BJ31" s="648">
        <f>Table1[[#This Row],[قيمة المشروع بالضريبة]]*Table1[[#This Row],[المخطط % التراكمي]]</f>
        <v>2678132.85286</v>
      </c>
      <c r="BK31" s="269">
        <f>Table1[[#This Row],[قيمة المشروع بالضريبة]]*Table1[[#This Row],[المنفذ % التراكمي]]</f>
        <v>3213000.7455700003</v>
      </c>
      <c r="BL31" s="316">
        <f>Table1[[#This Row],[نسبة الإنجاز المتبقية %]]*Table1[[#This Row],[قيمة المشروع بالضريبة]]</f>
        <v>34720892.354430005</v>
      </c>
      <c r="BM31" s="316">
        <f>Table1[[#This Row],[نسبة الإيقاف%]]*Table1[[#This Row],[قيمة المشروع بالضريبة]]</f>
        <v>0</v>
      </c>
      <c r="BN31" s="317">
        <f>Table1[[#This Row],[Suspended Budget]]/Table1[[#This Row],[Remaining Budget]]</f>
        <v>0</v>
      </c>
      <c r="BQ31" s="903"/>
      <c r="BR31" s="904"/>
      <c r="BS31" s="904"/>
    </row>
    <row r="32" spans="1:71" ht="30" hidden="1" customHeight="1">
      <c r="A32" s="79">
        <f>SUBTOTAL(3,$D$3:D32)</f>
        <v>1</v>
      </c>
      <c r="B32" s="85" t="s">
        <v>286</v>
      </c>
      <c r="C32" s="34" t="s">
        <v>226</v>
      </c>
      <c r="D32" s="48">
        <v>901230273</v>
      </c>
      <c r="E32" s="34" t="s">
        <v>57</v>
      </c>
      <c r="F32" s="34" t="s">
        <v>318</v>
      </c>
      <c r="G32" s="602" t="s">
        <v>159</v>
      </c>
      <c r="H32" s="34" t="s">
        <v>160</v>
      </c>
      <c r="I32" s="34" t="s">
        <v>26</v>
      </c>
      <c r="J32" s="34" t="s">
        <v>123</v>
      </c>
      <c r="K32" s="48" t="s">
        <v>116</v>
      </c>
      <c r="L32" s="48">
        <v>0</v>
      </c>
      <c r="M32" s="48" t="s">
        <v>259</v>
      </c>
      <c r="N32" s="594" t="s">
        <v>121</v>
      </c>
      <c r="O32" s="69">
        <v>0</v>
      </c>
      <c r="P32" s="34" t="s">
        <v>72</v>
      </c>
      <c r="Q32" s="93" t="s">
        <v>78</v>
      </c>
      <c r="R32" s="93" t="s">
        <v>78</v>
      </c>
      <c r="S32" s="49">
        <v>45340</v>
      </c>
      <c r="T32" s="249">
        <v>46071</v>
      </c>
      <c r="U32" s="249">
        <v>46532</v>
      </c>
      <c r="V32" s="49">
        <v>46581</v>
      </c>
      <c r="W32" s="254">
        <f>Table1[[#This Row],[نهاية المشروع المعدلة PMO LIVE]]-Table1[[#This Row],[نهاية المشروع المعدلة EPPM]]</f>
        <v>49</v>
      </c>
      <c r="X32" s="529" t="s">
        <v>1020</v>
      </c>
      <c r="Y32" s="249">
        <v>46723</v>
      </c>
      <c r="Z32" s="49">
        <f>_xlfn.XLOOKUP(Table1[[#This Row],[PO]],Table156101114[PO],Table156101114[[النهاية المتوقعة ]],0)</f>
        <v>46730</v>
      </c>
      <c r="AA32" s="716">
        <f>Table1[[#This Row],[النهاية طبقاً للتحديث الاسبوعي الحالي]]-Table1[[#This Row],[النهاية طبقاً للتحديث الاسبوعي السابق]]</f>
        <v>7</v>
      </c>
      <c r="AB32" s="523">
        <v>22736763</v>
      </c>
      <c r="AC32" s="110">
        <v>26147277.449999999</v>
      </c>
      <c r="AD32" s="257">
        <v>0.5958</v>
      </c>
      <c r="AE32" s="257">
        <v>0.62</v>
      </c>
      <c r="AF32" s="47">
        <f>_xlfn.XLOOKUP(Table1[[#This Row],[PO]],Table156101114[PO],Table156101114[المخطط % 15 اكتوبر2026],0)</f>
        <v>0.59909999999999997</v>
      </c>
      <c r="AG32" s="47">
        <f>_xlfn.XLOOKUP(Table1[[#This Row],[PO]],Table156101114[PO],Table156101114[Act %],0)</f>
        <v>0.62</v>
      </c>
      <c r="AH32" s="630">
        <f>Table1[[#This Row],[المخطط % التراكمي]]-Table1[[#This Row],[المخطط % - الإسبوع السابق ]]</f>
        <v>3.2999999999999696E-3</v>
      </c>
      <c r="AI32" s="630">
        <f>Table1[[#This Row],[المنفذ % التراكمي]]-Table1[[#This Row],[المنفذ % - الإسبوع السابق]]</f>
        <v>0</v>
      </c>
      <c r="AJ32" s="275">
        <f>Table1[[#This Row],[المنفذ % التراكمي]]-Table1[[#This Row],[المخطط % التراكمي]]</f>
        <v>2.090000000000003E-2</v>
      </c>
      <c r="AK32" s="662"/>
      <c r="AL32" s="662"/>
      <c r="AM32" s="47"/>
      <c r="AN32" s="47"/>
      <c r="AO32" s="47"/>
      <c r="AP32" s="47"/>
      <c r="AQ32" s="103">
        <f>_xlfn.XLOOKUP(Table1[[#This Row],[PO]],Table156101114[PO],Table156101114[TF],0)</f>
        <v>-163</v>
      </c>
      <c r="AR32" s="277">
        <f>Table1[[#This Row],[نسبة الإنجاز المتبقية %]]/(Table1[[#This Row],[مدة المشروع المتبقية بالشهور]])</f>
        <v>4.2066420664206641E-2</v>
      </c>
      <c r="AS32" s="69">
        <v>0.60081442222042214</v>
      </c>
      <c r="AT32" s="69">
        <f>Table1[[#This Row],[نسبة المخطط التراكمي حتى 31 أكتوبر 2026]]-9.9%</f>
        <v>0.50181442222042216</v>
      </c>
      <c r="AU32" s="445">
        <v>0</v>
      </c>
      <c r="AV32" s="69">
        <f>Table1[[#This Row],[نسبة المخطط التراكمي حتى 31 أكتوبر 2026]]-24.9%</f>
        <v>0.35181442222042214</v>
      </c>
      <c r="AW32" s="448">
        <v>0</v>
      </c>
      <c r="AX32" s="439">
        <f>100%-Table1[[#This Row],[المنفذ % التراكمي]]</f>
        <v>0.38</v>
      </c>
      <c r="AY32" s="439">
        <f>100%-Table1[[#This Row],[نسبة المدة المنقضية %]]</f>
        <v>0.21837228041901691</v>
      </c>
      <c r="AZ32" s="69">
        <f>_xlfn.XLOOKUP(Table1[[#This Row],[PO]],Table156101114[PO],Table156101114[المدة المنقضية],0)</f>
        <v>0.78162771958098309</v>
      </c>
      <c r="BA32" s="69" t="s">
        <v>122</v>
      </c>
      <c r="BB32" s="105" t="s">
        <v>122</v>
      </c>
      <c r="BC32" s="95">
        <f>_xlfn.XLOOKUP(Table1[[#This Row],[PO]],Table156101114[PO],Table156101114[SPI],0)</f>
        <v>1.0348856618260724</v>
      </c>
      <c r="BD32" s="359">
        <f>Table1[[#This Row],[نسبة المدة المنقضية %]]*Table1[[#This Row],[مدة المشروع الكلية بالشهور]]</f>
        <v>32.333333333333336</v>
      </c>
      <c r="BE32" s="360">
        <f>Table1[[#This Row],[نسبة المدة المتبقية %]]*Table1[[#This Row],[مدة المشروع الكلية بالشهور]]</f>
        <v>9.0333333333333332</v>
      </c>
      <c r="BF32" s="360">
        <f>(Table1[[#This Row],[نهاية المشروع المعدلة PMO LIVE]]-Table1[[#This Row],[بداية المشروع التعاقدية]])</f>
        <v>1241</v>
      </c>
      <c r="BG32" s="361">
        <f>(Table1[[#This Row],[نهاية المشروع المعدلة PMO LIVE]]-Table1[[#This Row],[بداية المشروع التعاقدية]])/30</f>
        <v>41.366666666666667</v>
      </c>
      <c r="BH32" s="260">
        <f>1.25*Table1[[#This Row],[مدة المشروع بالايام]]</f>
        <v>1551.25</v>
      </c>
      <c r="BI32" s="495">
        <f>Table1[[#This Row],[125%من مدة المشروع]]+Table1[[#This Row],[بداية المشروع التعاقدية]]</f>
        <v>46891.25</v>
      </c>
      <c r="BJ32" s="650">
        <f>Table1[[#This Row],[قيمة المشروع بالضريبة]]*Table1[[#This Row],[المخطط % التراكمي]]</f>
        <v>15664833.920294998</v>
      </c>
      <c r="BK32" s="268">
        <f>Table1[[#This Row],[قيمة المشروع بالضريبة]]*Table1[[#This Row],[المنفذ % التراكمي]]</f>
        <v>16211312.018999999</v>
      </c>
      <c r="BL32" s="318">
        <f>Table1[[#This Row],[نسبة الإنجاز المتبقية %]]*Table1[[#This Row],[قيمة المشروع بالضريبة]]</f>
        <v>9935965.4309999999</v>
      </c>
      <c r="BM32" s="318">
        <f>Table1[[#This Row],[نسبة الإيقاف%]]*Table1[[#This Row],[قيمة المشروع بالضريبة]]</f>
        <v>0</v>
      </c>
      <c r="BN32" s="319">
        <f>Table1[[#This Row],[Suspended Budget]]/Table1[[#This Row],[Remaining Budget]]</f>
        <v>0</v>
      </c>
      <c r="BQ32" s="903"/>
      <c r="BR32" s="904"/>
      <c r="BS32" s="904"/>
    </row>
    <row r="33" spans="1:71" s="321" customFormat="1" ht="30" hidden="1" customHeight="1">
      <c r="A33" s="79">
        <f>SUBTOTAL(3,$D$3:D33)</f>
        <v>1</v>
      </c>
      <c r="B33" s="85" t="s">
        <v>302</v>
      </c>
      <c r="C33" s="34" t="s">
        <v>220</v>
      </c>
      <c r="D33" s="48">
        <v>901240072</v>
      </c>
      <c r="E33" s="34" t="s">
        <v>71</v>
      </c>
      <c r="F33" s="34" t="s">
        <v>321</v>
      </c>
      <c r="G33" s="154" t="s">
        <v>151</v>
      </c>
      <c r="H33" s="155" t="s">
        <v>154</v>
      </c>
      <c r="I33" s="34" t="s">
        <v>10</v>
      </c>
      <c r="J33" s="34" t="s">
        <v>123</v>
      </c>
      <c r="K33" s="48" t="s">
        <v>73</v>
      </c>
      <c r="L33" s="48">
        <v>0</v>
      </c>
      <c r="M33" s="48" t="s">
        <v>259</v>
      </c>
      <c r="N33" s="594" t="s">
        <v>120</v>
      </c>
      <c r="O33" s="69">
        <v>0</v>
      </c>
      <c r="P33" s="34" t="s">
        <v>72</v>
      </c>
      <c r="Q33" s="93" t="s">
        <v>78</v>
      </c>
      <c r="R33" s="93" t="s">
        <v>78</v>
      </c>
      <c r="S33" s="49">
        <v>45565</v>
      </c>
      <c r="T33" s="249">
        <v>46295</v>
      </c>
      <c r="U33" s="249">
        <v>46685</v>
      </c>
      <c r="V33" s="49">
        <v>46685</v>
      </c>
      <c r="W33" s="254">
        <f>Table1[[#This Row],[نهاية المشروع المعدلة PMO LIVE]]-Table1[[#This Row],[نهاية المشروع المعدلة EPPM]]</f>
        <v>0</v>
      </c>
      <c r="X33" s="254" t="s">
        <v>169</v>
      </c>
      <c r="Y33" s="249">
        <v>46830</v>
      </c>
      <c r="Z33" s="49">
        <f>_xlfn.XLOOKUP(Table1[[#This Row],[PO]],Table156101114[PO],Table156101114[[النهاية المتوقعة ]],0)</f>
        <v>46837</v>
      </c>
      <c r="AA33" s="716">
        <f>Table1[[#This Row],[النهاية طبقاً للتحديث الاسبوعي الحالي]]-Table1[[#This Row],[النهاية طبقاً للتحديث الاسبوعي السابق]]</f>
        <v>7</v>
      </c>
      <c r="AB33" s="523">
        <v>43666400</v>
      </c>
      <c r="AC33" s="110">
        <v>50216360</v>
      </c>
      <c r="AD33" s="257">
        <v>0.25850000000000001</v>
      </c>
      <c r="AE33" s="257">
        <v>0.32100000000000001</v>
      </c>
      <c r="AF33" s="47">
        <f>_xlfn.XLOOKUP(Table1[[#This Row],[PO]],Table156101114[PO],Table156101114[المخطط % 15 اكتوبر2026],0)</f>
        <v>0.25869999999999999</v>
      </c>
      <c r="AG33" s="47">
        <f>_xlfn.XLOOKUP(Table1[[#This Row],[PO]],Table156101114[PO],Table156101114[Act %],0)</f>
        <v>0.32400000000000001</v>
      </c>
      <c r="AH33" s="630">
        <f>Table1[[#This Row],[المخطط % التراكمي]]-Table1[[#This Row],[المخطط % - الإسبوع السابق ]]</f>
        <v>1.9999999999997797E-4</v>
      </c>
      <c r="AI33" s="630">
        <f>Table1[[#This Row],[المنفذ % التراكمي]]-Table1[[#This Row],[المنفذ % - الإسبوع السابق]]</f>
        <v>3.0000000000000027E-3</v>
      </c>
      <c r="AJ33" s="51">
        <f>Table1[[#This Row],[المنفذ % التراكمي]]-Table1[[#This Row],[المخطط % التراكمي]]</f>
        <v>6.5300000000000025E-2</v>
      </c>
      <c r="AK33" s="634"/>
      <c r="AL33" s="634"/>
      <c r="AM33" s="674"/>
      <c r="AN33" s="674"/>
      <c r="AO33" s="674"/>
      <c r="AP33" s="674"/>
      <c r="AQ33" s="103">
        <f>_xlfn.XLOOKUP(Table1[[#This Row],[PO]],Table156101114[PO],Table156101114[TF],0)</f>
        <v>-130</v>
      </c>
      <c r="AR33" s="277">
        <f>Table1[[#This Row],[نسبة الإنجاز المتبقية %]]/(Table1[[#This Row],[مدة المشروع المتبقية بالشهور]])</f>
        <v>5.4079999999999989E-2</v>
      </c>
      <c r="AS33" s="69">
        <v>0.26230913379623688</v>
      </c>
      <c r="AT33" s="69">
        <f>Table1[[#This Row],[نسبة المخطط التراكمي حتى 31 أكتوبر 2026]]-9.9%</f>
        <v>0.16330913379623688</v>
      </c>
      <c r="AU33" s="445">
        <v>0</v>
      </c>
      <c r="AV33" s="69">
        <f>Table1[[#This Row],[نسبة المخطط التراكمي حتى 31 أكتوبر 2026]]-24.9%</f>
        <v>1.3309133796236883E-2</v>
      </c>
      <c r="AW33" s="448">
        <v>0</v>
      </c>
      <c r="AX33" s="439">
        <f>100%-Table1[[#This Row],[المنفذ % التراكمي]]</f>
        <v>0.67599999999999993</v>
      </c>
      <c r="AY33" s="439">
        <f>100%-Table1[[#This Row],[نسبة المدة المنقضية %]]</f>
        <v>0.3348214285714286</v>
      </c>
      <c r="AZ33" s="69">
        <f>_xlfn.XLOOKUP(Table1[[#This Row],[PO]],Table156101114[PO],Table156101114[المدة المنقضية],0)</f>
        <v>0.6651785714285714</v>
      </c>
      <c r="BA33" s="69" t="s">
        <v>122</v>
      </c>
      <c r="BB33" s="105" t="s">
        <v>122</v>
      </c>
      <c r="BC33" s="95">
        <f>_xlfn.XLOOKUP(Table1[[#This Row],[PO]],Table156101114[PO],Table156101114[SPI],0)</f>
        <v>1.2524159257827601</v>
      </c>
      <c r="BD33" s="359">
        <f>Table1[[#This Row],[نسبة المدة المنقضية %]]*Table1[[#This Row],[مدة المشروع الكلية بالشهور]]</f>
        <v>24.833333333333332</v>
      </c>
      <c r="BE33" s="360">
        <f>Table1[[#This Row],[نسبة المدة المتبقية %]]*Table1[[#This Row],[مدة المشروع الكلية بالشهور]]</f>
        <v>12.500000000000002</v>
      </c>
      <c r="BF33" s="360">
        <f>(Table1[[#This Row],[نهاية المشروع المعدلة PMO LIVE]]-Table1[[#This Row],[بداية المشروع التعاقدية]])</f>
        <v>1120</v>
      </c>
      <c r="BG33" s="361">
        <f>(Table1[[#This Row],[نهاية المشروع المعدلة PMO LIVE]]-Table1[[#This Row],[بداية المشروع التعاقدية]])/30</f>
        <v>37.333333333333336</v>
      </c>
      <c r="BH33" s="260">
        <f>1.25*Table1[[#This Row],[مدة المشروع بالايام]]</f>
        <v>1400</v>
      </c>
      <c r="BI33" s="495">
        <f>Table1[[#This Row],[125%من مدة المشروع]]+Table1[[#This Row],[بداية المشروع التعاقدية]]</f>
        <v>46965</v>
      </c>
      <c r="BJ33" s="651">
        <f>Table1[[#This Row],[قيمة المشروع بالضريبة]]*Table1[[#This Row],[المخطط % التراكمي]]</f>
        <v>12990972.331999999</v>
      </c>
      <c r="BK33" s="270">
        <f>Table1[[#This Row],[قيمة المشروع بالضريبة]]*Table1[[#This Row],[المنفذ % التراكمي]]</f>
        <v>16270100.640000001</v>
      </c>
      <c r="BL33" s="318">
        <f>Table1[[#This Row],[نسبة الإنجاز المتبقية %]]*Table1[[#This Row],[قيمة المشروع بالضريبة]]</f>
        <v>33946259.359999999</v>
      </c>
      <c r="BM33" s="318">
        <f>Table1[[#This Row],[نسبة الإيقاف%]]*Table1[[#This Row],[قيمة المشروع بالضريبة]]</f>
        <v>0</v>
      </c>
      <c r="BN33" s="319">
        <f>Table1[[#This Row],[Suspended Budget]]/Table1[[#This Row],[Remaining Budget]]</f>
        <v>0</v>
      </c>
      <c r="BQ33" s="903"/>
      <c r="BR33" s="904"/>
      <c r="BS33" s="904"/>
    </row>
    <row r="34" spans="1:71" ht="30" hidden="1" customHeight="1">
      <c r="A34" s="79">
        <f>SUBTOTAL(3,$D$3:D34)</f>
        <v>1</v>
      </c>
      <c r="B34" s="85" t="s">
        <v>289</v>
      </c>
      <c r="C34" s="34" t="s">
        <v>199</v>
      </c>
      <c r="D34" s="48">
        <v>901240210</v>
      </c>
      <c r="E34" s="34" t="s">
        <v>60</v>
      </c>
      <c r="F34" s="34" t="s">
        <v>319</v>
      </c>
      <c r="G34" s="154" t="s">
        <v>164</v>
      </c>
      <c r="H34" s="155" t="s">
        <v>364</v>
      </c>
      <c r="I34" s="34" t="s">
        <v>35</v>
      </c>
      <c r="J34" s="34" t="s">
        <v>123</v>
      </c>
      <c r="K34" s="48" t="s">
        <v>116</v>
      </c>
      <c r="L34" s="48">
        <v>0</v>
      </c>
      <c r="M34" s="48" t="s">
        <v>259</v>
      </c>
      <c r="N34" s="594" t="s">
        <v>121</v>
      </c>
      <c r="O34" s="69">
        <v>0</v>
      </c>
      <c r="P34" s="34" t="s">
        <v>72</v>
      </c>
      <c r="Q34" s="93" t="s">
        <v>78</v>
      </c>
      <c r="R34" s="94" t="s">
        <v>77</v>
      </c>
      <c r="S34" s="49">
        <v>45582</v>
      </c>
      <c r="T34" s="249">
        <v>46312</v>
      </c>
      <c r="U34" s="249">
        <v>46737</v>
      </c>
      <c r="V34" s="49">
        <v>46737</v>
      </c>
      <c r="W34" s="254">
        <f>Table1[[#This Row],[نهاية المشروع المعدلة PMO LIVE]]-Table1[[#This Row],[نهاية المشروع المعدلة EPPM]]</f>
        <v>0</v>
      </c>
      <c r="X34" s="254" t="s">
        <v>169</v>
      </c>
      <c r="Y34" s="249">
        <v>46803</v>
      </c>
      <c r="Z34" s="49">
        <f>_xlfn.XLOOKUP(Table1[[#This Row],[PO]],Table156101114[PO],Table156101114[[النهاية المتوقعة ]],0)</f>
        <v>46805</v>
      </c>
      <c r="AA34" s="716">
        <f>Table1[[#This Row],[النهاية طبقاً للتحديث الاسبوعي الحالي]]-Table1[[#This Row],[النهاية طبقاً للتحديث الاسبوعي السابق]]</f>
        <v>2</v>
      </c>
      <c r="AB34" s="523">
        <v>27897360</v>
      </c>
      <c r="AC34" s="110">
        <v>32081964</v>
      </c>
      <c r="AD34" s="257">
        <v>0.4254</v>
      </c>
      <c r="AE34" s="257">
        <v>0.42549999999999999</v>
      </c>
      <c r="AF34" s="47">
        <f>_xlfn.XLOOKUP(Table1[[#This Row],[PO]],Table156101114[PO],Table156101114[المخطط % 15 اكتوبر2026],0)</f>
        <v>0.43369999999999997</v>
      </c>
      <c r="AG34" s="47">
        <f>_xlfn.XLOOKUP(Table1[[#This Row],[PO]],Table156101114[PO],Table156101114[Act %],0)</f>
        <v>0.43259999999999998</v>
      </c>
      <c r="AH34" s="630">
        <f>Table1[[#This Row],[المخطط % التراكمي]]-Table1[[#This Row],[المخطط % - الإسبوع السابق ]]</f>
        <v>8.2999999999999741E-3</v>
      </c>
      <c r="AI34" s="630">
        <f>Table1[[#This Row],[المنفذ % التراكمي]]-Table1[[#This Row],[المنفذ % - الإسبوع السابق]]</f>
        <v>7.0999999999999952E-3</v>
      </c>
      <c r="AJ34" s="51">
        <f>Table1[[#This Row],[المنفذ % التراكمي]]-Table1[[#This Row],[المخطط % التراكمي]]</f>
        <v>-1.0999999999999899E-3</v>
      </c>
      <c r="AK34" s="634"/>
      <c r="AL34" s="634"/>
      <c r="AM34" s="674"/>
      <c r="AN34" s="674"/>
      <c r="AO34" s="674"/>
      <c r="AP34" s="674"/>
      <c r="AQ34" s="103">
        <f>_xlfn.XLOOKUP(Table1[[#This Row],[PO]],Table156101114[PO],Table156101114[TF],0)</f>
        <v>-58</v>
      </c>
      <c r="AR34" s="277">
        <f>Table1[[#This Row],[نسبة الإنجاز المتبقية %]]/(Table1[[#This Row],[مدة المشروع المتبقية بالشهور]])</f>
        <v>3.9864168618266971E-2</v>
      </c>
      <c r="AS34" s="69">
        <v>0.43667457530031517</v>
      </c>
      <c r="AT34" s="69">
        <f>Table1[[#This Row],[نسبة المخطط التراكمي حتى 31 أكتوبر 2026]]-9.9%</f>
        <v>0.33767457530031519</v>
      </c>
      <c r="AU34" s="445">
        <v>0</v>
      </c>
      <c r="AV34" s="69">
        <f>Table1[[#This Row],[نسبة المخطط التراكمي حتى 31 أكتوبر 2026]]-24.9%</f>
        <v>0.18767457530031517</v>
      </c>
      <c r="AW34" s="448">
        <v>0</v>
      </c>
      <c r="AX34" s="439">
        <f>100%-Table1[[#This Row],[المنفذ % التراكمي]]</f>
        <v>0.56740000000000002</v>
      </c>
      <c r="AY34" s="439">
        <f>100%-Table1[[#This Row],[نسبة المدة المنقضية %]]</f>
        <v>0.36969696969696975</v>
      </c>
      <c r="AZ34" s="69">
        <f>_xlfn.XLOOKUP(Table1[[#This Row],[PO]],Table156101114[PO],Table156101114[المدة المنقضية],0)</f>
        <v>0.63030303030303025</v>
      </c>
      <c r="BA34" s="69" t="s">
        <v>122</v>
      </c>
      <c r="BB34" s="105" t="s">
        <v>122</v>
      </c>
      <c r="BC34" s="95">
        <f>_xlfn.XLOOKUP(Table1[[#This Row],[PO]],Table156101114[PO],Table156101114[SPI],0)</f>
        <v>0.99746368457459078</v>
      </c>
      <c r="BD34" s="359">
        <f>Table1[[#This Row],[نسبة المدة المنقضية %]]*Table1[[#This Row],[مدة المشروع الكلية بالشهور]]</f>
        <v>24.266666666666666</v>
      </c>
      <c r="BE34" s="360">
        <f>Table1[[#This Row],[نسبة المدة المتبقية %]]*Table1[[#This Row],[مدة المشروع الكلية بالشهور]]</f>
        <v>14.233333333333336</v>
      </c>
      <c r="BF34" s="360">
        <f>(Table1[[#This Row],[نهاية المشروع المعدلة PMO LIVE]]-Table1[[#This Row],[بداية المشروع التعاقدية]])</f>
        <v>1155</v>
      </c>
      <c r="BG34" s="361">
        <f>(Table1[[#This Row],[نهاية المشروع المعدلة PMO LIVE]]-Table1[[#This Row],[بداية المشروع التعاقدية]])/30</f>
        <v>38.5</v>
      </c>
      <c r="BH34" s="260">
        <f>1.25*Table1[[#This Row],[مدة المشروع بالايام]]</f>
        <v>1443.75</v>
      </c>
      <c r="BI34" s="495">
        <f>Table1[[#This Row],[125%من مدة المشروع]]+Table1[[#This Row],[بداية المشروع التعاقدية]]</f>
        <v>47025.75</v>
      </c>
      <c r="BJ34" s="651">
        <f>Table1[[#This Row],[قيمة المشروع بالضريبة]]*Table1[[#This Row],[المخطط % التراكمي]]</f>
        <v>13913947.786799999</v>
      </c>
      <c r="BK34" s="270">
        <f>Table1[[#This Row],[قيمة المشروع بالضريبة]]*Table1[[#This Row],[المنفذ % التراكمي]]</f>
        <v>13878657.626399999</v>
      </c>
      <c r="BL34" s="318">
        <f>Table1[[#This Row],[نسبة الإنجاز المتبقية %]]*Table1[[#This Row],[قيمة المشروع بالضريبة]]</f>
        <v>18203306.373599999</v>
      </c>
      <c r="BM34" s="318">
        <f>Table1[[#This Row],[نسبة الإيقاف%]]*Table1[[#This Row],[قيمة المشروع بالضريبة]]</f>
        <v>0</v>
      </c>
      <c r="BN34" s="319">
        <f>Table1[[#This Row],[Suspended Budget]]/Table1[[#This Row],[Remaining Budget]]</f>
        <v>0</v>
      </c>
      <c r="BQ34" s="903"/>
      <c r="BR34" s="904"/>
      <c r="BS34" s="918"/>
    </row>
    <row r="35" spans="1:71" s="322" customFormat="1" ht="30" hidden="1" customHeight="1">
      <c r="A35" s="79">
        <f>SUBTOTAL(3,$D$3:D35)</f>
        <v>1</v>
      </c>
      <c r="B35" s="85" t="s">
        <v>285</v>
      </c>
      <c r="C35" s="34" t="s">
        <v>218</v>
      </c>
      <c r="D35" s="48">
        <v>901240391</v>
      </c>
      <c r="E35" s="34" t="s">
        <v>92</v>
      </c>
      <c r="F35" s="34" t="s">
        <v>321</v>
      </c>
      <c r="G35" s="154" t="s">
        <v>151</v>
      </c>
      <c r="H35" s="154" t="s">
        <v>157</v>
      </c>
      <c r="I35" s="34" t="s">
        <v>93</v>
      </c>
      <c r="J35" s="34" t="s">
        <v>123</v>
      </c>
      <c r="K35" s="48" t="s">
        <v>73</v>
      </c>
      <c r="L35" s="48">
        <v>0</v>
      </c>
      <c r="M35" s="48" t="s">
        <v>259</v>
      </c>
      <c r="N35" s="594" t="s">
        <v>120</v>
      </c>
      <c r="O35" s="69">
        <v>0</v>
      </c>
      <c r="P35" s="34" t="s">
        <v>72</v>
      </c>
      <c r="Q35" s="94" t="s">
        <v>77</v>
      </c>
      <c r="R35" s="94" t="s">
        <v>77</v>
      </c>
      <c r="S35" s="49">
        <v>45732</v>
      </c>
      <c r="T35" s="249">
        <v>46461</v>
      </c>
      <c r="U35" s="249">
        <v>46841</v>
      </c>
      <c r="V35" s="49">
        <v>46841</v>
      </c>
      <c r="W35" s="254">
        <f>Table1[[#This Row],[نهاية المشروع المعدلة PMO LIVE]]-Table1[[#This Row],[نهاية المشروع المعدلة EPPM]]</f>
        <v>0</v>
      </c>
      <c r="X35" s="254" t="s">
        <v>169</v>
      </c>
      <c r="Y35" s="249">
        <v>46880</v>
      </c>
      <c r="Z35" s="49">
        <f>_xlfn.XLOOKUP(Table1[[#This Row],[PO]],Table156101114[PO],Table156101114[[النهاية المتوقعة ]],0)</f>
        <v>46886</v>
      </c>
      <c r="AA35" s="716">
        <f>Table1[[#This Row],[النهاية طبقاً للتحديث الاسبوعي الحالي]]-Table1[[#This Row],[النهاية طبقاً للتحديث الاسبوعي السابق]]</f>
        <v>6</v>
      </c>
      <c r="AB35" s="523">
        <v>12264700</v>
      </c>
      <c r="AC35" s="110">
        <v>14104405</v>
      </c>
      <c r="AD35" s="257">
        <v>0.2162</v>
      </c>
      <c r="AE35" s="257">
        <v>0.215</v>
      </c>
      <c r="AF35" s="47">
        <f>_xlfn.XLOOKUP(Table1[[#This Row],[PO]],Table156101114[PO],Table156101114[المخطط % 15 اكتوبر2026],0)</f>
        <v>0.21679999999999999</v>
      </c>
      <c r="AG35" s="47">
        <f>_xlfn.XLOOKUP(Table1[[#This Row],[PO]],Table156101114[PO],Table156101114[Act %],0)</f>
        <v>0.215</v>
      </c>
      <c r="AH35" s="630">
        <f>Table1[[#This Row],[المخطط % التراكمي]]-Table1[[#This Row],[المخطط % - الإسبوع السابق ]]</f>
        <v>5.9999999999998943E-4</v>
      </c>
      <c r="AI35" s="630">
        <f>Table1[[#This Row],[المنفذ % التراكمي]]-Table1[[#This Row],[المنفذ % - الإسبوع السابق]]</f>
        <v>0</v>
      </c>
      <c r="AJ35" s="51">
        <f>Table1[[#This Row],[المنفذ % التراكمي]]-Table1[[#This Row],[المخطط % التراكمي]]</f>
        <v>-1.799999999999996E-3</v>
      </c>
      <c r="AK35" s="634"/>
      <c r="AL35" s="634"/>
      <c r="AM35" s="674"/>
      <c r="AN35" s="674"/>
      <c r="AO35" s="674"/>
      <c r="AP35" s="674"/>
      <c r="AQ35" s="103">
        <f>_xlfn.XLOOKUP(Table1[[#This Row],[PO]],Table156101114[PO],Table156101114[TF],0)</f>
        <v>-13</v>
      </c>
      <c r="AR35" s="277">
        <f>Table1[[#This Row],[نسبة الإنجاز المتبقية %]]/(Table1[[#This Row],[مدة المشروع المتبقية بالشهور]])</f>
        <v>4.4350282485875699E-2</v>
      </c>
      <c r="AS35" s="69">
        <v>0.21916362370190287</v>
      </c>
      <c r="AT35" s="69">
        <f>Table1[[#This Row],[نسبة المخطط التراكمي حتى 31 أكتوبر 2026]]-9.9%</f>
        <v>0.12016362370190287</v>
      </c>
      <c r="AU35" s="445">
        <v>0</v>
      </c>
      <c r="AV35" s="69">
        <v>0</v>
      </c>
      <c r="AW35" s="448">
        <v>0</v>
      </c>
      <c r="AX35" s="439">
        <f>100%-Table1[[#This Row],[المنفذ % التراكمي]]</f>
        <v>0.78500000000000003</v>
      </c>
      <c r="AY35" s="439">
        <f>100%-Table1[[#This Row],[نسبة المدة المنقضية %]]</f>
        <v>0.478809738503156</v>
      </c>
      <c r="AZ35" s="69">
        <f>_xlfn.XLOOKUP(Table1[[#This Row],[PO]],Table156101114[PO],Table156101114[المدة المنقضية],0)</f>
        <v>0.521190261496844</v>
      </c>
      <c r="BA35" s="69" t="s">
        <v>122</v>
      </c>
      <c r="BB35" s="105" t="s">
        <v>122</v>
      </c>
      <c r="BC35" s="95">
        <f>_xlfn.XLOOKUP(Table1[[#This Row],[PO]],Table156101114[PO],Table156101114[SPI],0)</f>
        <v>0.9916974169741698</v>
      </c>
      <c r="BD35" s="359">
        <f>Table1[[#This Row],[نسبة المدة المنقضية %]]*Table1[[#This Row],[مدة المشروع الكلية بالشهور]]</f>
        <v>19.266666666666666</v>
      </c>
      <c r="BE35" s="360">
        <f>Table1[[#This Row],[نسبة المدة المتبقية %]]*Table1[[#This Row],[مدة المشروع الكلية بالشهور]]</f>
        <v>17.700000000000003</v>
      </c>
      <c r="BF35" s="360">
        <f>(Table1[[#This Row],[نهاية المشروع المعدلة PMO LIVE]]-Table1[[#This Row],[بداية المشروع التعاقدية]])</f>
        <v>1109</v>
      </c>
      <c r="BG35" s="361">
        <f>(Table1[[#This Row],[نهاية المشروع المعدلة PMO LIVE]]-Table1[[#This Row],[بداية المشروع التعاقدية]])/30</f>
        <v>36.966666666666669</v>
      </c>
      <c r="BH35" s="260">
        <f>1.25*Table1[[#This Row],[مدة المشروع بالايام]]</f>
        <v>1386.25</v>
      </c>
      <c r="BI35" s="495">
        <f>Table1[[#This Row],[125%من مدة المشروع]]+Table1[[#This Row],[بداية المشروع التعاقدية]]</f>
        <v>47118.25</v>
      </c>
      <c r="BJ35" s="651">
        <f>Table1[[#This Row],[قيمة المشروع بالضريبة]]*Table1[[#This Row],[المخطط % التراكمي]]</f>
        <v>3057835.0039999997</v>
      </c>
      <c r="BK35" s="270">
        <f>Table1[[#This Row],[قيمة المشروع بالضريبة]]*Table1[[#This Row],[المنفذ % التراكمي]]</f>
        <v>3032447.0749999997</v>
      </c>
      <c r="BL35" s="318">
        <f>Table1[[#This Row],[نسبة الإنجاز المتبقية %]]*Table1[[#This Row],[قيمة المشروع بالضريبة]]</f>
        <v>11071957.925000001</v>
      </c>
      <c r="BM35" s="318">
        <f>Table1[[#This Row],[نسبة الإيقاف%]]*Table1[[#This Row],[قيمة المشروع بالضريبة]]</f>
        <v>0</v>
      </c>
      <c r="BN35" s="319">
        <f>Table1[[#This Row],[Suspended Budget]]/Table1[[#This Row],[Remaining Budget]]</f>
        <v>0</v>
      </c>
      <c r="BQ35" s="903"/>
      <c r="BR35" s="904"/>
      <c r="BS35" s="904"/>
    </row>
    <row r="36" spans="1:71" s="141" customFormat="1" ht="30" hidden="1" customHeight="1">
      <c r="A36" s="241">
        <f>SUBTOTAL(3,$D$3:D36)</f>
        <v>1</v>
      </c>
      <c r="B36" s="242">
        <v>10128</v>
      </c>
      <c r="C36" s="243" t="s">
        <v>208</v>
      </c>
      <c r="D36" s="244">
        <v>901230173</v>
      </c>
      <c r="E36" s="243" t="s">
        <v>63</v>
      </c>
      <c r="F36" s="243" t="s">
        <v>321</v>
      </c>
      <c r="G36" s="492" t="s">
        <v>151</v>
      </c>
      <c r="H36" s="492" t="s">
        <v>153</v>
      </c>
      <c r="I36" s="243" t="s">
        <v>311</v>
      </c>
      <c r="J36" s="243" t="s">
        <v>123</v>
      </c>
      <c r="K36" s="244" t="s">
        <v>73</v>
      </c>
      <c r="L36" s="244">
        <v>0</v>
      </c>
      <c r="M36" s="244" t="s">
        <v>259</v>
      </c>
      <c r="N36" s="594" t="s">
        <v>120</v>
      </c>
      <c r="O36" s="104">
        <v>0</v>
      </c>
      <c r="P36" s="243" t="s">
        <v>72</v>
      </c>
      <c r="Q36" s="94" t="s">
        <v>77</v>
      </c>
      <c r="R36" s="94" t="s">
        <v>77</v>
      </c>
      <c r="S36" s="86">
        <v>45215</v>
      </c>
      <c r="T36" s="249">
        <v>46311</v>
      </c>
      <c r="U36" s="249">
        <v>46310</v>
      </c>
      <c r="V36" s="86">
        <v>46311</v>
      </c>
      <c r="W36" s="254">
        <f>Table1[[#This Row],[نهاية المشروع المعدلة PMO LIVE]]-Table1[[#This Row],[نهاية المشروع المعدلة EPPM]]</f>
        <v>1</v>
      </c>
      <c r="X36" s="254" t="s">
        <v>169</v>
      </c>
      <c r="Y36" s="249">
        <v>46568</v>
      </c>
      <c r="Z36" s="86">
        <f>_xlfn.XLOOKUP(Table1[[#This Row],[PO]],Table156101114[PO],Table156101114[[النهاية المتوقعة ]],0)</f>
        <v>46568</v>
      </c>
      <c r="AA36" s="718">
        <f>Table1[[#This Row],[النهاية طبقاً للتحديث الاسبوعي الحالي]]-Table1[[#This Row],[النهاية طبقاً للتحديث الاسبوعي السابق]]</f>
        <v>0</v>
      </c>
      <c r="AB36" s="523">
        <v>38500000</v>
      </c>
      <c r="AC36" s="245">
        <v>44275000</v>
      </c>
      <c r="AD36" s="257">
        <v>1</v>
      </c>
      <c r="AE36" s="257">
        <v>0.97160000000000002</v>
      </c>
      <c r="AF36" s="246">
        <f>_xlfn.XLOOKUP(Table1[[#This Row],[PO]],Table156101114[PO],Table156101114[المخطط % 15 اكتوبر2026],0)</f>
        <v>1</v>
      </c>
      <c r="AG36" s="246">
        <f>_xlfn.XLOOKUP(Table1[[#This Row],[PO]],Table156101114[PO],Table156101114[Act %],0)</f>
        <v>0.97160000000000002</v>
      </c>
      <c r="AH36" s="630">
        <f>Table1[[#This Row],[المخطط % التراكمي]]-Table1[[#This Row],[المخطط % - الإسبوع السابق ]]</f>
        <v>0</v>
      </c>
      <c r="AI36" s="630">
        <f>Table1[[#This Row],[المنفذ % التراكمي]]-Table1[[#This Row],[المنفذ % - الإسبوع السابق]]</f>
        <v>0</v>
      </c>
      <c r="AJ36" s="275">
        <f>Table1[[#This Row],[المنفذ % التراكمي]]-Table1[[#This Row],[المخطط % التراكمي]]</f>
        <v>-2.8399999999999981E-2</v>
      </c>
      <c r="AK36" s="634"/>
      <c r="AL36" s="634"/>
      <c r="AM36" s="674"/>
      <c r="AN36" s="674"/>
      <c r="AO36" s="674"/>
      <c r="AP36" s="674"/>
      <c r="AQ36" s="87">
        <f>_xlfn.XLOOKUP(Table1[[#This Row],[PO]],Table156101114[PO],Table156101114[TF],0)</f>
        <v>-96</v>
      </c>
      <c r="AR36" s="277">
        <f>Table1[[#This Row],[نسبة الإنجاز المتبقية %]]/(Table1[[#This Row],[مدة المشروع المتبقية بالشهور]])</f>
        <v>0.85199999999996168</v>
      </c>
      <c r="AS36" s="69">
        <v>1.0000000000000002</v>
      </c>
      <c r="AT36" s="69">
        <f>Table1[[#This Row],[نسبة المخطط التراكمي حتى 31 أكتوبر 2026]]-9.9%</f>
        <v>0.90100000000000025</v>
      </c>
      <c r="AU36" s="445">
        <v>0</v>
      </c>
      <c r="AV36" s="69">
        <f>Table1[[#This Row],[نسبة المخطط التراكمي حتى 31 أكتوبر 2026]]-24.9%</f>
        <v>0.75100000000000022</v>
      </c>
      <c r="AW36" s="448">
        <v>0</v>
      </c>
      <c r="AX36" s="439">
        <f>100%-Table1[[#This Row],[المنفذ % التراكمي]]</f>
        <v>2.8399999999999981E-2</v>
      </c>
      <c r="AY36" s="439">
        <f>100%-Table1[[#This Row],[نسبة المدة المنقضية %]]</f>
        <v>9.1240875912412811E-4</v>
      </c>
      <c r="AZ36" s="104">
        <f>_xlfn.XLOOKUP(Table1[[#This Row],[PO]],Table156101114[PO],Table156101114[المدة المنقضية],0)</f>
        <v>0.99908759124087587</v>
      </c>
      <c r="BA36" s="104" t="s">
        <v>122</v>
      </c>
      <c r="BB36" s="247" t="s">
        <v>122</v>
      </c>
      <c r="BC36" s="97">
        <f>_xlfn.XLOOKUP(Table1[[#This Row],[PO]],Table156101114[PO],Table156101114[SPI],0)</f>
        <v>0.97160000000000002</v>
      </c>
      <c r="BD36" s="359">
        <f>Table1[[#This Row],[نسبة المدة المنقضية %]]*Table1[[#This Row],[مدة المشروع الكلية بالشهور]]</f>
        <v>36.5</v>
      </c>
      <c r="BE36" s="360">
        <f>Table1[[#This Row],[نسبة المدة المتبقية %]]*Table1[[#This Row],[مدة المشروع الكلية بالشهور]]</f>
        <v>3.3333333333334811E-2</v>
      </c>
      <c r="BF36" s="360">
        <f>(Table1[[#This Row],[نهاية المشروع المعدلة PMO LIVE]]-Table1[[#This Row],[بداية المشروع التعاقدية]])</f>
        <v>1096</v>
      </c>
      <c r="BG36" s="361">
        <f>(Table1[[#This Row],[نهاية المشروع المعدلة PMO LIVE]]-Table1[[#This Row],[بداية المشروع التعاقدية]])/30</f>
        <v>36.533333333333331</v>
      </c>
      <c r="BH36" s="260">
        <f>1.25*Table1[[#This Row],[مدة المشروع بالايام]]</f>
        <v>1370</v>
      </c>
      <c r="BI36" s="661">
        <f>Table1[[#This Row],[125%من مدة المشروع]]+Table1[[#This Row],[بداية المشروع التعاقدية]]</f>
        <v>46585</v>
      </c>
      <c r="BJ36" s="649">
        <f>Table1[[#This Row],[قيمة المشروع بالضريبة]]*Table1[[#This Row],[المخطط % التراكمي]]</f>
        <v>44275000</v>
      </c>
      <c r="BK36" s="267">
        <f>Table1[[#This Row],[قيمة المشروع بالضريبة]]*Table1[[#This Row],[المنفذ % التراكمي]]</f>
        <v>43017590</v>
      </c>
      <c r="BL36" s="316">
        <f>Table1[[#This Row],[نسبة الإنجاز المتبقية %]]*Table1[[#This Row],[قيمة المشروع بالضريبة]]</f>
        <v>1257409.9999999991</v>
      </c>
      <c r="BM36" s="316">
        <f>Table1[[#This Row],[نسبة الإيقاف%]]*Table1[[#This Row],[قيمة المشروع بالضريبة]]</f>
        <v>0</v>
      </c>
      <c r="BN36" s="317">
        <f>Table1[[#This Row],[Suspended Budget]]/Table1[[#This Row],[Remaining Budget]]</f>
        <v>0</v>
      </c>
      <c r="BQ36" s="903"/>
      <c r="BR36" s="904"/>
      <c r="BS36" s="904"/>
    </row>
    <row r="37" spans="1:71" s="322" customFormat="1" ht="30" hidden="1" customHeight="1">
      <c r="A37" s="80">
        <f>SUBTOTAL(3,$D$3:D37)</f>
        <v>1</v>
      </c>
      <c r="B37" s="83" t="s">
        <v>298</v>
      </c>
      <c r="C37" s="43" t="s">
        <v>213</v>
      </c>
      <c r="D37" s="42">
        <v>901250200</v>
      </c>
      <c r="E37" s="43" t="s">
        <v>141</v>
      </c>
      <c r="F37" s="43" t="s">
        <v>320</v>
      </c>
      <c r="G37" s="43" t="s">
        <v>164</v>
      </c>
      <c r="H37" s="43" t="s">
        <v>264</v>
      </c>
      <c r="I37" s="43" t="s">
        <v>145</v>
      </c>
      <c r="J37" s="100" t="s">
        <v>123</v>
      </c>
      <c r="K37" s="42" t="s">
        <v>136</v>
      </c>
      <c r="L37" s="42">
        <v>0</v>
      </c>
      <c r="M37" s="42" t="s">
        <v>259</v>
      </c>
      <c r="N37" s="593" t="s">
        <v>120</v>
      </c>
      <c r="O37" s="70">
        <v>0</v>
      </c>
      <c r="P37" s="43" t="s">
        <v>72</v>
      </c>
      <c r="Q37" s="94" t="s">
        <v>77</v>
      </c>
      <c r="R37" s="94" t="s">
        <v>77</v>
      </c>
      <c r="S37" s="44">
        <v>45910</v>
      </c>
      <c r="T37" s="250">
        <v>47004</v>
      </c>
      <c r="U37" s="250">
        <v>47304</v>
      </c>
      <c r="V37" s="44">
        <v>47305</v>
      </c>
      <c r="W37" s="255">
        <f>Table1[[#This Row],[نهاية المشروع المعدلة PMO LIVE]]-Table1[[#This Row],[نهاية المشروع المعدلة EPPM]]</f>
        <v>1</v>
      </c>
      <c r="X37" s="255" t="s">
        <v>169</v>
      </c>
      <c r="Y37" s="253">
        <v>47362</v>
      </c>
      <c r="Z37" s="101">
        <f>_xlfn.XLOOKUP(Table1[[#This Row],[PO]],Table156101114[PO],Table156101114[[النهاية المتوقعة ]],0)</f>
        <v>47369</v>
      </c>
      <c r="AA37" s="721">
        <f>Table1[[#This Row],[النهاية طبقاً للتحديث الاسبوعي الحالي]]-Table1[[#This Row],[النهاية طبقاً للتحديث الاسبوعي السابق]]</f>
        <v>7</v>
      </c>
      <c r="AB37" s="524">
        <v>22395000</v>
      </c>
      <c r="AC37" s="109">
        <v>25754250</v>
      </c>
      <c r="AD37" s="258">
        <v>6.3399999999999998E-2</v>
      </c>
      <c r="AE37" s="258">
        <v>5.2499999999999998E-2</v>
      </c>
      <c r="AF37" s="90">
        <f>_xlfn.XLOOKUP(Table1[[#This Row],[PO]],Table156101114[PO],Table156101114[المخطط % 15 اكتوبر2026],0)</f>
        <v>6.5000000000000002E-2</v>
      </c>
      <c r="AG37" s="90">
        <f>_xlfn.XLOOKUP(Table1[[#This Row],[PO]],Table156101114[PO],Table156101114[Act %],0)</f>
        <v>5.2499999999999998E-2</v>
      </c>
      <c r="AH37" s="627">
        <f>Table1[[#This Row],[المخطط % التراكمي]]-Table1[[#This Row],[المخطط % - الإسبوع السابق ]]</f>
        <v>1.6000000000000042E-3</v>
      </c>
      <c r="AI37" s="632">
        <f>Table1[[#This Row],[المنفذ % التراكمي]]-Table1[[#This Row],[المنفذ % - الإسبوع السابق]]</f>
        <v>0</v>
      </c>
      <c r="AJ37" s="102">
        <f>Table1[[#This Row],[المنفذ % التراكمي]]-Table1[[#This Row],[المخطط % التراكمي]]</f>
        <v>-1.2500000000000004E-2</v>
      </c>
      <c r="AK37" s="637"/>
      <c r="AL37" s="637"/>
      <c r="AM37" s="675"/>
      <c r="AN37" s="675"/>
      <c r="AO37" s="675"/>
      <c r="AP37" s="675"/>
      <c r="AQ37" s="91">
        <f>_xlfn.XLOOKUP(Table1[[#This Row],[PO]],Table156101114[PO],Table156101114[TF],0)</f>
        <v>-55</v>
      </c>
      <c r="AR37" s="276">
        <f>Table1[[#This Row],[نسبة الإنجاز المتبقية %]]/(Table1[[#This Row],[مدة المشروع المتبقية بالشهور]])</f>
        <v>2.85678391959799E-2</v>
      </c>
      <c r="AS37" s="70">
        <v>6.7962348738557721E-2</v>
      </c>
      <c r="AT37" s="70">
        <v>0</v>
      </c>
      <c r="AU37" s="446">
        <v>0</v>
      </c>
      <c r="AV37" s="70">
        <v>0</v>
      </c>
      <c r="AW37" s="449">
        <v>0</v>
      </c>
      <c r="AX37" s="440">
        <f>100%-Table1[[#This Row],[المنفذ % التراكمي]]</f>
        <v>0.94750000000000001</v>
      </c>
      <c r="AY37" s="440">
        <f>100%-Table1[[#This Row],[نسبة المدة المنقضية %]]</f>
        <v>0.71326164874551967</v>
      </c>
      <c r="AZ37" s="70">
        <f>_xlfn.XLOOKUP(Table1[[#This Row],[PO]],Table156101114[PO],Table156101114[المدة المنقضية],0)</f>
        <v>0.28673835125448027</v>
      </c>
      <c r="BA37" s="70" t="s">
        <v>122</v>
      </c>
      <c r="BB37" s="108" t="s">
        <v>122</v>
      </c>
      <c r="BC37" s="96">
        <f>_xlfn.XLOOKUP(Table1[[#This Row],[PO]],Table156101114[PO],Table156101114[SPI],0)</f>
        <v>0.8076923076923076</v>
      </c>
      <c r="BD37" s="359">
        <f>Table1[[#This Row],[نسبة المدة المنقضية %]]*Table1[[#This Row],[مدة المشروع الكلية بالشهور]]</f>
        <v>13.333333333333332</v>
      </c>
      <c r="BE37" s="360">
        <f>Table1[[#This Row],[نسبة المدة المتبقية %]]*Table1[[#This Row],[مدة المشروع الكلية بالشهور]]</f>
        <v>33.166666666666664</v>
      </c>
      <c r="BF37" s="360">
        <f>(Table1[[#This Row],[نهاية المشروع المعدلة PMO LIVE]]-Table1[[#This Row],[بداية المشروع التعاقدية]])</f>
        <v>1395</v>
      </c>
      <c r="BG37" s="361">
        <f>(Table1[[#This Row],[نهاية المشروع المعدلة PMO LIVE]]-Table1[[#This Row],[بداية المشروع التعاقدية]])/30</f>
        <v>46.5</v>
      </c>
      <c r="BH37" s="260">
        <f>1.25*Table1[[#This Row],[مدة المشروع بالايام]]</f>
        <v>1743.75</v>
      </c>
      <c r="BI37" s="621">
        <f>Table1[[#This Row],[125%من مدة المشروع]]+Table1[[#This Row],[بداية المشروع التعاقدية]]</f>
        <v>47653.75</v>
      </c>
      <c r="BJ37" s="648">
        <f>Table1[[#This Row],[قيمة المشروع بالضريبة]]*Table1[[#This Row],[المخطط % التراكمي]]</f>
        <v>1674026.25</v>
      </c>
      <c r="BK37" s="269">
        <f>Table1[[#This Row],[قيمة المشروع بالضريبة]]*Table1[[#This Row],[المنفذ % التراكمي]]</f>
        <v>1352098.125</v>
      </c>
      <c r="BL37" s="316">
        <f>Table1[[#This Row],[نسبة الإنجاز المتبقية %]]*Table1[[#This Row],[قيمة المشروع بالضريبة]]</f>
        <v>24402151.875</v>
      </c>
      <c r="BM37" s="316">
        <f>Table1[[#This Row],[نسبة الإيقاف%]]*Table1[[#This Row],[قيمة المشروع بالضريبة]]</f>
        <v>0</v>
      </c>
      <c r="BN37" s="317">
        <f>Table1[[#This Row],[Suspended Budget]]/Table1[[#This Row],[Remaining Budget]]</f>
        <v>0</v>
      </c>
      <c r="BQ37" s="903"/>
      <c r="BR37" s="904"/>
      <c r="BS37" s="904"/>
    </row>
    <row r="38" spans="1:71" ht="30" hidden="1" customHeight="1">
      <c r="A38" s="79">
        <f>SUBTOTAL(3,$D$3:D38)</f>
        <v>1</v>
      </c>
      <c r="B38" s="85">
        <v>10278</v>
      </c>
      <c r="C38" s="34" t="s">
        <v>222</v>
      </c>
      <c r="D38" s="48">
        <v>901240105</v>
      </c>
      <c r="E38" s="34" t="s">
        <v>68</v>
      </c>
      <c r="F38" s="34" t="s">
        <v>321</v>
      </c>
      <c r="G38" s="154" t="s">
        <v>151</v>
      </c>
      <c r="H38" s="154" t="s">
        <v>155</v>
      </c>
      <c r="I38" s="34" t="s">
        <v>75</v>
      </c>
      <c r="J38" s="34" t="s">
        <v>111</v>
      </c>
      <c r="K38" s="48" t="s">
        <v>73</v>
      </c>
      <c r="L38" s="48">
        <v>0</v>
      </c>
      <c r="M38" s="48" t="s">
        <v>259</v>
      </c>
      <c r="N38" s="594" t="s">
        <v>120</v>
      </c>
      <c r="O38" s="69">
        <v>0</v>
      </c>
      <c r="P38" s="34" t="s">
        <v>72</v>
      </c>
      <c r="Q38" s="94" t="s">
        <v>77</v>
      </c>
      <c r="R38" s="94" t="s">
        <v>77</v>
      </c>
      <c r="S38" s="49">
        <v>45490</v>
      </c>
      <c r="T38" s="249">
        <v>46585</v>
      </c>
      <c r="U38" s="249">
        <v>47003</v>
      </c>
      <c r="V38" s="49">
        <v>47004</v>
      </c>
      <c r="W38" s="254">
        <f>Table1[[#This Row],[نهاية المشروع المعدلة PMO LIVE]]-Table1[[#This Row],[نهاية المشروع المعدلة EPPM]]</f>
        <v>1</v>
      </c>
      <c r="X38" s="254" t="s">
        <v>169</v>
      </c>
      <c r="Y38" s="249">
        <v>47191</v>
      </c>
      <c r="Z38" s="49">
        <f>_xlfn.XLOOKUP(Table1[[#This Row],[PO]],Table156101114[PO],Table156101114[[النهاية المتوقعة ]],0)</f>
        <v>47198</v>
      </c>
      <c r="AA38" s="716">
        <f>Table1[[#This Row],[النهاية طبقاً للتحديث الاسبوعي الحالي]]-Table1[[#This Row],[النهاية طبقاً للتحديث الاسبوعي السابق]]</f>
        <v>7</v>
      </c>
      <c r="AB38" s="523">
        <v>55361550</v>
      </c>
      <c r="AC38" s="110">
        <v>63665782.5</v>
      </c>
      <c r="AD38" s="257">
        <v>0.16120000000000001</v>
      </c>
      <c r="AE38" s="257">
        <v>0.15540000000000001</v>
      </c>
      <c r="AF38" s="47">
        <f>_xlfn.XLOOKUP(Table1[[#This Row],[PO]],Table156101114[PO],Table156101114[المخطط % 15 اكتوبر2026],0)</f>
        <v>0.16259999999999999</v>
      </c>
      <c r="AG38" s="47">
        <f>_xlfn.XLOOKUP(Table1[[#This Row],[PO]],Table156101114[PO],Table156101114[Act %],0)</f>
        <v>0.15620000000000001</v>
      </c>
      <c r="AH38" s="630">
        <f>Table1[[#This Row],[المخطط % التراكمي]]-Table1[[#This Row],[المخطط % - الإسبوع السابق ]]</f>
        <v>1.3999999999999846E-3</v>
      </c>
      <c r="AI38" s="630">
        <f>Table1[[#This Row],[المنفذ % التراكمي]]-Table1[[#This Row],[المنفذ % - الإسبوع السابق]]</f>
        <v>7.9999999999999516E-4</v>
      </c>
      <c r="AJ38" s="51">
        <f>Table1[[#This Row],[المنفذ % التراكمي]]-Table1[[#This Row],[المخطط % التراكمي]]</f>
        <v>-6.399999999999989E-3</v>
      </c>
      <c r="AK38" s="634"/>
      <c r="AL38" s="634"/>
      <c r="AM38" s="674"/>
      <c r="AN38" s="674"/>
      <c r="AO38" s="674"/>
      <c r="AP38" s="674"/>
      <c r="AQ38" s="103">
        <f>_xlfn.XLOOKUP(Table1[[#This Row],[PO]],Table156101114[PO],Table156101114[TF],0)</f>
        <v>-166</v>
      </c>
      <c r="AR38" s="277">
        <f>Table1[[#This Row],[نسبة الإنجاز المتبقية %]]/(Table1[[#This Row],[مدة المشروع المتبقية بالشهور]])</f>
        <v>3.6475504322766562E-2</v>
      </c>
      <c r="AS38" s="69">
        <v>0.16633175913607909</v>
      </c>
      <c r="AT38" s="69">
        <f>Table1[[#This Row],[نسبة المخطط التراكمي حتى 31 أكتوبر 2026]]-9.9%</f>
        <v>6.7331759136079083E-2</v>
      </c>
      <c r="AU38" s="445">
        <v>0</v>
      </c>
      <c r="AV38" s="69">
        <v>0</v>
      </c>
      <c r="AW38" s="448">
        <v>0</v>
      </c>
      <c r="AX38" s="439">
        <f>100%-Table1[[#This Row],[المنفذ % التراكمي]]</f>
        <v>0.84379999999999999</v>
      </c>
      <c r="AY38" s="439">
        <f>100%-Table1[[#This Row],[نسبة المدة المنقضية %]]</f>
        <v>0.45838837516512554</v>
      </c>
      <c r="AZ38" s="69">
        <f>_xlfn.XLOOKUP(Table1[[#This Row],[PO]],Table156101114[PO],Table156101114[المدة المنقضية],0)</f>
        <v>0.54161162483487446</v>
      </c>
      <c r="BA38" s="69" t="s">
        <v>122</v>
      </c>
      <c r="BB38" s="105" t="s">
        <v>122</v>
      </c>
      <c r="BC38" s="95">
        <f>_xlfn.XLOOKUP(Table1[[#This Row],[PO]],Table156101114[PO],Table156101114[SPI],0)</f>
        <v>0.96063960639606405</v>
      </c>
      <c r="BD38" s="359">
        <f>Table1[[#This Row],[نسبة المدة المنقضية %]]*Table1[[#This Row],[مدة المشروع الكلية بالشهور]]</f>
        <v>27.333333333333332</v>
      </c>
      <c r="BE38" s="360">
        <f>Table1[[#This Row],[نسبة المدة المتبقية %]]*Table1[[#This Row],[مدة المشروع الكلية بالشهور]]</f>
        <v>23.133333333333336</v>
      </c>
      <c r="BF38" s="360">
        <f>(Table1[[#This Row],[نهاية المشروع المعدلة PMO LIVE]]-Table1[[#This Row],[بداية المشروع التعاقدية]])</f>
        <v>1514</v>
      </c>
      <c r="BG38" s="361">
        <f>(Table1[[#This Row],[نهاية المشروع المعدلة PMO LIVE]]-Table1[[#This Row],[بداية المشروع التعاقدية]])/30</f>
        <v>50.466666666666669</v>
      </c>
      <c r="BH38" s="260">
        <f>1.25*Table1[[#This Row],[مدة المشروع بالايام]]</f>
        <v>1892.5</v>
      </c>
      <c r="BI38" s="495">
        <f>Table1[[#This Row],[125%من مدة المشروع]]+Table1[[#This Row],[بداية المشروع التعاقدية]]</f>
        <v>47382.5</v>
      </c>
      <c r="BJ38" s="651">
        <f>Table1[[#This Row],[قيمة المشروع بالضريبة]]*Table1[[#This Row],[المخطط % التراكمي]]</f>
        <v>10352056.2345</v>
      </c>
      <c r="BK38" s="270">
        <f>Table1[[#This Row],[قيمة المشروع بالضريبة]]*Table1[[#This Row],[المنفذ % التراكمي]]</f>
        <v>9944595.2265000008</v>
      </c>
      <c r="BL38" s="318">
        <f>Table1[[#This Row],[نسبة الإنجاز المتبقية %]]*Table1[[#This Row],[قيمة المشروع بالضريبة]]</f>
        <v>53721187.273500003</v>
      </c>
      <c r="BM38" s="318">
        <f>Table1[[#This Row],[نسبة الإيقاف%]]*Table1[[#This Row],[قيمة المشروع بالضريبة]]</f>
        <v>0</v>
      </c>
      <c r="BN38" s="319">
        <f>Table1[[#This Row],[Suspended Budget]]/Table1[[#This Row],[Remaining Budget]]</f>
        <v>0</v>
      </c>
      <c r="BQ38" s="903"/>
      <c r="BR38" s="904"/>
      <c r="BS38" s="917"/>
    </row>
    <row r="39" spans="1:71" s="322" customFormat="1" ht="30" hidden="1" customHeight="1">
      <c r="A39" s="80">
        <f>SUBTOTAL(3,$D$3:D39)</f>
        <v>1</v>
      </c>
      <c r="B39" s="83">
        <v>10101</v>
      </c>
      <c r="C39" s="43" t="s">
        <v>230</v>
      </c>
      <c r="D39" s="42">
        <v>901230145</v>
      </c>
      <c r="E39" s="43" t="s">
        <v>56</v>
      </c>
      <c r="F39" s="43" t="s">
        <v>319</v>
      </c>
      <c r="G39" s="152" t="s">
        <v>266</v>
      </c>
      <c r="H39" s="43" t="s">
        <v>365</v>
      </c>
      <c r="I39" s="43" t="s">
        <v>173</v>
      </c>
      <c r="J39" s="43" t="s">
        <v>123</v>
      </c>
      <c r="K39" s="42" t="s">
        <v>116</v>
      </c>
      <c r="L39" s="42">
        <v>0</v>
      </c>
      <c r="M39" s="42" t="s">
        <v>259</v>
      </c>
      <c r="N39" s="593" t="s">
        <v>121</v>
      </c>
      <c r="O39" s="70">
        <v>0</v>
      </c>
      <c r="P39" s="43" t="s">
        <v>72</v>
      </c>
      <c r="Q39" s="94" t="s">
        <v>77</v>
      </c>
      <c r="R39" s="94" t="s">
        <v>77</v>
      </c>
      <c r="S39" s="44">
        <v>45190</v>
      </c>
      <c r="T39" s="250">
        <v>46286</v>
      </c>
      <c r="U39" s="250">
        <v>46706</v>
      </c>
      <c r="V39" s="44">
        <v>46706</v>
      </c>
      <c r="W39" s="255">
        <f>Table1[[#This Row],[نهاية المشروع المعدلة PMO LIVE]]-Table1[[#This Row],[نهاية المشروع المعدلة EPPM]]</f>
        <v>0</v>
      </c>
      <c r="X39" s="255" t="s">
        <v>169</v>
      </c>
      <c r="Y39" s="250">
        <v>46893</v>
      </c>
      <c r="Z39" s="44">
        <f>_xlfn.XLOOKUP(Table1[[#This Row],[PO]],Table156101114[PO],Table156101114[[النهاية المتوقعة ]],0)</f>
        <v>46900</v>
      </c>
      <c r="AA39" s="719">
        <f>Table1[[#This Row],[النهاية طبقاً للتحديث الاسبوعي الحالي]]-Table1[[#This Row],[النهاية طبقاً للتحديث الاسبوعي السابق]]</f>
        <v>7</v>
      </c>
      <c r="AB39" s="522">
        <v>49347884</v>
      </c>
      <c r="AC39" s="109">
        <v>56750066.600000001</v>
      </c>
      <c r="AD39" s="258">
        <v>0.50609999999999999</v>
      </c>
      <c r="AE39" s="258">
        <v>0.50480000000000003</v>
      </c>
      <c r="AF39" s="45">
        <f>_xlfn.XLOOKUP(Table1[[#This Row],[PO]],Table156101114[PO],Table156101114[المخطط % 15 اكتوبر2026],0)</f>
        <v>0.50680000000000003</v>
      </c>
      <c r="AG39" s="45">
        <f>_xlfn.XLOOKUP(Table1[[#This Row],[PO]],Table156101114[PO],Table156101114[Act %],0)</f>
        <v>0.50539999999999996</v>
      </c>
      <c r="AH39" s="629">
        <f>Table1[[#This Row],[المخطط % التراكمي]]-Table1[[#This Row],[المخطط % - الإسبوع السابق ]]</f>
        <v>7.0000000000003393E-4</v>
      </c>
      <c r="AI39" s="629">
        <f>Table1[[#This Row],[المنفذ % التراكمي]]-Table1[[#This Row],[المنفذ % - الإسبوع السابق]]</f>
        <v>5.9999999999993392E-4</v>
      </c>
      <c r="AJ39" s="51">
        <f>Table1[[#This Row],[المنفذ % التراكمي]]-Table1[[#This Row],[المخطط % التراكمي]]</f>
        <v>-1.4000000000000679E-3</v>
      </c>
      <c r="AK39" s="636"/>
      <c r="AL39" s="636"/>
      <c r="AM39" s="673"/>
      <c r="AN39" s="673"/>
      <c r="AO39" s="673"/>
      <c r="AP39" s="673"/>
      <c r="AQ39" s="107">
        <f>_xlfn.XLOOKUP(Table1[[#This Row],[PO]],Table156101114[PO],Table156101114[TF],0)</f>
        <v>-166</v>
      </c>
      <c r="AR39" s="276">
        <f>Table1[[#This Row],[نسبة الإنجاز المتبقية %]]/(Table1[[#This Row],[مدة المشروع المتبقية بالشهور]])</f>
        <v>3.7469696969696972E-2</v>
      </c>
      <c r="AS39" s="70">
        <v>0.50848077172395434</v>
      </c>
      <c r="AT39" s="70">
        <f>Table1[[#This Row],[نسبة المخطط التراكمي حتى 31 أكتوبر 2026]]-9.9%</f>
        <v>0.40948077172395436</v>
      </c>
      <c r="AU39" s="446">
        <v>0</v>
      </c>
      <c r="AV39" s="70">
        <f>Table1[[#This Row],[نسبة المخطط التراكمي حتى 31 أكتوبر 2026]]-24.9%</f>
        <v>0.25948077172395434</v>
      </c>
      <c r="AW39" s="449">
        <v>0</v>
      </c>
      <c r="AX39" s="440">
        <f>100%-Table1[[#This Row],[المنفذ % التراكمي]]</f>
        <v>0.49460000000000004</v>
      </c>
      <c r="AY39" s="440">
        <f>100%-Table1[[#This Row],[نسبة المدة المنقضية %]]</f>
        <v>0.26121372031662271</v>
      </c>
      <c r="AZ39" s="70">
        <f>_xlfn.XLOOKUP(Table1[[#This Row],[PO]],Table156101114[PO],Table156101114[المدة المنقضية],0)</f>
        <v>0.73878627968337729</v>
      </c>
      <c r="BA39" s="70" t="s">
        <v>122</v>
      </c>
      <c r="BB39" s="108" t="s">
        <v>122</v>
      </c>
      <c r="BC39" s="96">
        <f>_xlfn.XLOOKUP(Table1[[#This Row],[PO]],Table156101114[PO],Table156101114[SPI],0)</f>
        <v>0.99723756906077332</v>
      </c>
      <c r="BD39" s="359">
        <f>Table1[[#This Row],[نسبة المدة المنقضية %]]*Table1[[#This Row],[مدة المشروع الكلية بالشهور]]</f>
        <v>37.333333333333329</v>
      </c>
      <c r="BE39" s="360">
        <f>Table1[[#This Row],[نسبة المدة المتبقية %]]*Table1[[#This Row],[مدة المشروع الكلية بالشهور]]</f>
        <v>13.200000000000001</v>
      </c>
      <c r="BF39" s="360">
        <f>(Table1[[#This Row],[نهاية المشروع المعدلة PMO LIVE]]-Table1[[#This Row],[بداية المشروع التعاقدية]])</f>
        <v>1516</v>
      </c>
      <c r="BG39" s="361">
        <f>(Table1[[#This Row],[نهاية المشروع المعدلة PMO LIVE]]-Table1[[#This Row],[بداية المشروع التعاقدية]])/30</f>
        <v>50.533333333333331</v>
      </c>
      <c r="BH39" s="260">
        <f>1.25*Table1[[#This Row],[مدة المشروع بالايام]]</f>
        <v>1895</v>
      </c>
      <c r="BI39" s="621">
        <f>Table1[[#This Row],[125%من مدة المشروع]]+Table1[[#This Row],[بداية المشروع التعاقدية]]</f>
        <v>47085</v>
      </c>
      <c r="BJ39" s="648">
        <f>Table1[[#This Row],[قيمة المشروع بالضريبة]]*Table1[[#This Row],[المخطط % التراكمي]]</f>
        <v>28760933.752880003</v>
      </c>
      <c r="BK39" s="269">
        <f>Table1[[#This Row],[قيمة المشروع بالضريبة]]*Table1[[#This Row],[المنفذ % التراكمي]]</f>
        <v>28681483.659639999</v>
      </c>
      <c r="BL39" s="316">
        <f>Table1[[#This Row],[نسبة الإنجاز المتبقية %]]*Table1[[#This Row],[قيمة المشروع بالضريبة]]</f>
        <v>28068582.940360002</v>
      </c>
      <c r="BM39" s="316">
        <f>Table1[[#This Row],[نسبة الإيقاف%]]*Table1[[#This Row],[قيمة المشروع بالضريبة]]</f>
        <v>0</v>
      </c>
      <c r="BN39" s="317">
        <f>Table1[[#This Row],[Suspended Budget]]/Table1[[#This Row],[Remaining Budget]]</f>
        <v>0</v>
      </c>
      <c r="BQ39" s="903"/>
      <c r="BR39" s="904"/>
      <c r="BS39" s="904"/>
    </row>
    <row r="40" spans="1:71" ht="30" hidden="1" customHeight="1">
      <c r="A40" s="80">
        <f>SUBTOTAL(3,$D$3:D40)</f>
        <v>1</v>
      </c>
      <c r="B40" s="83" t="s">
        <v>301</v>
      </c>
      <c r="C40" s="43" t="s">
        <v>217</v>
      </c>
      <c r="D40" s="42">
        <v>901240327</v>
      </c>
      <c r="E40" s="43" t="s">
        <v>106</v>
      </c>
      <c r="F40" s="43" t="s">
        <v>318</v>
      </c>
      <c r="G40" s="152" t="s">
        <v>159</v>
      </c>
      <c r="H40" s="153" t="s">
        <v>162</v>
      </c>
      <c r="I40" s="43" t="s">
        <v>102</v>
      </c>
      <c r="J40" s="43" t="s">
        <v>123</v>
      </c>
      <c r="K40" s="42" t="s">
        <v>116</v>
      </c>
      <c r="L40" s="42">
        <v>6</v>
      </c>
      <c r="M40" s="42" t="s">
        <v>259</v>
      </c>
      <c r="N40" s="593" t="s">
        <v>121</v>
      </c>
      <c r="O40" s="70">
        <v>0</v>
      </c>
      <c r="P40" s="43" t="s">
        <v>72</v>
      </c>
      <c r="Q40" s="94" t="s">
        <v>77</v>
      </c>
      <c r="R40" s="94" t="s">
        <v>77</v>
      </c>
      <c r="S40" s="44">
        <v>45753</v>
      </c>
      <c r="T40" s="250">
        <v>46482</v>
      </c>
      <c r="U40" s="250">
        <v>46866</v>
      </c>
      <c r="V40" s="44">
        <v>46866</v>
      </c>
      <c r="W40" s="255">
        <f>Table1[[#This Row],[نهاية المشروع المعدلة PMO LIVE]]-Table1[[#This Row],[نهاية المشروع المعدلة EPPM]]</f>
        <v>0</v>
      </c>
      <c r="X40" s="255" t="s">
        <v>169</v>
      </c>
      <c r="Y40" s="250">
        <v>47051</v>
      </c>
      <c r="Z40" s="44">
        <f>_xlfn.XLOOKUP(Table1[[#This Row],[PO]],Table156101114[PO],Table156101114[[النهاية المتوقعة ]],0)</f>
        <v>47057</v>
      </c>
      <c r="AA40" s="719">
        <f>Table1[[#This Row],[النهاية طبقاً للتحديث الاسبوعي الحالي]]-Table1[[#This Row],[النهاية طبقاً للتحديث الاسبوعي السابق]]</f>
        <v>6</v>
      </c>
      <c r="AB40" s="522">
        <v>13440419.5</v>
      </c>
      <c r="AC40" s="109">
        <v>15456482.43</v>
      </c>
      <c r="AD40" s="258">
        <v>9.8500000000000004E-2</v>
      </c>
      <c r="AE40" s="258">
        <v>7.0000000000000007E-2</v>
      </c>
      <c r="AF40" s="45">
        <f>_xlfn.XLOOKUP(Table1[[#This Row],[PO]],Table156101114[PO],Table156101114[المخطط % 15 اكتوبر2026],0)</f>
        <v>0.1045</v>
      </c>
      <c r="AG40" s="45">
        <f>_xlfn.XLOOKUP(Table1[[#This Row],[PO]],Table156101114[PO],Table156101114[Act %],0)</f>
        <v>7.0000000000000007E-2</v>
      </c>
      <c r="AH40" s="630">
        <f>Table1[[#This Row],[المخطط % التراكمي]]-Table1[[#This Row],[المخطط % - الإسبوع السابق ]]</f>
        <v>5.9999999999999915E-3</v>
      </c>
      <c r="AI40" s="630">
        <f>Table1[[#This Row],[المنفذ % التراكمي]]-Table1[[#This Row],[المنفذ % - الإسبوع السابق]]</f>
        <v>0</v>
      </c>
      <c r="AJ40" s="46">
        <f>Table1[[#This Row],[المنفذ % التراكمي]]-Table1[[#This Row],[المخطط % التراكمي]]</f>
        <v>-3.4499999999999989E-2</v>
      </c>
      <c r="AK40" s="636"/>
      <c r="AL40" s="636"/>
      <c r="AM40" s="673"/>
      <c r="AN40" s="673"/>
      <c r="AO40" s="673"/>
      <c r="AP40" s="673"/>
      <c r="AQ40" s="107">
        <f>_xlfn.XLOOKUP(Table1[[#This Row],[PO]],Table156101114[PO],Table156101114[TF],0)</f>
        <v>-165</v>
      </c>
      <c r="AR40" s="276">
        <f>Table1[[#This Row],[نسبة الإنجاز المتبقية %]]/(Table1[[#This Row],[مدة المشروع المتبقية بالشهور]])</f>
        <v>5.0179856115107904E-2</v>
      </c>
      <c r="AS40" s="70">
        <v>0.12158999681921717</v>
      </c>
      <c r="AT40" s="70">
        <f>Table1[[#This Row],[نسبة المخطط التراكمي حتى 31 أكتوبر 2026]]-9.9%</f>
        <v>2.2589996819217167E-2</v>
      </c>
      <c r="AU40" s="446">
        <v>0</v>
      </c>
      <c r="AV40" s="70">
        <v>0</v>
      </c>
      <c r="AW40" s="449">
        <v>0</v>
      </c>
      <c r="AX40" s="440">
        <f>100%-Table1[[#This Row],[المنفذ % التراكمي]]</f>
        <v>0.92999999999999994</v>
      </c>
      <c r="AY40" s="440">
        <f>100%-Table1[[#This Row],[نسبة المدة المنقضية %]]</f>
        <v>0.49955076370170715</v>
      </c>
      <c r="AZ40" s="70">
        <f>_xlfn.XLOOKUP(Table1[[#This Row],[PO]],Table156101114[PO],Table156101114[المدة المنقضية],0)</f>
        <v>0.50044923629829285</v>
      </c>
      <c r="BA40" s="70" t="s">
        <v>122</v>
      </c>
      <c r="BB40" s="108" t="s">
        <v>122</v>
      </c>
      <c r="BC40" s="96">
        <f>_xlfn.XLOOKUP(Table1[[#This Row],[PO]],Table156101114[PO],Table156101114[SPI],0)</f>
        <v>0.66985645933014359</v>
      </c>
      <c r="BD40" s="359">
        <f>Table1[[#This Row],[نسبة المدة المنقضية %]]*Table1[[#This Row],[مدة المشروع الكلية بالشهور]]</f>
        <v>18.566666666666666</v>
      </c>
      <c r="BE40" s="360">
        <f>Table1[[#This Row],[نسبة المدة المتبقية %]]*Table1[[#This Row],[مدة المشروع الكلية بالشهور]]</f>
        <v>18.533333333333335</v>
      </c>
      <c r="BF40" s="360">
        <f>(Table1[[#This Row],[نهاية المشروع المعدلة PMO LIVE]]-Table1[[#This Row],[بداية المشروع التعاقدية]])</f>
        <v>1113</v>
      </c>
      <c r="BG40" s="361">
        <f>(Table1[[#This Row],[نهاية المشروع المعدلة PMO LIVE]]-Table1[[#This Row],[بداية المشروع التعاقدية]])/30</f>
        <v>37.1</v>
      </c>
      <c r="BH40" s="260">
        <f>1.25*Table1[[#This Row],[مدة المشروع بالايام]]</f>
        <v>1391.25</v>
      </c>
      <c r="BI40" s="621">
        <f>Table1[[#This Row],[125%من مدة المشروع]]+Table1[[#This Row],[بداية المشروع التعاقدية]]</f>
        <v>47144.25</v>
      </c>
      <c r="BJ40" s="651">
        <f>Table1[[#This Row],[قيمة المشروع بالضريبة]]*Table1[[#This Row],[المخطط % التراكمي]]</f>
        <v>1615202.4139349998</v>
      </c>
      <c r="BK40" s="270">
        <f>Table1[[#This Row],[قيمة المشروع بالضريبة]]*Table1[[#This Row],[المنفذ % التراكمي]]</f>
        <v>1081953.7701000001</v>
      </c>
      <c r="BL40" s="318">
        <f>Table1[[#This Row],[نسبة الإنجاز المتبقية %]]*Table1[[#This Row],[قيمة المشروع بالضريبة]]</f>
        <v>14374528.659899998</v>
      </c>
      <c r="BM40" s="318">
        <f>Table1[[#This Row],[نسبة الإيقاف%]]*Table1[[#This Row],[قيمة المشروع بالضريبة]]</f>
        <v>0</v>
      </c>
      <c r="BN40" s="319">
        <f>Table1[[#This Row],[Suspended Budget]]/Table1[[#This Row],[Remaining Budget]]</f>
        <v>0</v>
      </c>
      <c r="BQ40" s="903"/>
      <c r="BR40" s="904"/>
      <c r="BS40" s="904"/>
    </row>
    <row r="41" spans="1:71" s="322" customFormat="1" ht="30" hidden="1" customHeight="1">
      <c r="A41" s="79">
        <f>SUBTOTAL(3,$D$3:D41)</f>
        <v>1</v>
      </c>
      <c r="B41" s="85" t="s">
        <v>310</v>
      </c>
      <c r="C41" s="34" t="s">
        <v>280</v>
      </c>
      <c r="D41" s="48">
        <v>901250253</v>
      </c>
      <c r="E41" s="34" t="s">
        <v>276</v>
      </c>
      <c r="F41" s="34" t="s">
        <v>319</v>
      </c>
      <c r="G41" s="34" t="s">
        <v>266</v>
      </c>
      <c r="H41" s="34" t="s">
        <v>412</v>
      </c>
      <c r="I41" s="34" t="s">
        <v>241</v>
      </c>
      <c r="J41" s="34" t="s">
        <v>123</v>
      </c>
      <c r="K41" s="48" t="s">
        <v>116</v>
      </c>
      <c r="L41" s="48">
        <v>0</v>
      </c>
      <c r="M41" s="48" t="s">
        <v>259</v>
      </c>
      <c r="N41" s="594" t="s">
        <v>120</v>
      </c>
      <c r="O41" s="69">
        <v>0</v>
      </c>
      <c r="P41" s="34" t="s">
        <v>72</v>
      </c>
      <c r="Q41" s="94" t="s">
        <v>77</v>
      </c>
      <c r="R41" s="94" t="s">
        <v>77</v>
      </c>
      <c r="S41" s="49">
        <v>45981</v>
      </c>
      <c r="T41" s="249">
        <v>47076</v>
      </c>
      <c r="U41" s="249">
        <v>47307</v>
      </c>
      <c r="V41" s="49">
        <v>47307</v>
      </c>
      <c r="W41" s="254">
        <f>Table1[[#This Row],[نهاية المشروع المعدلة PMO LIVE]]-Table1[[#This Row],[نهاية المشروع المعدلة EPPM]]</f>
        <v>0</v>
      </c>
      <c r="X41" s="254" t="s">
        <v>169</v>
      </c>
      <c r="Y41" s="252">
        <v>47478</v>
      </c>
      <c r="Z41" s="49">
        <f>_xlfn.XLOOKUP(Table1[[#This Row],[PO]],Table156101114[PO],Table156101114[[النهاية المتوقعة ]],0)</f>
        <v>47485</v>
      </c>
      <c r="AA41" s="716">
        <f>Table1[[#This Row],[النهاية طبقاً للتحديث الاسبوعي الحالي]]-Table1[[#This Row],[النهاية طبقاً للتحديث الاسبوعي السابق]]</f>
        <v>7</v>
      </c>
      <c r="AB41" s="523">
        <v>59439100</v>
      </c>
      <c r="AC41" s="110">
        <v>68354965</v>
      </c>
      <c r="AD41" s="257">
        <v>3.5099999999999999E-2</v>
      </c>
      <c r="AE41" s="257">
        <v>1.34E-2</v>
      </c>
      <c r="AF41" s="81">
        <f>_xlfn.XLOOKUP(Table1[[#This Row],[PO]],Table156101114[PO],Table156101114[المخطط % 15 اكتوبر2026],0)</f>
        <v>3.6499999999999998E-2</v>
      </c>
      <c r="AG41" s="81">
        <f>_xlfn.XLOOKUP(Table1[[#This Row],[PO]],Table156101114[PO],Table156101114[Act %],0)</f>
        <v>1.4E-2</v>
      </c>
      <c r="AH41" s="627">
        <f>Table1[[#This Row],[المخطط % التراكمي]]-Table1[[#This Row],[المخطط % - الإسبوع السابق ]]</f>
        <v>1.3999999999999985E-3</v>
      </c>
      <c r="AI41" s="630">
        <f>Table1[[#This Row],[المنفذ % التراكمي]]-Table1[[#This Row],[المنفذ % - الإسبوع السابق]]</f>
        <v>5.9999999999999984E-4</v>
      </c>
      <c r="AJ41" s="102">
        <f>Table1[[#This Row],[المنفذ % التراكمي]]-Table1[[#This Row],[المخطط % التراكمي]]</f>
        <v>-2.2499999999999999E-2</v>
      </c>
      <c r="AK41" s="634"/>
      <c r="AL41" s="634"/>
      <c r="AM41" s="674"/>
      <c r="AN41" s="674"/>
      <c r="AO41" s="674"/>
      <c r="AP41" s="674"/>
      <c r="AQ41" s="103">
        <f>_xlfn.XLOOKUP(Table1[[#This Row],[PO]],Table156101114[PO],Table156101114[TF],0)</f>
        <v>-153</v>
      </c>
      <c r="AR41" s="277">
        <f>Table1[[#This Row],[نسبة الإنجاز المتبقية %]]/(Table1[[#This Row],[مدة المشروع المتبقية بالشهور]])</f>
        <v>2.9669007021063187E-2</v>
      </c>
      <c r="AS41" s="69">
        <v>3.9389495311803004E-2</v>
      </c>
      <c r="AT41" s="69">
        <v>0</v>
      </c>
      <c r="AU41" s="445">
        <v>0</v>
      </c>
      <c r="AV41" s="69">
        <v>0</v>
      </c>
      <c r="AW41" s="448">
        <v>0</v>
      </c>
      <c r="AX41" s="439">
        <f>100%-Table1[[#This Row],[المنفذ % التراكمي]]</f>
        <v>0.98599999999999999</v>
      </c>
      <c r="AY41" s="439">
        <f>100%-Table1[[#This Row],[نسبة المدة المنقضية %]]</f>
        <v>0.75188536953242835</v>
      </c>
      <c r="AZ41" s="69">
        <f>_xlfn.XLOOKUP(Table1[[#This Row],[PO]],Table156101114[PO],Table156101114[المدة المنقضية],0)</f>
        <v>0.24811463046757165</v>
      </c>
      <c r="BA41" s="69" t="s">
        <v>122</v>
      </c>
      <c r="BB41" s="105" t="s">
        <v>122</v>
      </c>
      <c r="BC41" s="95">
        <f>_xlfn.XLOOKUP(Table1[[#This Row],[PO]],Table156101114[PO],Table156101114[SPI],0)</f>
        <v>0.38356164383561647</v>
      </c>
      <c r="BD41" s="359">
        <f>Table1[[#This Row],[نسبة المدة المنقضية %]]*Table1[[#This Row],[مدة المشروع الكلية بالشهور]]</f>
        <v>10.966666666666667</v>
      </c>
      <c r="BE41" s="360">
        <f>Table1[[#This Row],[نسبة المدة المتبقية %]]*Table1[[#This Row],[مدة المشروع الكلية بالشهور]]</f>
        <v>33.233333333333334</v>
      </c>
      <c r="BF41" s="360">
        <f>(Table1[[#This Row],[نهاية المشروع المعدلة PMO LIVE]]-Table1[[#This Row],[بداية المشروع التعاقدية]])</f>
        <v>1326</v>
      </c>
      <c r="BG41" s="361">
        <f>(Table1[[#This Row],[نهاية المشروع المعدلة PMO LIVE]]-Table1[[#This Row],[بداية المشروع التعاقدية]])/30</f>
        <v>44.2</v>
      </c>
      <c r="BH41" s="260">
        <f>1.25*Table1[[#This Row],[مدة المشروع بالايام]]</f>
        <v>1657.5</v>
      </c>
      <c r="BI41" s="495">
        <f>Table1[[#This Row],[125%من مدة المشروع]]+Table1[[#This Row],[بداية المشروع التعاقدية]]</f>
        <v>47638.5</v>
      </c>
      <c r="BJ41" s="651">
        <f>Table1[[#This Row],[قيمة المشروع بالضريبة]]*Table1[[#This Row],[المخطط % التراكمي]]</f>
        <v>2494956.2224999997</v>
      </c>
      <c r="BK41" s="270">
        <f>Table1[[#This Row],[قيمة المشروع بالضريبة]]*Table1[[#This Row],[المنفذ % التراكمي]]</f>
        <v>956969.51</v>
      </c>
      <c r="BL41" s="318">
        <f>Table1[[#This Row],[نسبة الإنجاز المتبقية %]]*Table1[[#This Row],[قيمة المشروع بالضريبة]]</f>
        <v>67397995.489999995</v>
      </c>
      <c r="BM41" s="318">
        <f>Table1[[#This Row],[نسبة الإيقاف%]]*Table1[[#This Row],[قيمة المشروع بالضريبة]]</f>
        <v>0</v>
      </c>
      <c r="BN41" s="319">
        <f>Table1[[#This Row],[Suspended Budget]]/Table1[[#This Row],[Remaining Budget]]</f>
        <v>0</v>
      </c>
      <c r="BQ41" s="903"/>
      <c r="BR41" s="904"/>
      <c r="BS41" s="904"/>
    </row>
    <row r="42" spans="1:71" ht="30" hidden="1" customHeight="1">
      <c r="A42" s="79">
        <f>SUBTOTAL(3,$D$3:D42)</f>
        <v>1</v>
      </c>
      <c r="B42" s="485" t="s">
        <v>519</v>
      </c>
      <c r="C42" s="143" t="s">
        <v>518</v>
      </c>
      <c r="D42" s="144">
        <v>901250461</v>
      </c>
      <c r="E42" s="143" t="s">
        <v>516</v>
      </c>
      <c r="F42" s="143" t="s">
        <v>320</v>
      </c>
      <c r="G42" s="143" t="s">
        <v>266</v>
      </c>
      <c r="H42" s="143" t="s">
        <v>167</v>
      </c>
      <c r="I42" s="143" t="s">
        <v>273</v>
      </c>
      <c r="J42" s="143" t="s">
        <v>123</v>
      </c>
      <c r="K42" s="144" t="s">
        <v>116</v>
      </c>
      <c r="L42" s="144">
        <v>0</v>
      </c>
      <c r="M42" s="144" t="s">
        <v>259</v>
      </c>
      <c r="N42" s="595" t="s">
        <v>120</v>
      </c>
      <c r="O42" s="149">
        <v>0</v>
      </c>
      <c r="P42" s="143" t="s">
        <v>72</v>
      </c>
      <c r="Q42" s="94" t="s">
        <v>77</v>
      </c>
      <c r="R42" s="94" t="s">
        <v>77</v>
      </c>
      <c r="S42" s="145">
        <v>46097</v>
      </c>
      <c r="T42" s="251">
        <v>46827</v>
      </c>
      <c r="U42" s="251">
        <v>46961</v>
      </c>
      <c r="V42" s="145">
        <v>46961</v>
      </c>
      <c r="W42" s="256">
        <f>Table1[[#This Row],[نهاية المشروع المعدلة PMO LIVE]]-Table1[[#This Row],[نهاية المشروع المعدلة EPPM]]</f>
        <v>0</v>
      </c>
      <c r="X42" s="256" t="s">
        <v>169</v>
      </c>
      <c r="Y42" s="622">
        <v>47082</v>
      </c>
      <c r="Z42" s="145">
        <f>_xlfn.XLOOKUP(Table1[[#This Row],[PO]],Table156101114[PO],Table156101114[[النهاية المتوقعة ]],0)</f>
        <v>47089</v>
      </c>
      <c r="AA42" s="724">
        <f>Table1[[#This Row],[النهاية طبقاً للتحديث الاسبوعي الحالي]]-Table1[[#This Row],[النهاية طبقاً للتحديث الاسبوعي السابق]]</f>
        <v>7</v>
      </c>
      <c r="AB42" s="526">
        <v>18949999</v>
      </c>
      <c r="AC42" s="146">
        <v>21792498.850000001</v>
      </c>
      <c r="AD42" s="259">
        <v>5.3999999999999999E-2</v>
      </c>
      <c r="AE42" s="259">
        <v>1.3599999999999999E-2</v>
      </c>
      <c r="AF42" s="623">
        <f>_xlfn.XLOOKUP(Table1[[#This Row],[PO]],Table156101114[PO],Table156101114[المخطط % 15 اكتوبر2026],0)</f>
        <v>5.4399999999999997E-2</v>
      </c>
      <c r="AG42" s="623">
        <f>_xlfn.XLOOKUP(Table1[[#This Row],[PO]],Table156101114[PO],Table156101114[Act %],0)</f>
        <v>1.3599999999999999E-2</v>
      </c>
      <c r="AH42" s="641">
        <f>Table1[[#This Row],[المخطط % التراكمي]]-Table1[[#This Row],[المخطط % - الإسبوع السابق ]]</f>
        <v>3.9999999999999758E-4</v>
      </c>
      <c r="AI42" s="633">
        <f>Table1[[#This Row],[المنفذ % التراكمي]]-Table1[[#This Row],[المنفذ % - الإسبوع السابق]]</f>
        <v>0</v>
      </c>
      <c r="AJ42" s="624">
        <f>Table1[[#This Row],[المنفذ % التراكمي]]-Table1[[#This Row],[المخطط % التراكمي]]</f>
        <v>-4.0799999999999996E-2</v>
      </c>
      <c r="AK42" s="640"/>
      <c r="AL42" s="640"/>
      <c r="AM42" s="678"/>
      <c r="AN42" s="678"/>
      <c r="AO42" s="678"/>
      <c r="AP42" s="678"/>
      <c r="AQ42" s="148">
        <f>_xlfn.XLOOKUP(Table1[[#This Row],[PO]],Table156101114[PO],Table156101114[TF],0)</f>
        <v>-108</v>
      </c>
      <c r="AR42" s="278">
        <f>Table1[[#This Row],[نسبة الإنجاز المتبقية %]]/(Table1[[#This Row],[مدة المشروع المتبقية بالشهور]])</f>
        <v>4.5456221198156684E-2</v>
      </c>
      <c r="AS42" s="149">
        <v>5.8637047949184583E-2</v>
      </c>
      <c r="AT42" s="149">
        <v>0</v>
      </c>
      <c r="AU42" s="493">
        <v>0</v>
      </c>
      <c r="AV42" s="149">
        <v>0</v>
      </c>
      <c r="AW42" s="494">
        <v>0</v>
      </c>
      <c r="AX42" s="442">
        <f>100%-Table1[[#This Row],[المنفذ % التراكمي]]</f>
        <v>0.98640000000000005</v>
      </c>
      <c r="AY42" s="442">
        <f>100%-Table1[[#This Row],[نسبة المدة المنقضية %]]</f>
        <v>0.75347222222222221</v>
      </c>
      <c r="AZ42" s="149">
        <f>_xlfn.XLOOKUP(Table1[[#This Row],[PO]],Table156101114[PO],Table156101114[المدة المنقضية],0)</f>
        <v>0.24652777777777779</v>
      </c>
      <c r="BA42" s="149" t="s">
        <v>122</v>
      </c>
      <c r="BB42" s="150" t="s">
        <v>122</v>
      </c>
      <c r="BC42" s="151">
        <f>_xlfn.XLOOKUP(Table1[[#This Row],[PO]],Table156101114[PO],Table156101114[SPI],0)</f>
        <v>0.25</v>
      </c>
      <c r="BD42" s="362">
        <f>Table1[[#This Row],[نسبة المدة المنقضية %]]*Table1[[#This Row],[مدة المشروع الكلية بالشهور]]</f>
        <v>7.1000000000000005</v>
      </c>
      <c r="BE42" s="363">
        <f>Table1[[#This Row],[نسبة المدة المتبقية %]]*Table1[[#This Row],[مدة المشروع الكلية بالشهور]]</f>
        <v>21.7</v>
      </c>
      <c r="BF42" s="363">
        <f>(Table1[[#This Row],[نهاية المشروع المعدلة PMO LIVE]]-Table1[[#This Row],[بداية المشروع التعاقدية]])</f>
        <v>864</v>
      </c>
      <c r="BG42" s="364">
        <f>(Table1[[#This Row],[نهاية المشروع المعدلة PMO LIVE]]-Table1[[#This Row],[بداية المشروع التعاقدية]])/30</f>
        <v>28.8</v>
      </c>
      <c r="BH42" s="262">
        <f>1.25*Table1[[#This Row],[مدة المشروع بالايام]]</f>
        <v>1080</v>
      </c>
      <c r="BI42" s="561">
        <f>Table1[[#This Row],[125%من مدة المشروع]]+Table1[[#This Row],[بداية المشروع التعاقدية]]</f>
        <v>47177</v>
      </c>
      <c r="BJ42" s="898">
        <f>Table1[[#This Row],[قيمة المشروع بالضريبة]]*Table1[[#This Row],[المخطط % التراكمي]]</f>
        <v>1185511.93744</v>
      </c>
      <c r="BK42" s="900">
        <f>Table1[[#This Row],[قيمة المشروع بالضريبة]]*Table1[[#This Row],[المنفذ % التراكمي]]</f>
        <v>296377.98436</v>
      </c>
      <c r="BL42" s="548">
        <f>Table1[[#This Row],[نسبة الإنجاز المتبقية %]]*Table1[[#This Row],[قيمة المشروع بالضريبة]]</f>
        <v>21496120.865640003</v>
      </c>
      <c r="BM42" s="548">
        <f>Table1[[#This Row],[نسبة الإيقاف%]]*Table1[[#This Row],[قيمة المشروع بالضريبة]]</f>
        <v>0</v>
      </c>
      <c r="BN42" s="549">
        <f>Table1[[#This Row],[Suspended Budget]]/Table1[[#This Row],[Remaining Budget]]</f>
        <v>0</v>
      </c>
      <c r="BQ42" s="903"/>
      <c r="BR42" s="904"/>
      <c r="BS42" s="904"/>
    </row>
    <row r="43" spans="1:71" s="322" customFormat="1" ht="30" hidden="1" customHeight="1">
      <c r="A43" s="80">
        <f>SUBTOTAL(3,$D$3:D43)</f>
        <v>1</v>
      </c>
      <c r="B43" s="83" t="s">
        <v>296</v>
      </c>
      <c r="C43" s="43" t="s">
        <v>196</v>
      </c>
      <c r="D43" s="42">
        <v>901240144</v>
      </c>
      <c r="E43" s="43" t="s">
        <v>5</v>
      </c>
      <c r="F43" s="43" t="s">
        <v>320</v>
      </c>
      <c r="G43" s="43" t="s">
        <v>164</v>
      </c>
      <c r="H43" s="43" t="s">
        <v>264</v>
      </c>
      <c r="I43" s="43" t="s">
        <v>21</v>
      </c>
      <c r="J43" s="43" t="s">
        <v>123</v>
      </c>
      <c r="K43" s="42" t="s">
        <v>136</v>
      </c>
      <c r="L43" s="42">
        <v>7</v>
      </c>
      <c r="M43" s="42" t="s">
        <v>259</v>
      </c>
      <c r="N43" s="593" t="s">
        <v>120</v>
      </c>
      <c r="O43" s="70">
        <v>0</v>
      </c>
      <c r="P43" s="43" t="s">
        <v>72</v>
      </c>
      <c r="Q43" s="94" t="s">
        <v>77</v>
      </c>
      <c r="R43" s="94" t="s">
        <v>77</v>
      </c>
      <c r="S43" s="44">
        <v>45559</v>
      </c>
      <c r="T43" s="250">
        <v>46288</v>
      </c>
      <c r="U43" s="250">
        <v>46734</v>
      </c>
      <c r="V43" s="44">
        <v>46734</v>
      </c>
      <c r="W43" s="255">
        <f>Table1[[#This Row],[نهاية المشروع المعدلة PMO LIVE]]-Table1[[#This Row],[نهاية المشروع المعدلة EPPM]]</f>
        <v>0</v>
      </c>
      <c r="X43" s="255" t="s">
        <v>169</v>
      </c>
      <c r="Y43" s="250">
        <v>46917</v>
      </c>
      <c r="Z43" s="44">
        <f>_xlfn.XLOOKUP(Table1[[#This Row],[PO]],Table156101114[PO],Table156101114[[النهاية المتوقعة ]],0)</f>
        <v>46932</v>
      </c>
      <c r="AA43" s="719">
        <f>Table1[[#This Row],[النهاية طبقاً للتحديث الاسبوعي الحالي]]-Table1[[#This Row],[النهاية طبقاً للتحديث الاسبوعي السابق]]</f>
        <v>15</v>
      </c>
      <c r="AB43" s="522">
        <v>21729710</v>
      </c>
      <c r="AC43" s="109">
        <v>24989166.5</v>
      </c>
      <c r="AD43" s="258">
        <v>0.52749999999999997</v>
      </c>
      <c r="AE43" s="258">
        <v>0.48099999999999998</v>
      </c>
      <c r="AF43" s="45">
        <f>_xlfn.XLOOKUP(Table1[[#This Row],[PO]],Table156101114[PO],Table156101114[المخطط % 15 اكتوبر2026],0)</f>
        <v>0.52929999999999999</v>
      </c>
      <c r="AG43" s="45">
        <f>_xlfn.XLOOKUP(Table1[[#This Row],[PO]],Table156101114[PO],Table156101114[Act %],0)</f>
        <v>0.48099999999999998</v>
      </c>
      <c r="AH43" s="629">
        <f>Table1[[#This Row],[المخطط % التراكمي]]-Table1[[#This Row],[المخطط % - الإسبوع السابق ]]</f>
        <v>1.8000000000000238E-3</v>
      </c>
      <c r="AI43" s="629">
        <f>Table1[[#This Row],[المنفذ % التراكمي]]-Table1[[#This Row],[المنفذ % - الإسبوع السابق]]</f>
        <v>0</v>
      </c>
      <c r="AJ43" s="51">
        <f>Table1[[#This Row],[المنفذ % التراكمي]]-Table1[[#This Row],[المخطط % التراكمي]]</f>
        <v>-4.830000000000001E-2</v>
      </c>
      <c r="AK43" s="636"/>
      <c r="AL43" s="636"/>
      <c r="AM43" s="673"/>
      <c r="AN43" s="673"/>
      <c r="AO43" s="673"/>
      <c r="AP43" s="673"/>
      <c r="AQ43" s="107">
        <f>_xlfn.XLOOKUP(Table1[[#This Row],[PO]],Table156101114[PO],Table156101114[TF],0)</f>
        <v>-166</v>
      </c>
      <c r="AR43" s="276">
        <f>Table1[[#This Row],[نسبة الإنجاز المتبقية %]]/(Table1[[#This Row],[مدة المشروع المتبقية بالشهور]])</f>
        <v>3.6690445604175038E-2</v>
      </c>
      <c r="AS43" s="70">
        <v>0.53428418879037043</v>
      </c>
      <c r="AT43" s="70">
        <f>Table1[[#This Row],[نسبة المخطط التراكمي حتى 31 أكتوبر 2026]]-9.9%</f>
        <v>0.43528418879037045</v>
      </c>
      <c r="AU43" s="446">
        <v>0</v>
      </c>
      <c r="AV43" s="70">
        <f>Table1[[#This Row],[نسبة المخطط التراكمي حتى 31 أكتوبر 2026]]-24.9%</f>
        <v>0.28528418879037043</v>
      </c>
      <c r="AW43" s="449">
        <v>0</v>
      </c>
      <c r="AX43" s="440">
        <f>100%-Table1[[#This Row],[المنفذ % التراكمي]]</f>
        <v>0.51900000000000002</v>
      </c>
      <c r="AY43" s="440">
        <f>100%-Table1[[#This Row],[نسبة المدة المنقضية %]]</f>
        <v>0.36115843270868819</v>
      </c>
      <c r="AZ43" s="70">
        <f>_xlfn.XLOOKUP(Table1[[#This Row],[PO]],Table156101114[PO],Table156101114[المدة المنقضية],0)</f>
        <v>0.63884156729131181</v>
      </c>
      <c r="BA43" s="70" t="s">
        <v>122</v>
      </c>
      <c r="BB43" s="108" t="s">
        <v>122</v>
      </c>
      <c r="BC43" s="96">
        <f>_xlfn.XLOOKUP(Table1[[#This Row],[PO]],Table156101114[PO],Table156101114[SPI],0)</f>
        <v>0.90874740222935946</v>
      </c>
      <c r="BD43" s="359">
        <f>Table1[[#This Row],[نسبة المدة المنقضية %]]*Table1[[#This Row],[مدة المشروع الكلية بالشهور]]</f>
        <v>25.021294718909711</v>
      </c>
      <c r="BE43" s="360">
        <f>Table1[[#This Row],[نسبة المدة المتبقية %]]*Table1[[#This Row],[مدة المشروع الكلية بالشهور]]</f>
        <v>14.145371947756953</v>
      </c>
      <c r="BF43" s="360">
        <f>(Table1[[#This Row],[نهاية المشروع المعدلة PMO LIVE]]-Table1[[#This Row],[بداية المشروع التعاقدية]])</f>
        <v>1175</v>
      </c>
      <c r="BG43" s="361">
        <f>(Table1[[#This Row],[نهاية المشروع المعدلة PMO LIVE]]-Table1[[#This Row],[بداية المشروع التعاقدية]])/30</f>
        <v>39.166666666666664</v>
      </c>
      <c r="BH43" s="260">
        <f>1.25*Table1[[#This Row],[مدة المشروع بالايام]]</f>
        <v>1468.75</v>
      </c>
      <c r="BI43" s="621">
        <f>Table1[[#This Row],[125%من مدة المشروع]]+Table1[[#This Row],[بداية المشروع التعاقدية]]</f>
        <v>47027.75</v>
      </c>
      <c r="BJ43" s="648">
        <f>Table1[[#This Row],[قيمة المشروع بالضريبة]]*Table1[[#This Row],[المخطط % التراكمي]]</f>
        <v>13226765.82845</v>
      </c>
      <c r="BK43" s="269">
        <f>Table1[[#This Row],[قيمة المشروع بالضريبة]]*Table1[[#This Row],[المنفذ % التراكمي]]</f>
        <v>12019789.0865</v>
      </c>
      <c r="BL43" s="316">
        <f>Table1[[#This Row],[نسبة الإنجاز المتبقية %]]*Table1[[#This Row],[قيمة المشروع بالضريبة]]</f>
        <v>12969377.4135</v>
      </c>
      <c r="BM43" s="316">
        <f>Table1[[#This Row],[نسبة الإيقاف%]]*Table1[[#This Row],[قيمة المشروع بالضريبة]]</f>
        <v>0</v>
      </c>
      <c r="BN43" s="317">
        <f>Table1[[#This Row],[Suspended Budget]]/Table1[[#This Row],[Remaining Budget]]</f>
        <v>0</v>
      </c>
      <c r="BQ43" s="903"/>
      <c r="BR43" s="904"/>
      <c r="BS43" s="904"/>
    </row>
    <row r="44" spans="1:71" ht="30" hidden="1" customHeight="1">
      <c r="A44" s="552">
        <f>SUBTOTAL(3,$D$3:D44)</f>
        <v>1</v>
      </c>
      <c r="B44" s="485" t="s">
        <v>303</v>
      </c>
      <c r="C44" s="143" t="s">
        <v>224</v>
      </c>
      <c r="D44" s="144">
        <v>901240018</v>
      </c>
      <c r="E44" s="143" t="s">
        <v>52</v>
      </c>
      <c r="F44" s="143" t="s">
        <v>319</v>
      </c>
      <c r="G44" s="143" t="s">
        <v>266</v>
      </c>
      <c r="H44" s="143" t="s">
        <v>268</v>
      </c>
      <c r="I44" s="143" t="s">
        <v>28</v>
      </c>
      <c r="J44" s="143" t="s">
        <v>123</v>
      </c>
      <c r="K44" s="144" t="s">
        <v>116</v>
      </c>
      <c r="L44" s="144">
        <v>0</v>
      </c>
      <c r="M44" s="144" t="s">
        <v>259</v>
      </c>
      <c r="N44" s="595" t="s">
        <v>121</v>
      </c>
      <c r="O44" s="149">
        <v>0</v>
      </c>
      <c r="P44" s="143" t="s">
        <v>72</v>
      </c>
      <c r="Q44" s="94" t="s">
        <v>77</v>
      </c>
      <c r="R44" s="94" t="s">
        <v>77</v>
      </c>
      <c r="S44" s="145">
        <v>45431</v>
      </c>
      <c r="T44" s="251">
        <v>46526</v>
      </c>
      <c r="U44" s="251">
        <v>47029</v>
      </c>
      <c r="V44" s="145">
        <v>47029</v>
      </c>
      <c r="W44" s="256">
        <f>Table1[[#This Row],[نهاية المشروع المعدلة PMO LIVE]]-Table1[[#This Row],[نهاية المشروع المعدلة EPPM]]</f>
        <v>0</v>
      </c>
      <c r="X44" s="256" t="s">
        <v>169</v>
      </c>
      <c r="Y44" s="251">
        <v>47216</v>
      </c>
      <c r="Z44" s="145">
        <f>_xlfn.XLOOKUP(Table1[[#This Row],[PO]],Table156101114[PO],Table156101114[[النهاية المتوقعة ]],0)</f>
        <v>47222</v>
      </c>
      <c r="AA44" s="724">
        <f>Table1[[#This Row],[النهاية طبقاً للتحديث الاسبوعي الحالي]]-Table1[[#This Row],[النهاية طبقاً للتحديث الاسبوعي السابق]]</f>
        <v>6</v>
      </c>
      <c r="AB44" s="526">
        <v>72961730</v>
      </c>
      <c r="AC44" s="146">
        <v>83905989.5</v>
      </c>
      <c r="AD44" s="259">
        <v>0.25480000000000003</v>
      </c>
      <c r="AE44" s="259">
        <v>0.215</v>
      </c>
      <c r="AF44" s="147">
        <f>_xlfn.XLOOKUP(Table1[[#This Row],[PO]],Table156101114[PO],Table156101114[المخطط % 15 اكتوبر2026],0)</f>
        <v>0.25640000000000002</v>
      </c>
      <c r="AG44" s="147">
        <f>_xlfn.XLOOKUP(Table1[[#This Row],[PO]],Table156101114[PO],Table156101114[Act %],0)</f>
        <v>0.21709999999999999</v>
      </c>
      <c r="AH44" s="633">
        <f>Table1[[#This Row],[المخطط % التراكمي]]-Table1[[#This Row],[المخطط % - الإسبوع السابق ]]</f>
        <v>1.5999999999999903E-3</v>
      </c>
      <c r="AI44" s="633">
        <f>Table1[[#This Row],[المنفذ % التراكمي]]-Table1[[#This Row],[المنفذ % - الإسبوع السابق]]</f>
        <v>2.0999999999999908E-3</v>
      </c>
      <c r="AJ44" s="551">
        <f>Table1[[#This Row],[المنفذ % التراكمي]]-Table1[[#This Row],[المخطط % التراكمي]]</f>
        <v>-3.9300000000000029E-2</v>
      </c>
      <c r="AK44" s="640"/>
      <c r="AL44" s="640"/>
      <c r="AM44" s="678"/>
      <c r="AN44" s="678"/>
      <c r="AO44" s="678"/>
      <c r="AP44" s="678"/>
      <c r="AQ44" s="148">
        <f>_xlfn.XLOOKUP(Table1[[#This Row],[PO]],Table156101114[PO],Table156101114[TF],0)</f>
        <v>-165</v>
      </c>
      <c r="AR44" s="278">
        <f>Table1[[#This Row],[نسبة الإنجاز المتبقية %]]/(Table1[[#This Row],[مدة المشروع المتبقية بالشهور]])</f>
        <v>3.266620305980529E-2</v>
      </c>
      <c r="AS44" s="149">
        <v>0.25342551084348797</v>
      </c>
      <c r="AT44" s="149">
        <f>Table1[[#This Row],[نسبة المخطط التراكمي حتى 31 أكتوبر 2026]]-9.9%</f>
        <v>0.15442551084348796</v>
      </c>
      <c r="AU44" s="493">
        <v>0</v>
      </c>
      <c r="AV44" s="149">
        <f>Table1[[#This Row],[نسبة المخطط التراكمي حتى 31 أكتوبر 2026]]-24.9%</f>
        <v>4.4255108434879675E-3</v>
      </c>
      <c r="AW44" s="494">
        <v>0</v>
      </c>
      <c r="AX44" s="442">
        <f>100%-Table1[[#This Row],[المنفذ % التراكمي]]</f>
        <v>0.78290000000000004</v>
      </c>
      <c r="AY44" s="442">
        <f>100%-Table1[[#This Row],[نسبة المدة المنقضية %]]</f>
        <v>0.44993742177722151</v>
      </c>
      <c r="AZ44" s="149">
        <f>_xlfn.XLOOKUP(Table1[[#This Row],[PO]],Table156101114[PO],Table156101114[المدة المنقضية],0)</f>
        <v>0.55006257822277849</v>
      </c>
      <c r="BA44" s="149" t="s">
        <v>122</v>
      </c>
      <c r="BB44" s="150" t="s">
        <v>122</v>
      </c>
      <c r="BC44" s="151">
        <f>_xlfn.XLOOKUP(Table1[[#This Row],[PO]],Table156101114[PO],Table156101114[SPI],0)</f>
        <v>0.84672386895475804</v>
      </c>
      <c r="BD44" s="362">
        <f>Table1[[#This Row],[نسبة المدة المنقضية %]]*Table1[[#This Row],[مدة المشروع الكلية بالشهور]]</f>
        <v>29.3</v>
      </c>
      <c r="BE44" s="363">
        <f>Table1[[#This Row],[نسبة المدة المتبقية %]]*Table1[[#This Row],[مدة المشروع الكلية بالشهور]]</f>
        <v>23.966666666666665</v>
      </c>
      <c r="BF44" s="363">
        <f>(Table1[[#This Row],[نهاية المشروع المعدلة PMO LIVE]]-Table1[[#This Row],[بداية المشروع التعاقدية]])</f>
        <v>1598</v>
      </c>
      <c r="BG44" s="364">
        <f>(Table1[[#This Row],[نهاية المشروع المعدلة PMO LIVE]]-Table1[[#This Row],[بداية المشروع التعاقدية]])/30</f>
        <v>53.266666666666666</v>
      </c>
      <c r="BH44" s="262">
        <f>1.25*Table1[[#This Row],[مدة المشروع بالايام]]</f>
        <v>1997.5</v>
      </c>
      <c r="BI44" s="561">
        <f>Table1[[#This Row],[125%من مدة المشروع]]+Table1[[#This Row],[بداية المشروع التعاقدية]]</f>
        <v>47428.5</v>
      </c>
      <c r="BJ44" s="654">
        <f>Table1[[#This Row],[قيمة المشروع بالضريبة]]*Table1[[#This Row],[المخطط % التراكمي]]</f>
        <v>21513495.707800001</v>
      </c>
      <c r="BK44" s="272">
        <f>Table1[[#This Row],[قيمة المشروع بالضريبة]]*Table1[[#This Row],[المنفذ % التراكمي]]</f>
        <v>18215990.32045</v>
      </c>
      <c r="BL44" s="316">
        <f>Table1[[#This Row],[نسبة الإنجاز المتبقية %]]*Table1[[#This Row],[قيمة المشروع بالضريبة]]</f>
        <v>65689999.179550007</v>
      </c>
      <c r="BM44" s="316">
        <f>Table1[[#This Row],[نسبة الإيقاف%]]*Table1[[#This Row],[قيمة المشروع بالضريبة]]</f>
        <v>0</v>
      </c>
      <c r="BN44" s="317">
        <f>Table1[[#This Row],[Suspended Budget]]/Table1[[#This Row],[Remaining Budget]]</f>
        <v>0</v>
      </c>
      <c r="BQ44" s="903"/>
      <c r="BR44" s="904"/>
      <c r="BS44" s="904"/>
    </row>
    <row r="45" spans="1:71" s="322" customFormat="1" ht="30" hidden="1" customHeight="1" thickBot="1">
      <c r="A45" s="292">
        <f>SUBTOTAL(3,$D$3:D45)</f>
        <v>1</v>
      </c>
      <c r="B45" s="281">
        <v>10280</v>
      </c>
      <c r="C45" s="282" t="s">
        <v>202</v>
      </c>
      <c r="D45" s="283">
        <v>901240095</v>
      </c>
      <c r="E45" s="282" t="s">
        <v>58</v>
      </c>
      <c r="F45" s="282" t="s">
        <v>319</v>
      </c>
      <c r="G45" s="664" t="s">
        <v>164</v>
      </c>
      <c r="H45" s="665" t="s">
        <v>265</v>
      </c>
      <c r="I45" s="282" t="s">
        <v>31</v>
      </c>
      <c r="J45" s="282" t="s">
        <v>123</v>
      </c>
      <c r="K45" s="283" t="s">
        <v>116</v>
      </c>
      <c r="L45" s="283">
        <v>9</v>
      </c>
      <c r="M45" s="283" t="s">
        <v>259</v>
      </c>
      <c r="N45" s="596" t="s">
        <v>121</v>
      </c>
      <c r="O45" s="208">
        <v>0.1908</v>
      </c>
      <c r="P45" s="282" t="s">
        <v>366</v>
      </c>
      <c r="Q45" s="94" t="s">
        <v>77</v>
      </c>
      <c r="R45" s="94" t="s">
        <v>77</v>
      </c>
      <c r="S45" s="284">
        <v>45526</v>
      </c>
      <c r="T45" s="285">
        <v>46256</v>
      </c>
      <c r="U45" s="285">
        <v>46694</v>
      </c>
      <c r="V45" s="284">
        <v>46694</v>
      </c>
      <c r="W45" s="286">
        <f>Table1[[#This Row],[نهاية المشروع المعدلة PMO LIVE]]-Table1[[#This Row],[نهاية المشروع المعدلة EPPM]]</f>
        <v>0</v>
      </c>
      <c r="X45" s="286" t="s">
        <v>169</v>
      </c>
      <c r="Y45" s="285">
        <v>46881</v>
      </c>
      <c r="Z45" s="284">
        <f>_xlfn.XLOOKUP(Table1[[#This Row],[PO]],Table156101114[PO],Table156101114[[النهاية المتوقعة ]],0)</f>
        <v>46888</v>
      </c>
      <c r="AA45" s="723">
        <f>Table1[[#This Row],[النهاية طبقاً للتحديث الاسبوعي الحالي]]-Table1[[#This Row],[النهاية طبقاً للتحديث الاسبوعي السابق]]</f>
        <v>7</v>
      </c>
      <c r="AB45" s="527">
        <v>25593675.789999999</v>
      </c>
      <c r="AC45" s="287">
        <v>29432727.16</v>
      </c>
      <c r="AD45" s="288">
        <v>0.27060000000000001</v>
      </c>
      <c r="AE45" s="288">
        <v>0.18959999999999999</v>
      </c>
      <c r="AF45" s="546">
        <f>_xlfn.XLOOKUP(Table1[[#This Row],[PO]],Table156101114[PO],Table156101114[المخطط % 15 اكتوبر2026],0)</f>
        <v>0.2722</v>
      </c>
      <c r="AG45" s="546">
        <f>_xlfn.XLOOKUP(Table1[[#This Row],[PO]],Table156101114[PO],Table156101114[Act %],0)</f>
        <v>0.18959999999999999</v>
      </c>
      <c r="AH45" s="633">
        <f>Table1[[#This Row],[المخطط % التراكمي]]-Table1[[#This Row],[المخطط % - الإسبوع السابق ]]</f>
        <v>1.5999999999999903E-3</v>
      </c>
      <c r="AI45" s="633">
        <f>Table1[[#This Row],[المنفذ % التراكمي]]-Table1[[#This Row],[المنفذ % - الإسبوع السابق]]</f>
        <v>0</v>
      </c>
      <c r="AJ45" s="554">
        <f>Table1[[#This Row],[المنفذ % التراكمي]]-Table1[[#This Row],[المخطط % التراكمي]]</f>
        <v>-8.2600000000000007E-2</v>
      </c>
      <c r="AK45" s="1025"/>
      <c r="AL45" s="1025"/>
      <c r="AM45" s="677"/>
      <c r="AN45" s="677"/>
      <c r="AO45" s="677"/>
      <c r="AP45" s="677"/>
      <c r="AQ45" s="547">
        <f>_xlfn.XLOOKUP(Table1[[#This Row],[PO]],Table156101114[PO],Table156101114[TF],0)</f>
        <v>-166</v>
      </c>
      <c r="AR45" s="289">
        <f>Table1[[#This Row],[نسبة الإنجاز المتبقية %]]/(Table1[[#This Row],[مدة المشروع المتبقية بالشهور]])</f>
        <v>6.3312500000000008E-2</v>
      </c>
      <c r="AS45" s="208">
        <v>0.28294161297571085</v>
      </c>
      <c r="AT45" s="208">
        <f>Table1[[#This Row],[نسبة المخطط التراكمي حتى 31 أكتوبر 2026]]-9.9%</f>
        <v>0.18394161297571085</v>
      </c>
      <c r="AU45" s="447">
        <v>0</v>
      </c>
      <c r="AV45" s="208">
        <f>Table1[[#This Row],[نسبة المخطط التراكمي حتى 31 أكتوبر 2026]]-24.9%</f>
        <v>3.3941612975710855E-2</v>
      </c>
      <c r="AW45" s="450">
        <v>0</v>
      </c>
      <c r="AX45" s="441">
        <f>100%-Table1[[#This Row],[المنفذ % التراكمي]]</f>
        <v>0.81040000000000001</v>
      </c>
      <c r="AY45" s="441">
        <f>100%-Table1[[#This Row],[نسبة المدة المنقضية %]]</f>
        <v>0.32876712328767121</v>
      </c>
      <c r="AZ45" s="208">
        <f>_xlfn.XLOOKUP(Table1[[#This Row],[PO]],Table156101114[PO],Table156101114[المدة المنقضية],0)</f>
        <v>0.67123287671232879</v>
      </c>
      <c r="BA45" s="208" t="s">
        <v>122</v>
      </c>
      <c r="BB45" s="290" t="s">
        <v>120</v>
      </c>
      <c r="BC45" s="291">
        <f>_xlfn.XLOOKUP(Table1[[#This Row],[PO]],Table156101114[PO],Table156101114[SPI],0)</f>
        <v>0.69654665686994854</v>
      </c>
      <c r="BD45" s="362">
        <f>Table1[[#This Row],[نسبة المدة المنقضية %]]*Table1[[#This Row],[مدة المشروع الكلية بالشهور]]</f>
        <v>26.133333333333333</v>
      </c>
      <c r="BE45" s="363">
        <f>Table1[[#This Row],[نسبة المدة المتبقية %]]*Table1[[#This Row],[مدة المشروع الكلية بالشهور]]</f>
        <v>12.799999999999999</v>
      </c>
      <c r="BF45" s="363">
        <f>(Table1[[#This Row],[نهاية المشروع المعدلة PMO LIVE]]-Table1[[#This Row],[بداية المشروع التعاقدية]])</f>
        <v>1168</v>
      </c>
      <c r="BG45" s="364">
        <f>(Table1[[#This Row],[نهاية المشروع المعدلة PMO LIVE]]-Table1[[#This Row],[بداية المشروع التعاقدية]])/30</f>
        <v>38.93333333333333</v>
      </c>
      <c r="BH45" s="262">
        <f>1.25*Table1[[#This Row],[مدة المشروع بالايام]]</f>
        <v>1460</v>
      </c>
      <c r="BI45" s="555">
        <f>Table1[[#This Row],[125%من مدة المشروع]]+Table1[[#This Row],[بداية المشروع التعاقدية]]</f>
        <v>46986</v>
      </c>
      <c r="BJ45" s="653">
        <f>Table1[[#This Row],[قيمة المشروع بالضريبة]]*Table1[[#This Row],[المخطط % التراكمي]]</f>
        <v>8011588.3329520002</v>
      </c>
      <c r="BK45" s="557">
        <f>Table1[[#This Row],[قيمة المشروع بالضريبة]]*Table1[[#This Row],[المنفذ % التراكمي]]</f>
        <v>5580445.0695359996</v>
      </c>
      <c r="BL45" s="318">
        <f>Table1[[#This Row],[نسبة الإنجاز المتبقية %]]*Table1[[#This Row],[قيمة المشروع بالضريبة]]</f>
        <v>23852282.090464</v>
      </c>
      <c r="BM45" s="318">
        <f>Table1[[#This Row],[نسبة الإيقاف%]]*Table1[[#This Row],[قيمة المشروع بالضريبة]]</f>
        <v>5615764.3421280002</v>
      </c>
      <c r="BN45" s="319">
        <f>Table1[[#This Row],[Suspended Budget]]/Table1[[#This Row],[Remaining Budget]]</f>
        <v>0.23543928923988156</v>
      </c>
      <c r="BQ45" s="903"/>
      <c r="BR45" s="904"/>
      <c r="BS45" s="904"/>
    </row>
    <row r="46" spans="1:71" ht="30" hidden="1" customHeight="1" thickTop="1">
      <c r="A46" s="79">
        <f>SUBTOTAL(3,$D$3:D46)</f>
        <v>1</v>
      </c>
      <c r="B46" s="48">
        <v>10245</v>
      </c>
      <c r="C46" s="34" t="s">
        <v>210</v>
      </c>
      <c r="D46" s="48">
        <v>901230317</v>
      </c>
      <c r="E46" s="34" t="s">
        <v>53</v>
      </c>
      <c r="F46" s="34" t="s">
        <v>318</v>
      </c>
      <c r="G46" s="34" t="s">
        <v>159</v>
      </c>
      <c r="H46" s="34" t="s">
        <v>161</v>
      </c>
      <c r="I46" s="34" t="s">
        <v>27</v>
      </c>
      <c r="J46" s="34" t="s">
        <v>123</v>
      </c>
      <c r="K46" s="48" t="s">
        <v>116</v>
      </c>
      <c r="L46" s="48">
        <v>0</v>
      </c>
      <c r="M46" s="48" t="s">
        <v>259</v>
      </c>
      <c r="N46" s="594" t="s">
        <v>120</v>
      </c>
      <c r="O46" s="69">
        <v>0.24340000000000001</v>
      </c>
      <c r="P46" s="34" t="s">
        <v>366</v>
      </c>
      <c r="Q46" s="94" t="s">
        <v>77</v>
      </c>
      <c r="R46" s="94" t="s">
        <v>77</v>
      </c>
      <c r="S46" s="49">
        <v>45342</v>
      </c>
      <c r="T46" s="249">
        <v>46438</v>
      </c>
      <c r="U46" s="249">
        <v>46856</v>
      </c>
      <c r="V46" s="49">
        <v>46856</v>
      </c>
      <c r="W46" s="254">
        <f>Table1[[#This Row],[نهاية المشروع المعدلة PMO LIVE]]-Table1[[#This Row],[نهاية المشروع المعدلة EPPM]]</f>
        <v>0</v>
      </c>
      <c r="X46" s="254" t="s">
        <v>169</v>
      </c>
      <c r="Y46" s="249">
        <v>47048</v>
      </c>
      <c r="Z46" s="49">
        <f>_xlfn.XLOOKUP(Table1[[#This Row],[PO]],Table156101114[PO],Table156101114[[النهاية المتوقعة ]],0)</f>
        <v>47055</v>
      </c>
      <c r="AA46" s="716">
        <f>Table1[[#This Row],[النهاية طبقاً للتحديث الاسبوعي الحالي]]-Table1[[#This Row],[النهاية طبقاً للتحديث الاسبوعي السابق]]</f>
        <v>7</v>
      </c>
      <c r="AB46" s="523">
        <v>37946974</v>
      </c>
      <c r="AC46" s="110">
        <v>43639020.100000001</v>
      </c>
      <c r="AD46" s="257">
        <v>0.4415</v>
      </c>
      <c r="AE46" s="257">
        <v>0.41949999999999998</v>
      </c>
      <c r="AF46" s="47">
        <f>_xlfn.XLOOKUP(Table1[[#This Row],[PO]],Table156101114[PO],Table156101114[المخطط % 15 اكتوبر2026],0)</f>
        <v>0.443</v>
      </c>
      <c r="AG46" s="47">
        <f>_xlfn.XLOOKUP(Table1[[#This Row],[PO]],Table156101114[PO],Table156101114[Act %],0)</f>
        <v>0.42</v>
      </c>
      <c r="AH46" s="630">
        <f>Table1[[#This Row],[المخطط % التراكمي]]-Table1[[#This Row],[المخطط % - الإسبوع السابق ]]</f>
        <v>1.5000000000000013E-3</v>
      </c>
      <c r="AI46" s="630">
        <f>Table1[[#This Row],[المنفذ % التراكمي]]-Table1[[#This Row],[المنفذ % - الإسبوع السابق]]</f>
        <v>5.0000000000000044E-4</v>
      </c>
      <c r="AJ46" s="51">
        <f>Table1[[#This Row],[المنفذ % التراكمي]]-Table1[[#This Row],[المخطط % التراكمي]]</f>
        <v>-2.300000000000002E-2</v>
      </c>
      <c r="AK46" s="634"/>
      <c r="AL46" s="634"/>
      <c r="AM46" s="674"/>
      <c r="AN46" s="674"/>
      <c r="AO46" s="674"/>
      <c r="AP46" s="674"/>
      <c r="AQ46" s="103">
        <f>_xlfn.XLOOKUP(Table1[[#This Row],[PO]],Table156101114[PO],Table156101114[TF],0)</f>
        <v>-165</v>
      </c>
      <c r="AR46" s="277">
        <f>Table1[[#This Row],[نسبة الإنجاز المتبقية %]]/(Table1[[#This Row],[مدة المشروع المتبقية بالشهور]])</f>
        <v>3.1868131868131873E-2</v>
      </c>
      <c r="AS46" s="69">
        <v>0.44851676593540341</v>
      </c>
      <c r="AT46" s="69">
        <f>Table1[[#This Row],[نسبة المخطط التراكمي حتى 31 أكتوبر 2026]]-9.9%</f>
        <v>0.34951676593540337</v>
      </c>
      <c r="AU46" s="445">
        <v>0</v>
      </c>
      <c r="AV46" s="69">
        <f>Table1[[#This Row],[نسبة المخطط التراكمي حتى 31 أكتوبر 2026]]-24.9%</f>
        <v>0.19951676593540341</v>
      </c>
      <c r="AW46" s="448">
        <v>0</v>
      </c>
      <c r="AX46" s="439">
        <f>100%-Table1[[#This Row],[المنفذ % التراكمي]]</f>
        <v>0.58000000000000007</v>
      </c>
      <c r="AY46" s="439">
        <f>100%-Table1[[#This Row],[نسبة المدة المنقضية %]]</f>
        <v>0.36063408190224566</v>
      </c>
      <c r="AZ46" s="149">
        <f>_xlfn.XLOOKUP(Table1[[#This Row],[PO]],Table156101114[PO],Table156101114[المدة المنقضية],0)</f>
        <v>0.63936591809775434</v>
      </c>
      <c r="BA46" s="149" t="s">
        <v>122</v>
      </c>
      <c r="BB46" s="105" t="s">
        <v>122</v>
      </c>
      <c r="BC46" s="95">
        <f>_xlfn.XLOOKUP(Table1[[#This Row],[PO]],Table156101114[PO],Table156101114[SPI],0)</f>
        <v>0.94808126410835214</v>
      </c>
      <c r="BD46" s="359">
        <f>Table1[[#This Row],[نسبة المدة المنقضية %]]*Table1[[#This Row],[مدة المشروع الكلية بالشهور]]</f>
        <v>32.266666666666673</v>
      </c>
      <c r="BE46" s="360">
        <f>Table1[[#This Row],[نسبة المدة المتبقية %]]*Table1[[#This Row],[مدة المشروع الكلية بالشهور]]</f>
        <v>18.2</v>
      </c>
      <c r="BF46" s="360">
        <f>(Table1[[#This Row],[نهاية المشروع المعدلة PMO LIVE]]-Table1[[#This Row],[بداية المشروع التعاقدية]])</f>
        <v>1514</v>
      </c>
      <c r="BG46" s="361">
        <f>(Table1[[#This Row],[نهاية المشروع المعدلة PMO LIVE]]-Table1[[#This Row],[بداية المشروع التعاقدية]])/30</f>
        <v>50.466666666666669</v>
      </c>
      <c r="BH46" s="260">
        <f>1.25*Table1[[#This Row],[مدة المشروع بالايام]]</f>
        <v>1892.5</v>
      </c>
      <c r="BI46" s="495">
        <f>Table1[[#This Row],[125%من مدة المشروع]]+Table1[[#This Row],[بداية المشروع التعاقدية]]</f>
        <v>47234.5</v>
      </c>
      <c r="BJ46" s="652">
        <f>Table1[[#This Row],[قيمة المشروع بالضريبة]]*Table1[[#This Row],[المخطط % التراكمي]]</f>
        <v>19332085.904300001</v>
      </c>
      <c r="BK46" s="271">
        <f>Table1[[#This Row],[قيمة المشروع بالضريبة]]*Table1[[#This Row],[المنفذ % التراكمي]]</f>
        <v>18328388.442000002</v>
      </c>
      <c r="BL46" s="318">
        <f>Table1[[#This Row],[نسبة الإنجاز المتبقية %]]*Table1[[#This Row],[قيمة المشروع بالضريبة]]</f>
        <v>25310631.658000004</v>
      </c>
      <c r="BM46" s="318">
        <f>Table1[[#This Row],[نسبة الإيقاف%]]*Table1[[#This Row],[قيمة المشروع بالضريبة]]</f>
        <v>10621737.49234</v>
      </c>
      <c r="BN46" s="319">
        <f>Table1[[#This Row],[Suspended Budget]]/Table1[[#This Row],[Remaining Budget]]</f>
        <v>0.41965517241379308</v>
      </c>
      <c r="BQ46" s="903"/>
      <c r="BR46" s="904"/>
      <c r="BS46" s="904"/>
    </row>
    <row r="47" spans="1:71" s="322" customFormat="1" ht="30" hidden="1" customHeight="1">
      <c r="A47" s="80">
        <f>SUBTOTAL(3,$D$3:D47)</f>
        <v>1</v>
      </c>
      <c r="B47" s="42" t="s">
        <v>295</v>
      </c>
      <c r="C47" s="43" t="s">
        <v>201</v>
      </c>
      <c r="D47" s="42">
        <v>901240136</v>
      </c>
      <c r="E47" s="43" t="s">
        <v>4</v>
      </c>
      <c r="F47" s="43" t="s">
        <v>318</v>
      </c>
      <c r="G47" s="152" t="s">
        <v>159</v>
      </c>
      <c r="H47" s="153" t="s">
        <v>160</v>
      </c>
      <c r="I47" s="43" t="s">
        <v>33</v>
      </c>
      <c r="J47" s="43" t="s">
        <v>123</v>
      </c>
      <c r="K47" s="42" t="s">
        <v>116</v>
      </c>
      <c r="L47" s="42">
        <v>0</v>
      </c>
      <c r="M47" s="42" t="s">
        <v>259</v>
      </c>
      <c r="N47" s="593" t="s">
        <v>121</v>
      </c>
      <c r="O47" s="70">
        <v>0</v>
      </c>
      <c r="P47" s="43" t="s">
        <v>72</v>
      </c>
      <c r="Q47" s="94" t="s">
        <v>77</v>
      </c>
      <c r="R47" s="94" t="s">
        <v>77</v>
      </c>
      <c r="S47" s="44">
        <v>45544</v>
      </c>
      <c r="T47" s="250">
        <v>46639</v>
      </c>
      <c r="U47" s="250">
        <v>47051</v>
      </c>
      <c r="V47" s="44">
        <v>47074</v>
      </c>
      <c r="W47" s="255">
        <f>Table1[[#This Row],[نهاية المشروع المعدلة PMO LIVE]]-Table1[[#This Row],[نهاية المشروع المعدلة EPPM]]</f>
        <v>23</v>
      </c>
      <c r="X47" s="484"/>
      <c r="Y47" s="250">
        <v>47111</v>
      </c>
      <c r="Z47" s="44">
        <f>_xlfn.XLOOKUP(Table1[[#This Row],[PO]],Table156101114[PO],Table156101114[[النهاية المتوقعة ]],0)</f>
        <v>47118</v>
      </c>
      <c r="AA47" s="719">
        <f>Table1[[#This Row],[النهاية طبقاً للتحديث الاسبوعي الحالي]]-Table1[[#This Row],[النهاية طبقاً للتحديث الاسبوعي السابق]]</f>
        <v>7</v>
      </c>
      <c r="AB47" s="522">
        <v>31212700</v>
      </c>
      <c r="AC47" s="109">
        <v>35894605</v>
      </c>
      <c r="AD47" s="258">
        <v>0.1255</v>
      </c>
      <c r="AE47" s="258">
        <v>0.104</v>
      </c>
      <c r="AF47" s="45">
        <f>_xlfn.XLOOKUP(Table1[[#This Row],[PO]],Table156101114[PO],Table156101114[المخطط % 15 اكتوبر2026],0)</f>
        <v>0.13020000000000001</v>
      </c>
      <c r="AG47" s="45">
        <f>_xlfn.XLOOKUP(Table1[[#This Row],[PO]],Table156101114[PO],Table156101114[Act %],0)</f>
        <v>0.105</v>
      </c>
      <c r="AH47" s="630">
        <f>Table1[[#This Row],[المخطط % التراكمي]]-Table1[[#This Row],[المخطط % - الإسبوع السابق ]]</f>
        <v>4.7000000000000097E-3</v>
      </c>
      <c r="AI47" s="630">
        <f>Table1[[#This Row],[المنفذ % التراكمي]]-Table1[[#This Row],[المنفذ % - الإسبوع السابق]]</f>
        <v>1.0000000000000009E-3</v>
      </c>
      <c r="AJ47" s="46">
        <f>Table1[[#This Row],[المنفذ % التراكمي]]-Table1[[#This Row],[المخطط % التراكمي]]</f>
        <v>-2.5200000000000014E-2</v>
      </c>
      <c r="AK47" s="636"/>
      <c r="AL47" s="636"/>
      <c r="AM47" s="673"/>
      <c r="AN47" s="673"/>
      <c r="AO47" s="673"/>
      <c r="AP47" s="673"/>
      <c r="AQ47" s="107">
        <f>_xlfn.XLOOKUP(Table1[[#This Row],[PO]],Table156101114[PO],Table156101114[TF],0)</f>
        <v>-38</v>
      </c>
      <c r="AR47" s="276">
        <f>Table1[[#This Row],[نسبة الإنجاز المتبقية %]]/(Table1[[#This Row],[مدة المشروع المتبقية بالشهور]])</f>
        <v>3.5143979057591618E-2</v>
      </c>
      <c r="AS47" s="70">
        <v>0.13987447609466658</v>
      </c>
      <c r="AT47" s="70">
        <f>Table1[[#This Row],[نسبة المخطط التراكمي حتى 31 أكتوبر 2026]]-9.9%</f>
        <v>4.0874476094666573E-2</v>
      </c>
      <c r="AU47" s="446">
        <v>0</v>
      </c>
      <c r="AV47" s="70">
        <v>0</v>
      </c>
      <c r="AW47" s="449">
        <v>0</v>
      </c>
      <c r="AX47" s="440">
        <f>100%-Table1[[#This Row],[المنفذ % التراكمي]]</f>
        <v>0.89500000000000002</v>
      </c>
      <c r="AY47" s="440">
        <f>100%-Table1[[#This Row],[نسبة المدة المنقضية %]]</f>
        <v>0.49934640522875817</v>
      </c>
      <c r="AZ47" s="208">
        <f>_xlfn.XLOOKUP(Table1[[#This Row],[PO]],Table156101114[PO],Table156101114[المدة المنقضية],0)</f>
        <v>0.50065359477124183</v>
      </c>
      <c r="BA47" s="208" t="s">
        <v>122</v>
      </c>
      <c r="BB47" s="290" t="s">
        <v>122</v>
      </c>
      <c r="BC47" s="895">
        <f>_xlfn.XLOOKUP(Table1[[#This Row],[PO]],Table156101114[PO],Table156101114[SPI],0)</f>
        <v>0.80645161290322576</v>
      </c>
      <c r="BD47" s="896">
        <f>Table1[[#This Row],[نسبة المدة المنقضية %]]*Table1[[#This Row],[مدة المشروع الكلية بالشهور]]</f>
        <v>25.533333333333331</v>
      </c>
      <c r="BE47" s="364">
        <f>Table1[[#This Row],[نسبة المدة المتبقية %]]*Table1[[#This Row],[مدة المشروع الكلية بالشهور]]</f>
        <v>25.466666666666669</v>
      </c>
      <c r="BF47" s="364">
        <f>(Table1[[#This Row],[نهاية المشروع المعدلة PMO LIVE]]-Table1[[#This Row],[بداية المشروع التعاقدية]])</f>
        <v>1530</v>
      </c>
      <c r="BG47" s="364">
        <f>(Table1[[#This Row],[نهاية المشروع المعدلة PMO LIVE]]-Table1[[#This Row],[بداية المشروع التعاقدية]])/30</f>
        <v>51</v>
      </c>
      <c r="BH47" s="262">
        <f>1.25*Table1[[#This Row],[مدة المشروع بالايام]]</f>
        <v>1912.5</v>
      </c>
      <c r="BI47" s="555">
        <f>Table1[[#This Row],[125%من مدة المشروع]]+Table1[[#This Row],[بداية المشروع التعاقدية]]</f>
        <v>47456.5</v>
      </c>
      <c r="BJ47" s="652">
        <f>Table1[[#This Row],[قيمة المشروع بالضريبة]]*Table1[[#This Row],[المخطط % التراكمي]]</f>
        <v>4673477.5710000005</v>
      </c>
      <c r="BK47" s="271">
        <f>Table1[[#This Row],[قيمة المشروع بالضريبة]]*Table1[[#This Row],[المنفذ % التراكمي]]</f>
        <v>3768933.5249999999</v>
      </c>
      <c r="BL47" s="318">
        <f>Table1[[#This Row],[نسبة الإنجاز المتبقية %]]*Table1[[#This Row],[قيمة المشروع بالضريبة]]</f>
        <v>32125671.475000001</v>
      </c>
      <c r="BM47" s="318">
        <f>Table1[[#This Row],[نسبة الإيقاف%]]*Table1[[#This Row],[قيمة المشروع بالضريبة]]</f>
        <v>0</v>
      </c>
      <c r="BN47" s="319">
        <f>Table1[[#This Row],[Suspended Budget]]/Table1[[#This Row],[Remaining Budget]]</f>
        <v>0</v>
      </c>
      <c r="BQ47" s="903"/>
      <c r="BR47" s="904"/>
      <c r="BS47" s="904"/>
    </row>
    <row r="48" spans="1:71" ht="30" hidden="1" customHeight="1">
      <c r="A48" s="80">
        <f>SUBTOTAL(3,$D$3:D48)</f>
        <v>1</v>
      </c>
      <c r="B48" s="283" t="s">
        <v>287</v>
      </c>
      <c r="C48" s="282" t="s">
        <v>219</v>
      </c>
      <c r="D48" s="283">
        <v>901240282</v>
      </c>
      <c r="E48" s="282" t="s">
        <v>87</v>
      </c>
      <c r="F48" s="282" t="s">
        <v>318</v>
      </c>
      <c r="G48" s="664" t="s">
        <v>159</v>
      </c>
      <c r="H48" s="665" t="s">
        <v>408</v>
      </c>
      <c r="I48" s="282" t="s">
        <v>118</v>
      </c>
      <c r="J48" s="282" t="s">
        <v>111</v>
      </c>
      <c r="K48" s="283" t="s">
        <v>116</v>
      </c>
      <c r="L48" s="283">
        <v>9</v>
      </c>
      <c r="M48" s="283" t="s">
        <v>259</v>
      </c>
      <c r="N48" s="596" t="s">
        <v>121</v>
      </c>
      <c r="O48" s="208">
        <v>0</v>
      </c>
      <c r="P48" s="282" t="s">
        <v>72</v>
      </c>
      <c r="Q48" s="94" t="s">
        <v>77</v>
      </c>
      <c r="R48" s="94" t="s">
        <v>77</v>
      </c>
      <c r="S48" s="284">
        <v>45648</v>
      </c>
      <c r="T48" s="285">
        <v>46743</v>
      </c>
      <c r="U48" s="285">
        <v>47113</v>
      </c>
      <c r="V48" s="284">
        <v>47127</v>
      </c>
      <c r="W48" s="286">
        <f>Table1[[#This Row],[نهاية المشروع المعدلة PMO LIVE]]-Table1[[#This Row],[نهاية المشروع المعدلة EPPM]]</f>
        <v>14</v>
      </c>
      <c r="X48" s="870" t="s">
        <v>643</v>
      </c>
      <c r="Y48" s="285">
        <v>47300</v>
      </c>
      <c r="Z48" s="284">
        <f>_xlfn.XLOOKUP(Table1[[#This Row],[PO]],Table156101114[PO],Table156101114[[النهاية المتوقعة ]],0)</f>
        <v>47307</v>
      </c>
      <c r="AA48" s="723">
        <f>Table1[[#This Row],[النهاية طبقاً للتحديث الاسبوعي الحالي]]-Table1[[#This Row],[النهاية طبقاً للتحديث الاسبوعي السابق]]</f>
        <v>7</v>
      </c>
      <c r="AB48" s="527">
        <v>23121750</v>
      </c>
      <c r="AC48" s="287">
        <v>26590012.5</v>
      </c>
      <c r="AD48" s="288">
        <v>0.1134</v>
      </c>
      <c r="AE48" s="288">
        <v>3.1699999999999999E-2</v>
      </c>
      <c r="AF48" s="546">
        <f>_xlfn.XLOOKUP(Table1[[#This Row],[PO]],Table156101114[PO],Table156101114[المخطط % 15 اكتوبر2026],0)</f>
        <v>0.11840000000000001</v>
      </c>
      <c r="AG48" s="546">
        <f>_xlfn.XLOOKUP(Table1[[#This Row],[PO]],Table156101114[PO],Table156101114[Act %],0)</f>
        <v>3.1699999999999999E-2</v>
      </c>
      <c r="AH48" s="851">
        <f>Table1[[#This Row],[المخطط % التراكمي]]-Table1[[#This Row],[المخطط % - الإسبوع السابق ]]</f>
        <v>5.0000000000000044E-3</v>
      </c>
      <c r="AI48" s="851">
        <f>Table1[[#This Row],[المنفذ % التراكمي]]-Table1[[#This Row],[المنفذ % - الإسبوع السابق]]</f>
        <v>0</v>
      </c>
      <c r="AJ48" s="551">
        <f>Table1[[#This Row],[المنفذ % التراكمي]]-Table1[[#This Row],[المخطط % التراكمي]]</f>
        <v>-8.6699999999999999E-2</v>
      </c>
      <c r="AK48" s="639"/>
      <c r="AL48" s="639"/>
      <c r="AM48" s="677" t="s">
        <v>338</v>
      </c>
      <c r="AN48" s="677"/>
      <c r="AO48" s="677"/>
      <c r="AP48" s="677"/>
      <c r="AQ48" s="547">
        <f>_xlfn.XLOOKUP(Table1[[#This Row],[PO]],Table156101114[PO],Table156101114[TF],0)</f>
        <v>-166</v>
      </c>
      <c r="AR48" s="289">
        <f>Table1[[#This Row],[نسبة الإنجاز المتبقية %]]/(Table1[[#This Row],[مدة المشروع المتبقية بالشهور]])</f>
        <v>3.5555691554467569E-2</v>
      </c>
      <c r="AS48" s="208">
        <v>0.12165729881100813</v>
      </c>
      <c r="AT48" s="208">
        <f>Table1[[#This Row],[نسبة المخطط التراكمي حتى 31 أكتوبر 2026]]-9.9%</f>
        <v>2.2657298811008128E-2</v>
      </c>
      <c r="AU48" s="447">
        <v>0</v>
      </c>
      <c r="AV48" s="208">
        <v>0</v>
      </c>
      <c r="AW48" s="450">
        <v>0</v>
      </c>
      <c r="AX48" s="441">
        <f>100%-Table1[[#This Row],[المنفذ % التراكمي]]</f>
        <v>0.96830000000000005</v>
      </c>
      <c r="AY48" s="441">
        <f>100%-Table1[[#This Row],[نسبة المدة المنقضية %]]</f>
        <v>0.55240027045300877</v>
      </c>
      <c r="AZ48" s="208">
        <f>_xlfn.XLOOKUP(Table1[[#This Row],[PO]],Table156101114[PO],Table156101114[المدة المنقضية],0)</f>
        <v>0.44759972954699123</v>
      </c>
      <c r="BA48" s="70" t="s">
        <v>122</v>
      </c>
      <c r="BB48" s="290" t="s">
        <v>122</v>
      </c>
      <c r="BC48" s="291">
        <f>_xlfn.XLOOKUP(Table1[[#This Row],[PO]],Table156101114[PO],Table156101114[SPI],0)</f>
        <v>0.26773648648648646</v>
      </c>
      <c r="BD48" s="362">
        <f>Table1[[#This Row],[نسبة المدة المنقضية %]]*Table1[[#This Row],[مدة المشروع الكلية بالشهور]]</f>
        <v>22.066666666666666</v>
      </c>
      <c r="BE48" s="363">
        <f>Table1[[#This Row],[نسبة المدة المتبقية %]]*Table1[[#This Row],[مدة المشروع الكلية بالشهور]]</f>
        <v>27.233333333333331</v>
      </c>
      <c r="BF48" s="363">
        <f>(Table1[[#This Row],[نهاية المشروع المعدلة PMO LIVE]]-Table1[[#This Row],[بداية المشروع التعاقدية]])</f>
        <v>1479</v>
      </c>
      <c r="BG48" s="364">
        <f>(Table1[[#This Row],[نهاية المشروع المعدلة PMO LIVE]]-Table1[[#This Row],[بداية المشروع التعاقدية]])/30</f>
        <v>49.3</v>
      </c>
      <c r="BH48" s="262">
        <f>1.25*Table1[[#This Row],[مدة المشروع بالايام]]</f>
        <v>1848.75</v>
      </c>
      <c r="BI48" s="555">
        <f>Table1[[#This Row],[125%من مدة المشروع]]+Table1[[#This Row],[بداية المشروع التعاقدية]]</f>
        <v>47496.75</v>
      </c>
      <c r="BJ48" s="897">
        <f>Table1[[#This Row],[قيمة المشروع بالضريبة]]*Table1[[#This Row],[المخطط % التراكمي]]</f>
        <v>3148257.48</v>
      </c>
      <c r="BK48" s="899">
        <f>Table1[[#This Row],[قيمة المشروع بالضريبة]]*Table1[[#This Row],[المنفذ % التراكمي]]</f>
        <v>842903.39624999999</v>
      </c>
      <c r="BL48" s="316">
        <f>Table1[[#This Row],[نسبة الإنجاز المتبقية %]]*Table1[[#This Row],[قيمة المشروع بالضريبة]]</f>
        <v>25747109.103750002</v>
      </c>
      <c r="BM48" s="316">
        <f>Table1[[#This Row],[نسبة الإيقاف%]]*Table1[[#This Row],[قيمة المشروع بالضريبة]]</f>
        <v>0</v>
      </c>
      <c r="BN48" s="317">
        <f>Table1[[#This Row],[Suspended Budget]]/Table1[[#This Row],[Remaining Budget]]</f>
        <v>0</v>
      </c>
      <c r="BQ48" s="903"/>
      <c r="BR48" s="904"/>
      <c r="BS48" s="918"/>
    </row>
    <row r="49" spans="1:71" ht="41.4" hidden="1" customHeight="1">
      <c r="A49" s="79">
        <f>SUBTOTAL(3,$D$3:D49)</f>
        <v>1</v>
      </c>
      <c r="B49" s="144">
        <v>10129</v>
      </c>
      <c r="C49" s="143" t="s">
        <v>229</v>
      </c>
      <c r="D49" s="144">
        <v>901230177</v>
      </c>
      <c r="E49" s="143" t="s">
        <v>66</v>
      </c>
      <c r="F49" s="143" t="s">
        <v>321</v>
      </c>
      <c r="G49" s="553" t="s">
        <v>151</v>
      </c>
      <c r="H49" s="553" t="s">
        <v>524</v>
      </c>
      <c r="I49" s="143" t="s">
        <v>15</v>
      </c>
      <c r="J49" s="143" t="s">
        <v>123</v>
      </c>
      <c r="K49" s="144" t="s">
        <v>73</v>
      </c>
      <c r="L49" s="144">
        <v>9</v>
      </c>
      <c r="M49" s="144" t="s">
        <v>259</v>
      </c>
      <c r="N49" s="595" t="s">
        <v>121</v>
      </c>
      <c r="O49" s="149">
        <v>0.18</v>
      </c>
      <c r="P49" s="143" t="s">
        <v>366</v>
      </c>
      <c r="Q49" s="94" t="s">
        <v>77</v>
      </c>
      <c r="R49" s="94" t="s">
        <v>77</v>
      </c>
      <c r="S49" s="145">
        <v>45224</v>
      </c>
      <c r="T49" s="251">
        <v>46320</v>
      </c>
      <c r="U49" s="251">
        <v>46730</v>
      </c>
      <c r="V49" s="145">
        <v>46730</v>
      </c>
      <c r="W49" s="256">
        <f>Table1[[#This Row],[نهاية المشروع المعدلة PMO LIVE]]-Table1[[#This Row],[نهاية المشروع المعدلة EPPM]]</f>
        <v>0</v>
      </c>
      <c r="X49" s="256" t="s">
        <v>169</v>
      </c>
      <c r="Y49" s="622">
        <v>46916</v>
      </c>
      <c r="Z49" s="809">
        <f>_xlfn.XLOOKUP(Table1[[#This Row],[PO]],Table156101114[PO],Table156101114[[النهاية المتوقعة ]],0)</f>
        <v>46923</v>
      </c>
      <c r="AA49" s="810">
        <f>Table1[[#This Row],[النهاية طبقاً للتحديث الاسبوعي الحالي]]-Table1[[#This Row],[النهاية طبقاً للتحديث الاسبوعي السابق]]</f>
        <v>7</v>
      </c>
      <c r="AB49" s="526">
        <v>68020515</v>
      </c>
      <c r="AC49" s="146">
        <v>78223592.25</v>
      </c>
      <c r="AD49" s="259">
        <v>0.29909999999999998</v>
      </c>
      <c r="AE49" s="259">
        <v>0.22500000000000001</v>
      </c>
      <c r="AF49" s="623">
        <f>_xlfn.XLOOKUP(Table1[[#This Row],[PO]],Table156101114[PO],Table156101114[المخطط % 15 اكتوبر2026],0)</f>
        <v>0.30149999999999999</v>
      </c>
      <c r="AG49" s="623">
        <f>_xlfn.XLOOKUP(Table1[[#This Row],[PO]],Table156101114[PO],Table156101114[Act %],0)</f>
        <v>0.22500000000000001</v>
      </c>
      <c r="AH49" s="641">
        <f>Table1[[#This Row],[المخطط % التراكمي]]-Table1[[#This Row],[المخطط % - الإسبوع السابق ]]</f>
        <v>2.4000000000000132E-3</v>
      </c>
      <c r="AI49" s="641">
        <f>Table1[[#This Row],[المنفذ % التراكمي]]-Table1[[#This Row],[المنفذ % - الإسبوع السابق]]</f>
        <v>0</v>
      </c>
      <c r="AJ49" s="624">
        <f>Table1[[#This Row],[المنفذ % التراكمي]]-Table1[[#This Row],[المخطط % التراكمي]]</f>
        <v>-7.6499999999999985E-2</v>
      </c>
      <c r="AK49" s="81">
        <v>0.25967200000000001</v>
      </c>
      <c r="AL49" s="81">
        <f>Table1[[#This Row],[المنفذ % التراكمي]]</f>
        <v>0.22500000000000001</v>
      </c>
      <c r="AM49" s="259" t="s">
        <v>338</v>
      </c>
      <c r="AN49" s="259"/>
      <c r="AO49" s="259"/>
      <c r="AP49" s="259"/>
      <c r="AQ49" s="811">
        <f>_xlfn.XLOOKUP(Table1[[#This Row],[PO]],Table156101114[PO],Table156101114[TF],0)</f>
        <v>-165</v>
      </c>
      <c r="AR49" s="278">
        <f>Table1[[#This Row],[نسبة الإنجاز المتبقية %]]/(Table1[[#This Row],[مدة المشروع المتبقية بالشهور]])</f>
        <v>5.5357142857142862E-2</v>
      </c>
      <c r="AS49" s="149">
        <v>0.30563448478659211</v>
      </c>
      <c r="AT49" s="149">
        <f>Table1[[#This Row],[نسبة المخطط التراكمي حتى 31 أكتوبر 2026]]-9.9%</f>
        <v>0.2066344847865921</v>
      </c>
      <c r="AU49" s="493">
        <v>0</v>
      </c>
      <c r="AV49" s="149">
        <f>Table1[[#This Row],[نسبة المخطط التراكمي حتى 31 أكتوبر 2026]]-24.9%</f>
        <v>5.663448478659211E-2</v>
      </c>
      <c r="AW49" s="494">
        <v>0</v>
      </c>
      <c r="AX49" s="442">
        <f>100%-Table1[[#This Row],[المنفذ % التراكمي]]</f>
        <v>0.77500000000000002</v>
      </c>
      <c r="AY49" s="442">
        <f>100%-Table1[[#This Row],[نسبة المدة المنقضية %]]</f>
        <v>0.2788844621513944</v>
      </c>
      <c r="AZ49" s="149">
        <f>_xlfn.XLOOKUP(Table1[[#This Row],[PO]],Table156101114[PO],Table156101114[المدة المنقضية],0)</f>
        <v>0.7211155378486056</v>
      </c>
      <c r="BA49" s="149" t="s">
        <v>122</v>
      </c>
      <c r="BB49" s="150" t="s">
        <v>121</v>
      </c>
      <c r="BC49" s="151">
        <f>_xlfn.XLOOKUP(Table1[[#This Row],[PO]],Table156101114[PO],Table156101114[SPI],0)</f>
        <v>0.74626865671641796</v>
      </c>
      <c r="BD49" s="362">
        <f>Table1[[#This Row],[نسبة المدة المنقضية %]]*Table1[[#This Row],[مدة المشروع الكلية بالشهور]]</f>
        <v>36.200000000000003</v>
      </c>
      <c r="BE49" s="363">
        <f>Table1[[#This Row],[نسبة المدة المتبقية %]]*Table1[[#This Row],[مدة المشروع الكلية بالشهور]]</f>
        <v>14</v>
      </c>
      <c r="BF49" s="363">
        <f>(Table1[[#This Row],[نهاية المشروع المعدلة PMO LIVE]]-Table1[[#This Row],[بداية المشروع التعاقدية]])</f>
        <v>1506</v>
      </c>
      <c r="BG49" s="364">
        <f>(Table1[[#This Row],[نهاية المشروع المعدلة PMO LIVE]]-Table1[[#This Row],[بداية المشروع التعاقدية]])/30</f>
        <v>50.2</v>
      </c>
      <c r="BH49" s="262">
        <f>1.25*Table1[[#This Row],[مدة المشروع بالايام]]</f>
        <v>1882.5</v>
      </c>
      <c r="BI49" s="561">
        <f>Table1[[#This Row],[125%من مدة المشروع]]+Table1[[#This Row],[بداية المشروع التعاقدية]]</f>
        <v>47106.5</v>
      </c>
      <c r="BJ49" s="556">
        <f>Table1[[#This Row],[قيمة المشروع بالضريبة]]*Table1[[#This Row],[المخطط % التراكمي]]</f>
        <v>23584413.063375</v>
      </c>
      <c r="BK49" s="558">
        <f>Table1[[#This Row],[قيمة المشروع بالضريبة]]*Table1[[#This Row],[المنفذ % التراكمي]]</f>
        <v>17600308.256250001</v>
      </c>
      <c r="BL49" s="559">
        <f>Table1[[#This Row],[نسبة الإنجاز المتبقية %]]*Table1[[#This Row],[قيمة المشروع بالضريبة]]</f>
        <v>60623283.993749999</v>
      </c>
      <c r="BM49" s="559">
        <f>Table1[[#This Row],[نسبة الإيقاف%]]*Table1[[#This Row],[قيمة المشروع بالضريبة]]</f>
        <v>14080246.604999999</v>
      </c>
      <c r="BN49" s="560">
        <f>Table1[[#This Row],[Suspended Budget]]/Table1[[#This Row],[Remaining Budget]]</f>
        <v>0.23225806451612901</v>
      </c>
      <c r="BQ49" s="903"/>
      <c r="BR49" s="904"/>
      <c r="BS49" s="904"/>
    </row>
    <row r="50" spans="1:71" ht="43.95" hidden="1" customHeight="1">
      <c r="A50" s="80">
        <f>SUBTOTAL(3,$D$3:D50)</f>
        <v>1</v>
      </c>
      <c r="B50" s="83" t="s">
        <v>650</v>
      </c>
      <c r="C50" s="43" t="s">
        <v>651</v>
      </c>
      <c r="D50" s="42">
        <v>901260326</v>
      </c>
      <c r="E50" s="43" t="s">
        <v>735</v>
      </c>
      <c r="F50" s="43" t="s">
        <v>321</v>
      </c>
      <c r="G50" s="43" t="s">
        <v>151</v>
      </c>
      <c r="H50" s="43" t="s">
        <v>237</v>
      </c>
      <c r="I50" s="43" t="s">
        <v>653</v>
      </c>
      <c r="J50" s="43" t="s">
        <v>123</v>
      </c>
      <c r="K50" s="42" t="s">
        <v>73</v>
      </c>
      <c r="L50" s="42">
        <v>2</v>
      </c>
      <c r="M50" s="42" t="s">
        <v>259</v>
      </c>
      <c r="N50" s="593"/>
      <c r="O50" s="70">
        <v>0</v>
      </c>
      <c r="P50" s="43" t="s">
        <v>72</v>
      </c>
      <c r="Q50" s="701" t="s">
        <v>77</v>
      </c>
      <c r="R50" s="701" t="s">
        <v>77</v>
      </c>
      <c r="S50" s="44">
        <v>46245</v>
      </c>
      <c r="T50" s="250">
        <v>46488</v>
      </c>
      <c r="U50" s="250">
        <v>46488</v>
      </c>
      <c r="V50" s="44">
        <v>46488</v>
      </c>
      <c r="W50" s="255">
        <f>Table1[[#This Row],[نهاية المشروع المعدلة PMO LIVE]]-Table1[[#This Row],[نهاية المشروع المعدلة EPPM]]</f>
        <v>0</v>
      </c>
      <c r="X50" s="255" t="s">
        <v>169</v>
      </c>
      <c r="Y50" s="253">
        <v>46517</v>
      </c>
      <c r="Z50" s="44">
        <f>_xlfn.XLOOKUP(Table1[[#This Row],[PO]],Table156101114[PO],Table156101114[[النهاية المتوقعة ]],0)</f>
        <v>46529</v>
      </c>
      <c r="AA50" s="719">
        <f>Table1[[#This Row],[النهاية طبقاً للتحديث الاسبوعي الحالي]]-Table1[[#This Row],[النهاية طبقاً للتحديث الاسبوعي السابق]]</f>
        <v>12</v>
      </c>
      <c r="AB50" s="522">
        <v>3268750</v>
      </c>
      <c r="AC50" s="109">
        <v>3759062.5</v>
      </c>
      <c r="AD50" s="258">
        <v>4.1000000000000002E-2</v>
      </c>
      <c r="AE50" s="258" t="s">
        <v>876</v>
      </c>
      <c r="AF50" s="90">
        <f>_xlfn.XLOOKUP(Table1[[#This Row],[PO]],Table156101114[PO],Table156101114[المخطط % 15 اكتوبر2026],0)</f>
        <v>5.91E-2</v>
      </c>
      <c r="AG50" s="90" t="str">
        <f>_xlfn.XLOOKUP(Table1[[#This Row],[PO]],Table156101114[PO],Table156101114[Act %],0)</f>
        <v>0.00%</v>
      </c>
      <c r="AH50" s="627">
        <f>Table1[[#This Row],[المخطط % التراكمي]]-Table1[[#This Row],[المخطط % - الإسبوع السابق ]]</f>
        <v>1.8099999999999998E-2</v>
      </c>
      <c r="AI50" s="630">
        <f>Table1[[#This Row],[المنفذ % التراكمي]]-Table1[[#This Row],[المنفذ % - الإسبوع السابق]]</f>
        <v>0</v>
      </c>
      <c r="AJ50" s="702">
        <f>Table1[[#This Row],[المنفذ % التراكمي]]-Table1[[#This Row],[المخطط % التراكمي]]</f>
        <v>-5.91E-2</v>
      </c>
      <c r="AK50" s="636"/>
      <c r="AL50" s="636"/>
      <c r="AM50" s="673"/>
      <c r="AN50" s="673"/>
      <c r="AO50" s="673"/>
      <c r="AP50" s="673"/>
      <c r="AQ50" s="107">
        <f>_xlfn.XLOOKUP(Table1[[#This Row],[PO]],Table156101114[PO],Table156101114[TF],0)</f>
        <v>-31</v>
      </c>
      <c r="AR50" s="703">
        <f>Table1[[#This Row],[نسبة الإنجاز المتبقية %]]/(Table1[[#This Row],[مدة المشروع المتبقية بالشهور]])</f>
        <v>0.16853932584269665</v>
      </c>
      <c r="AS50" s="704">
        <v>0.10638623326959847</v>
      </c>
      <c r="AT50" s="705">
        <f>Table1[[#This Row],[نسبة المخطط التراكمي حتى 31 أكتوبر 2026]]-9.9%</f>
        <v>7.3862332695984606E-3</v>
      </c>
      <c r="AU50" s="706">
        <f>Table1[[#This Row],[نسبة الانجاز التراكمي المطلوب للإنتظام]]-Table1[[#This Row],[المنفذ % التراكمي]]</f>
        <v>7.3862332695984606E-3</v>
      </c>
      <c r="AV50" s="704">
        <v>0</v>
      </c>
      <c r="AW50" s="707">
        <f>Table1[[#This Row],[نسبة الانجاز التراكمي المطلوب لتجنب التعثر]]-Table1[[#This Row],[المنفذ % التراكمي]]</f>
        <v>0</v>
      </c>
      <c r="AX50" s="708">
        <f>100%-Table1[[#This Row],[المنفذ % التراكمي]]</f>
        <v>1</v>
      </c>
      <c r="AY50" s="440">
        <f>100%-Table1[[#This Row],[نسبة المدة المنقضية %]]</f>
        <v>0.73251028806584362</v>
      </c>
      <c r="AZ50" s="70">
        <f>_xlfn.XLOOKUP(Table1[[#This Row],[PO]],Table156101114[PO],Table156101114[المدة المنقضية],0)</f>
        <v>0.26748971193415638</v>
      </c>
      <c r="BA50" s="70" t="s">
        <v>122</v>
      </c>
      <c r="BB50" s="108" t="s">
        <v>122</v>
      </c>
      <c r="BC50" s="96">
        <f>_xlfn.XLOOKUP(Table1[[#This Row],[PO]],Table156101114[PO],Table156101114[SPI],0)</f>
        <v>0</v>
      </c>
      <c r="BD50" s="709">
        <f>Table1[[#This Row],[نسبة المدة المنقضية %]]*Table1[[#This Row],[مدة المشروع الكلية بالشهور]]</f>
        <v>2.1666666666666665</v>
      </c>
      <c r="BE50" s="710">
        <f>Table1[[#This Row],[نسبة المدة المتبقية %]]*Table1[[#This Row],[مدة المشروع الكلية بالشهور]]</f>
        <v>5.9333333333333327</v>
      </c>
      <c r="BF50" s="710">
        <f>(Table1[[#This Row],[نهاية المشروع المعدلة PMO LIVE]]-Table1[[#This Row],[بداية المشروع التعاقدية]])</f>
        <v>243</v>
      </c>
      <c r="BG50" s="361">
        <f>(Table1[[#This Row],[نهاية المشروع المعدلة PMO LIVE]]-Table1[[#This Row],[بداية المشروع التعاقدية]])/30</f>
        <v>8.1</v>
      </c>
      <c r="BH50" s="711">
        <f>1.25*Table1[[#This Row],[مدة المشروع بالايام]]</f>
        <v>303.75</v>
      </c>
      <c r="BI50" s="661">
        <f>Table1[[#This Row],[125%من مدة المشروع]]+Table1[[#This Row],[بداية المشروع التعاقدية]]</f>
        <v>46548.75</v>
      </c>
      <c r="BJ50" s="657">
        <f>Table1[[#This Row],[قيمة المشروع بالضريبة]]*Table1[[#This Row],[المخطط % التراكمي]]</f>
        <v>222160.59375</v>
      </c>
      <c r="BK50" s="658">
        <f>Table1[[#This Row],[قيمة المشروع بالضريبة]]*Table1[[#This Row],[المنفذ % التراكمي]]</f>
        <v>0</v>
      </c>
      <c r="BL50" s="659">
        <f>Table1[[#This Row],[نسبة الإنجاز المتبقية %]]*Table1[[#This Row],[قيمة المشروع بالضريبة]]</f>
        <v>3759062.5</v>
      </c>
      <c r="BM50" s="659">
        <f>Table1[[#This Row],[نسبة الإيقاف%]]*Table1[[#This Row],[قيمة المشروع بالضريبة]]</f>
        <v>0</v>
      </c>
      <c r="BN50" s="660">
        <f>Table1[[#This Row],[Suspended Budget]]/Table1[[#This Row],[Remaining Budget]]</f>
        <v>0</v>
      </c>
      <c r="BQ50" s="903"/>
      <c r="BR50" s="904"/>
      <c r="BS50" s="904"/>
    </row>
    <row r="51" spans="1:71" ht="27" customHeight="1">
      <c r="S51" s="41" t="s">
        <v>522</v>
      </c>
      <c r="AC51" s="29">
        <f>SUBTOTAL(109,Table1[قيمة المشروع بالضريبة])</f>
        <v>37841428.420000002</v>
      </c>
      <c r="AG51" s="63"/>
      <c r="BJ51" s="215">
        <f>SUBTOTAL(109,Table1[PV])</f>
        <v>28131317.887428001</v>
      </c>
      <c r="BK51" s="215">
        <f>SUBTOTAL(109,Table1[EV])</f>
        <v>21183631.629515998</v>
      </c>
    </row>
    <row r="52" spans="1:71" ht="75" customHeight="1">
      <c r="R52" s="646"/>
      <c r="S52" s="869">
        <f>V48-T48</f>
        <v>384</v>
      </c>
      <c r="T52" s="29">
        <f>V43-T43</f>
        <v>446</v>
      </c>
      <c r="U52" s="29">
        <f>V45-T45</f>
        <v>438</v>
      </c>
      <c r="V52" s="869"/>
      <c r="AC52" s="29">
        <f>AC51/1000000</f>
        <v>37.84142842</v>
      </c>
      <c r="BJ52" s="310">
        <f>BJ51/$AC$51</f>
        <v>0.74339999999999995</v>
      </c>
      <c r="BK52" s="310">
        <f>BK51/$AC$51</f>
        <v>0.55979999999999996</v>
      </c>
    </row>
    <row r="53" spans="1:71" ht="75" customHeight="1">
      <c r="S53" s="41"/>
      <c r="BJ53" s="215">
        <f>BK51/BJ51</f>
        <v>0.75302663438256645</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phoneticPr fontId="3" type="noConversion"/>
  <conditionalFormatting sqref="B2:B1048576">
    <cfRule type="duplicateValues" dxfId="48" priority="407"/>
  </conditionalFormatting>
  <conditionalFormatting sqref="D1:D1048576 BR1:BR1048576">
    <cfRule type="duplicateValues" dxfId="47" priority="8"/>
  </conditionalFormatting>
  <conditionalFormatting sqref="D49:D1048576 D1:D47">
    <cfRule type="duplicateValues" dxfId="46" priority="434"/>
  </conditionalFormatting>
  <conditionalFormatting sqref="D384">
    <cfRule type="duplicateValues" dxfId="45" priority="31"/>
  </conditionalFormatting>
  <conditionalFormatting sqref="AF3:AF394">
    <cfRule type="dataBar" priority="517">
      <dataBar>
        <cfvo type="min"/>
        <cfvo type="max"/>
        <color rgb="FF008AEF"/>
      </dataBar>
      <extLst>
        <ext xmlns:x14="http://schemas.microsoft.com/office/spreadsheetml/2009/9/main" uri="{B025F937-C7B1-47D3-B67F-A62EFF666E3E}">
          <x14:id>{0E47CBCA-6304-47D2-B913-3BA7A0875063}</x14:id>
        </ext>
      </extLst>
    </cfRule>
  </conditionalFormatting>
  <conditionalFormatting sqref="AG3:AI394">
    <cfRule type="dataBar" priority="519">
      <dataBar>
        <cfvo type="min"/>
        <cfvo type="max"/>
        <color rgb="FF63C384"/>
      </dataBar>
      <extLst>
        <ext xmlns:x14="http://schemas.microsoft.com/office/spreadsheetml/2009/9/main" uri="{B025F937-C7B1-47D3-B67F-A62EFF666E3E}">
          <x14:id>{E1BB87A8-3A19-44A6-BAB6-490A51CB63A1}</x14:id>
        </ext>
      </extLst>
    </cfRule>
  </conditionalFormatting>
  <conditionalFormatting sqref="AJ3:AJ50">
    <cfRule type="cellIs" dxfId="44" priority="34" operator="between">
      <formula>-0.1</formula>
      <formula>0</formula>
    </cfRule>
  </conditionalFormatting>
  <conditionalFormatting sqref="AJ3:AJ394">
    <cfRule type="cellIs" dxfId="43" priority="33" operator="between">
      <formula>-0.1</formula>
      <formula>-0.25</formula>
    </cfRule>
    <cfRule type="cellIs" dxfId="42" priority="36" operator="greaterThan">
      <formula>0</formula>
    </cfRule>
    <cfRule type="cellIs" dxfId="41" priority="37" operator="lessThan">
      <formula>-0.25</formula>
    </cfRule>
  </conditionalFormatting>
  <conditionalFormatting sqref="AZ3 AZ4:BA6 AZ7 AZ8:BA8 AZ9:AZ10 AZ11:BA394">
    <cfRule type="cellIs" dxfId="40" priority="32" operator="greaterThan">
      <formula>1.25</formula>
    </cfRule>
  </conditionalFormatting>
  <conditionalFormatting sqref="BA9:BA10">
    <cfRule type="cellIs" dxfId="39" priority="1" operator="equal">
      <formula>$BO$1</formula>
    </cfRule>
    <cfRule type="cellIs" dxfId="38" priority="2" operator="equal">
      <formula>$BP$1</formula>
    </cfRule>
  </conditionalFormatting>
  <conditionalFormatting sqref="BB2:BB50 BA3 BA7">
    <cfRule type="cellIs" dxfId="37" priority="5" operator="equal">
      <formula>$BO$1</formula>
    </cfRule>
    <cfRule type="cellIs" dxfId="36" priority="6"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49" man="1"/>
  </colBreaks>
  <ignoredErrors>
    <ignoredError sqref="AV3 AW4 AT3" calculatedColumn="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E47CBCA-6304-47D2-B913-3BA7A0875063}">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E1BB87A8-3A19-44A6-BAB6-490A51CB63A1}">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508B-1B78-4B39-9635-9AC1040C88EF}">
  <sheetPr>
    <tabColor rgb="FF3C57F6"/>
  </sheetPr>
  <dimension ref="D2:I10"/>
  <sheetViews>
    <sheetView workbookViewId="0">
      <selection activeCell="F12" sqref="F12"/>
    </sheetView>
  </sheetViews>
  <sheetFormatPr defaultColWidth="8.88671875" defaultRowHeight="14.4"/>
  <cols>
    <col min="1" max="3" width="8.88671875" style="1"/>
    <col min="4" max="4" width="21.6640625" style="1" customWidth="1"/>
    <col min="5" max="6" width="8.88671875" style="1"/>
    <col min="7" max="7" width="13" style="1" customWidth="1"/>
    <col min="8" max="8" width="11.109375" style="1" customWidth="1"/>
    <col min="9" max="16384" width="8.88671875" style="1"/>
  </cols>
  <sheetData>
    <row r="2" spans="4:9" ht="15" thickBot="1"/>
    <row r="3" spans="4:9" s="35" customFormat="1" ht="28.8">
      <c r="D3" s="865" t="s">
        <v>817</v>
      </c>
      <c r="E3" s="866" t="s">
        <v>818</v>
      </c>
      <c r="F3" s="866" t="s">
        <v>821</v>
      </c>
      <c r="G3" s="867" t="s">
        <v>819</v>
      </c>
      <c r="H3" s="868" t="s">
        <v>820</v>
      </c>
    </row>
    <row r="4" spans="4:9">
      <c r="D4" s="861">
        <v>46040</v>
      </c>
      <c r="E4" s="859">
        <v>46107</v>
      </c>
      <c r="F4" s="111">
        <f>E4-D4</f>
        <v>67</v>
      </c>
      <c r="G4" s="860">
        <f>F4/30</f>
        <v>2.2333333333333334</v>
      </c>
      <c r="H4" s="862">
        <f>G4*3</f>
        <v>6.7</v>
      </c>
    </row>
    <row r="5" spans="4:9">
      <c r="D5" s="861">
        <v>46110</v>
      </c>
      <c r="E5" s="859">
        <v>46275</v>
      </c>
      <c r="F5" s="111">
        <f>E5-D5</f>
        <v>165</v>
      </c>
      <c r="G5" s="860">
        <f>F5/30</f>
        <v>5.5</v>
      </c>
      <c r="H5" s="862">
        <f>G5*3</f>
        <v>16.5</v>
      </c>
    </row>
    <row r="6" spans="4:9">
      <c r="D6" s="17"/>
      <c r="E6" s="111"/>
      <c r="F6" s="111">
        <f>H4+H5</f>
        <v>23.2</v>
      </c>
      <c r="G6" s="111"/>
      <c r="H6" s="863"/>
    </row>
    <row r="7" spans="4:9" ht="15" thickBot="1">
      <c r="D7" s="864" t="s">
        <v>822</v>
      </c>
      <c r="E7" s="1205">
        <f>SUM(F4:F6)</f>
        <v>255.2</v>
      </c>
      <c r="F7" s="1206"/>
      <c r="G7" s="1206"/>
      <c r="H7" s="1207"/>
    </row>
    <row r="9" spans="4:9">
      <c r="H9" s="1">
        <v>1</v>
      </c>
      <c r="I9" s="1">
        <v>3</v>
      </c>
    </row>
    <row r="10" spans="4:9">
      <c r="H10" s="1">
        <v>2.23</v>
      </c>
    </row>
  </sheetData>
  <mergeCells count="1">
    <mergeCell ref="E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5A51-61BF-44FD-8AE1-B0A8C6757CC3}">
  <sheetPr>
    <tabColor rgb="FF3C57F6"/>
  </sheetPr>
  <dimension ref="B1:W69"/>
  <sheetViews>
    <sheetView showGridLines="0" view="pageBreakPreview" zoomScale="70" zoomScaleNormal="40" zoomScaleSheetLayoutView="70" workbookViewId="0">
      <selection activeCell="B6" sqref="B6"/>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208" t="s">
        <v>82</v>
      </c>
      <c r="C4" s="1209"/>
      <c r="D4" s="10"/>
      <c r="E4" s="10"/>
      <c r="F4" s="21"/>
      <c r="W4" s="4"/>
    </row>
    <row r="5" spans="2:23" ht="15" thickBot="1">
      <c r="B5" s="11" t="s">
        <v>80</v>
      </c>
      <c r="C5" s="12" t="s">
        <v>81</v>
      </c>
      <c r="D5" s="1"/>
      <c r="E5" s="1"/>
      <c r="F5" s="22"/>
      <c r="W5" s="4"/>
    </row>
    <row r="6" spans="2:23">
      <c r="B6" s="14" t="s">
        <v>77</v>
      </c>
      <c r="C6" s="14">
        <v>21</v>
      </c>
      <c r="D6" s="1"/>
      <c r="E6" s="1"/>
      <c r="F6" s="22"/>
      <c r="W6" s="4"/>
    </row>
    <row r="7" spans="2:23">
      <c r="B7" s="15" t="s">
        <v>515</v>
      </c>
      <c r="C7" s="15">
        <v>1</v>
      </c>
      <c r="D7" s="1"/>
      <c r="E7" s="1"/>
      <c r="F7" s="22"/>
      <c r="W7" s="4"/>
    </row>
    <row r="8" spans="2:23">
      <c r="B8" s="15" t="s">
        <v>78</v>
      </c>
      <c r="C8" s="15">
        <v>20</v>
      </c>
      <c r="D8" s="1"/>
      <c r="E8" s="1"/>
      <c r="F8" s="22"/>
      <c r="W8" s="4"/>
    </row>
    <row r="9" spans="2:23">
      <c r="B9" s="15" t="s">
        <v>85</v>
      </c>
      <c r="C9" s="15">
        <v>4</v>
      </c>
      <c r="D9" s="1"/>
      <c r="E9" s="1"/>
      <c r="F9" s="22"/>
      <c r="W9" s="4"/>
    </row>
    <row r="10" spans="2:23" ht="15" thickBot="1">
      <c r="B10" s="16" t="s">
        <v>100</v>
      </c>
      <c r="C10" s="15">
        <v>5</v>
      </c>
      <c r="D10" s="1"/>
      <c r="E10" s="1"/>
      <c r="F10" s="22"/>
      <c r="W10" s="4"/>
    </row>
    <row r="11" spans="2:23" ht="15" thickBot="1">
      <c r="B11" s="12" t="s">
        <v>79</v>
      </c>
      <c r="C11" s="16">
        <v>51</v>
      </c>
      <c r="D11" s="1"/>
      <c r="E11" s="1"/>
      <c r="F11" s="22"/>
      <c r="W11" s="4"/>
    </row>
    <row r="12" spans="2:23" ht="27" thickBot="1">
      <c r="B12" s="1208" t="s">
        <v>83</v>
      </c>
      <c r="C12" s="1209"/>
      <c r="D12" s="1"/>
      <c r="E12" s="1"/>
      <c r="F12" s="22"/>
      <c r="W12" s="4"/>
    </row>
    <row r="13" spans="2:23" ht="15" thickBot="1">
      <c r="B13" s="13" t="s">
        <v>80</v>
      </c>
      <c r="C13" s="12" t="s">
        <v>81</v>
      </c>
      <c r="D13" s="1"/>
      <c r="E13" s="1"/>
      <c r="F13" s="22"/>
      <c r="W13" s="4"/>
    </row>
    <row r="14" spans="2:23">
      <c r="B14" s="17" t="s">
        <v>120</v>
      </c>
      <c r="C14" s="14">
        <v>6</v>
      </c>
      <c r="D14" s="1"/>
      <c r="E14" s="1"/>
      <c r="F14" s="22"/>
      <c r="W14" s="4"/>
    </row>
    <row r="15" spans="2:23">
      <c r="B15" s="17" t="s">
        <v>121</v>
      </c>
      <c r="C15" s="15">
        <v>3</v>
      </c>
      <c r="F15" s="6"/>
      <c r="W15" s="4"/>
    </row>
    <row r="16" spans="2:23" ht="15" thickBot="1">
      <c r="B16" s="17" t="s">
        <v>122</v>
      </c>
      <c r="C16" s="15">
        <v>42</v>
      </c>
      <c r="F16" s="6"/>
      <c r="W16" s="4"/>
    </row>
    <row r="17" spans="2:23" ht="13.5" customHeight="1" thickBot="1">
      <c r="B17" s="12" t="s">
        <v>79</v>
      </c>
      <c r="C17" s="16">
        <v>51</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ht="15" thickBot="1">
      <c r="F24" s="6"/>
      <c r="W24" s="4"/>
    </row>
    <row r="25" spans="2:23" ht="27" thickBot="1">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ht="15" thickBot="1">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16</v>
      </c>
      <c r="E38" s="20"/>
      <c r="F38" s="23"/>
      <c r="W38" s="4"/>
    </row>
    <row r="39" spans="2:23">
      <c r="B39" s="17" t="s">
        <v>116</v>
      </c>
      <c r="C39" s="15">
        <v>25</v>
      </c>
      <c r="E39" s="20"/>
      <c r="F39" s="23"/>
      <c r="W39" s="4"/>
    </row>
    <row r="40" spans="2:23" ht="15" thickBot="1">
      <c r="B40" s="17" t="s">
        <v>136</v>
      </c>
      <c r="C40" s="15">
        <v>10</v>
      </c>
      <c r="E40" s="20"/>
      <c r="F40" s="23"/>
      <c r="W40" s="4"/>
    </row>
    <row r="41" spans="2:23" ht="15" thickBot="1">
      <c r="B41" s="12" t="s">
        <v>79</v>
      </c>
      <c r="C41" s="16">
        <v>51</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78</v>
      </c>
      <c r="C45" s="14">
        <v>5</v>
      </c>
      <c r="F45" s="6"/>
      <c r="W45" s="4"/>
    </row>
    <row r="46" spans="2:23">
      <c r="B46" s="17" t="s">
        <v>77</v>
      </c>
      <c r="C46" s="15">
        <v>7</v>
      </c>
      <c r="F46" s="6"/>
      <c r="W46" s="4"/>
    </row>
    <row r="47" spans="2:23" ht="15" thickBot="1">
      <c r="B47" s="17" t="s">
        <v>100</v>
      </c>
      <c r="C47" s="15">
        <v>4</v>
      </c>
      <c r="F47" s="6"/>
      <c r="W47" s="4"/>
    </row>
    <row r="48" spans="2:23" ht="15" thickBot="1">
      <c r="B48" s="12" t="s">
        <v>79</v>
      </c>
      <c r="C48" s="16">
        <v>16</v>
      </c>
      <c r="F48" s="6"/>
      <c r="W48" s="4"/>
    </row>
    <row r="49" spans="2:23">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78</v>
      </c>
      <c r="C56" s="15">
        <v>12</v>
      </c>
      <c r="F56" s="6"/>
      <c r="W56" s="4"/>
    </row>
    <row r="57" spans="2:23">
      <c r="B57" s="17" t="s">
        <v>77</v>
      </c>
      <c r="C57" s="15">
        <v>10</v>
      </c>
      <c r="F57" s="6"/>
      <c r="W57" s="4"/>
    </row>
    <row r="58" spans="2:23" ht="15" thickBot="1">
      <c r="B58" s="17" t="s">
        <v>100</v>
      </c>
      <c r="C58" s="15">
        <v>1</v>
      </c>
      <c r="F58" s="7"/>
      <c r="G58" s="8"/>
      <c r="H58" s="8"/>
      <c r="I58" s="8"/>
      <c r="J58" s="8"/>
      <c r="K58" s="8"/>
      <c r="L58" s="8"/>
      <c r="M58" s="8"/>
      <c r="N58" s="8"/>
      <c r="O58" s="8"/>
      <c r="P58" s="8"/>
      <c r="Q58" s="8"/>
      <c r="R58" s="8"/>
      <c r="S58" s="8"/>
      <c r="T58" s="8"/>
      <c r="U58" s="8"/>
      <c r="V58" s="8"/>
      <c r="W58" s="9"/>
    </row>
    <row r="59" spans="2:23" ht="15" thickBot="1">
      <c r="B59" s="12" t="s">
        <v>79</v>
      </c>
      <c r="C59" s="16">
        <v>25</v>
      </c>
    </row>
    <row r="61" spans="2:23" ht="15" thickBot="1"/>
    <row r="62" spans="2:23" ht="15" thickBot="1">
      <c r="B62" s="18" t="s">
        <v>23</v>
      </c>
      <c r="C62" s="19" t="s">
        <v>136</v>
      </c>
    </row>
    <row r="63" spans="2:23" ht="15" thickBot="1"/>
    <row r="64" spans="2:23" ht="15" thickBot="1">
      <c r="B64" s="13" t="s">
        <v>80</v>
      </c>
      <c r="C64" s="12" t="s">
        <v>81</v>
      </c>
    </row>
    <row r="65" spans="2:3">
      <c r="B65" s="17" t="s">
        <v>85</v>
      </c>
      <c r="C65" s="14">
        <v>2</v>
      </c>
    </row>
    <row r="66" spans="2:3">
      <c r="B66" s="17" t="s">
        <v>78</v>
      </c>
      <c r="C66" s="15">
        <v>3</v>
      </c>
    </row>
    <row r="67" spans="2:3">
      <c r="B67" s="17" t="s">
        <v>77</v>
      </c>
      <c r="C67" s="15">
        <v>4</v>
      </c>
    </row>
    <row r="68" spans="2:3" ht="15" thickBot="1">
      <c r="B68" s="17" t="s">
        <v>515</v>
      </c>
      <c r="C68" s="15">
        <v>1</v>
      </c>
    </row>
    <row r="69" spans="2:3" ht="15" thickBot="1">
      <c r="B69" s="12" t="s">
        <v>79</v>
      </c>
      <c r="C69" s="16">
        <v>10</v>
      </c>
    </row>
  </sheetData>
  <mergeCells count="2">
    <mergeCell ref="B4:C4"/>
    <mergeCell ref="B12:C12"/>
  </mergeCells>
  <printOptions horizontalCentered="1" verticalCentered="1"/>
  <pageMargins left="0.70866141732283472" right="0.70866141732283472" top="0.74803149606299213" bottom="0.74803149606299213" header="0.31496062992125984" footer="0.31496062992125984"/>
  <pageSetup paperSize="8" scale="68" orientation="landscape" r:id="rId7"/>
  <headerFooter>
    <oddHeader xml:space="preserve">&amp;C&amp;18Delay based on variance 10% </oddHeader>
    <oddFooter>&amp;L&amp;D&amp;C&amp;F&amp;R&amp;D</oddFooter>
  </headerFooter>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DEC8-EB25-4918-AA00-7B89A84893E9}">
  <sheetPr>
    <tabColor rgb="FF3C57F6"/>
  </sheetPr>
  <dimension ref="B1:W69"/>
  <sheetViews>
    <sheetView showGridLines="0" view="pageBreakPreview" zoomScale="70" zoomScaleNormal="40" zoomScaleSheetLayoutView="70" workbookViewId="0">
      <selection activeCell="Z14" sqref="Z14"/>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208" t="s">
        <v>82</v>
      </c>
      <c r="C4" s="1209"/>
      <c r="D4" s="10"/>
      <c r="E4" s="10"/>
      <c r="F4" s="21"/>
      <c r="W4" s="4"/>
    </row>
    <row r="5" spans="2:23" ht="15" thickBot="1">
      <c r="B5" s="11" t="s">
        <v>80</v>
      </c>
      <c r="C5" s="12" t="s">
        <v>81</v>
      </c>
      <c r="D5" s="1"/>
      <c r="E5" s="1"/>
      <c r="F5" s="22"/>
      <c r="W5" s="4"/>
    </row>
    <row r="6" spans="2:23">
      <c r="B6" s="14" t="s">
        <v>78</v>
      </c>
      <c r="C6" s="14">
        <v>20</v>
      </c>
      <c r="D6" s="1"/>
      <c r="E6" s="1"/>
      <c r="F6" s="22"/>
      <c r="W6" s="4"/>
    </row>
    <row r="7" spans="2:23">
      <c r="B7" s="15" t="s">
        <v>77</v>
      </c>
      <c r="C7" s="15">
        <v>15</v>
      </c>
      <c r="D7" s="1"/>
      <c r="E7" s="1"/>
      <c r="F7" s="22"/>
      <c r="W7" s="4"/>
    </row>
    <row r="8" spans="2:23">
      <c r="B8" s="15" t="s">
        <v>100</v>
      </c>
      <c r="C8" s="15">
        <v>11</v>
      </c>
      <c r="D8" s="1"/>
      <c r="E8" s="1"/>
      <c r="F8" s="22"/>
      <c r="W8" s="4"/>
    </row>
    <row r="9" spans="2:23">
      <c r="B9" s="15" t="s">
        <v>85</v>
      </c>
      <c r="C9" s="15">
        <v>4</v>
      </c>
      <c r="D9" s="1"/>
      <c r="E9" s="1"/>
      <c r="F9" s="22"/>
      <c r="W9" s="4"/>
    </row>
    <row r="10" spans="2:23" ht="15" thickBot="1">
      <c r="B10" s="16" t="s">
        <v>515</v>
      </c>
      <c r="C10" s="15">
        <v>1</v>
      </c>
      <c r="D10" s="1"/>
      <c r="E10" s="1"/>
      <c r="F10" s="22"/>
      <c r="W10" s="4"/>
    </row>
    <row r="11" spans="2:23" ht="15" thickBot="1">
      <c r="B11" s="12" t="s">
        <v>79</v>
      </c>
      <c r="C11" s="16">
        <v>51</v>
      </c>
      <c r="D11" s="1"/>
      <c r="E11" s="1"/>
      <c r="F11" s="22"/>
      <c r="W11" s="4"/>
    </row>
    <row r="12" spans="2:23" ht="27" thickBot="1">
      <c r="B12" s="1208" t="s">
        <v>83</v>
      </c>
      <c r="C12" s="1209"/>
      <c r="D12" s="1"/>
      <c r="E12" s="1"/>
      <c r="F12" s="22"/>
      <c r="W12" s="4"/>
    </row>
    <row r="13" spans="2:23" ht="15" thickBot="1">
      <c r="B13" s="13" t="s">
        <v>80</v>
      </c>
      <c r="C13" s="12" t="s">
        <v>81</v>
      </c>
      <c r="D13" s="1"/>
      <c r="E13" s="1"/>
      <c r="F13" s="22"/>
      <c r="W13" s="4"/>
    </row>
    <row r="14" spans="2:23">
      <c r="B14" s="17" t="s">
        <v>120</v>
      </c>
      <c r="C14" s="14">
        <v>12</v>
      </c>
      <c r="D14" s="1"/>
      <c r="E14" s="1"/>
      <c r="F14" s="22"/>
      <c r="W14" s="4"/>
    </row>
    <row r="15" spans="2:23">
      <c r="B15" s="17" t="s">
        <v>121</v>
      </c>
      <c r="C15" s="15">
        <v>3</v>
      </c>
      <c r="F15" s="6"/>
      <c r="W15" s="4"/>
    </row>
    <row r="16" spans="2:23" ht="21" customHeight="1" thickBot="1">
      <c r="B16" s="17" t="s">
        <v>122</v>
      </c>
      <c r="C16" s="15">
        <v>36</v>
      </c>
      <c r="F16" s="6"/>
      <c r="W16" s="4"/>
    </row>
    <row r="17" spans="2:23" ht="21" customHeight="1" thickBot="1">
      <c r="B17" s="12" t="s">
        <v>79</v>
      </c>
      <c r="C17" s="16">
        <v>51</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c r="F24" s="6"/>
      <c r="W24" s="4"/>
    </row>
    <row r="25" spans="2:23" ht="26.4">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16</v>
      </c>
      <c r="E38" s="20"/>
      <c r="F38" s="23"/>
      <c r="W38" s="4"/>
    </row>
    <row r="39" spans="2:23">
      <c r="B39" s="17" t="s">
        <v>116</v>
      </c>
      <c r="C39" s="15">
        <v>25</v>
      </c>
      <c r="E39" s="20"/>
      <c r="F39" s="23"/>
      <c r="W39" s="4"/>
    </row>
    <row r="40" spans="2:23" ht="15" thickBot="1">
      <c r="B40" s="17" t="s">
        <v>136</v>
      </c>
      <c r="C40" s="15">
        <v>10</v>
      </c>
      <c r="E40" s="20"/>
      <c r="F40" s="23"/>
      <c r="W40" s="4"/>
    </row>
    <row r="41" spans="2:23" ht="15" thickBot="1">
      <c r="B41" s="12" t="s">
        <v>79</v>
      </c>
      <c r="C41" s="16">
        <v>51</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78</v>
      </c>
      <c r="C45" s="14">
        <v>5</v>
      </c>
      <c r="F45" s="6"/>
      <c r="W45" s="4"/>
    </row>
    <row r="46" spans="2:23">
      <c r="B46" s="17" t="s">
        <v>77</v>
      </c>
      <c r="C46" s="15">
        <v>4</v>
      </c>
      <c r="F46" s="6"/>
      <c r="W46" s="4"/>
    </row>
    <row r="47" spans="2:23" ht="15" thickBot="1">
      <c r="B47" s="17" t="s">
        <v>100</v>
      </c>
      <c r="C47" s="15">
        <v>7</v>
      </c>
      <c r="F47" s="6"/>
      <c r="W47" s="4"/>
    </row>
    <row r="48" spans="2:23" ht="15" thickBot="1">
      <c r="B48" s="12" t="s">
        <v>79</v>
      </c>
      <c r="C48" s="16">
        <v>16</v>
      </c>
      <c r="F48" s="6"/>
      <c r="W48" s="4"/>
    </row>
    <row r="49" spans="2:23">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100</v>
      </c>
      <c r="C56" s="15">
        <v>3</v>
      </c>
      <c r="F56" s="6"/>
      <c r="W56" s="4"/>
    </row>
    <row r="57" spans="2:23">
      <c r="B57" s="17" t="s">
        <v>78</v>
      </c>
      <c r="C57" s="15">
        <v>12</v>
      </c>
      <c r="F57" s="6"/>
      <c r="W57" s="4"/>
    </row>
    <row r="58" spans="2:23" ht="15" thickBot="1">
      <c r="B58" s="17" t="s">
        <v>77</v>
      </c>
      <c r="C58" s="15">
        <v>8</v>
      </c>
      <c r="F58" s="7"/>
      <c r="G58" s="8"/>
      <c r="H58" s="8"/>
      <c r="I58" s="8"/>
      <c r="J58" s="8"/>
      <c r="K58" s="8"/>
      <c r="L58" s="8"/>
      <c r="M58" s="8"/>
      <c r="N58" s="8"/>
      <c r="O58" s="8"/>
      <c r="P58" s="8"/>
      <c r="Q58" s="8"/>
      <c r="R58" s="8"/>
      <c r="S58" s="8"/>
      <c r="T58" s="8"/>
      <c r="U58" s="8"/>
      <c r="V58" s="8"/>
      <c r="W58" s="9"/>
    </row>
    <row r="59" spans="2:23" ht="15" thickBot="1">
      <c r="B59" s="12" t="s">
        <v>79</v>
      </c>
      <c r="C59" s="16">
        <v>25</v>
      </c>
    </row>
    <row r="60" spans="2:23" ht="15" thickBot="1"/>
    <row r="61" spans="2:23" ht="15" thickBot="1">
      <c r="B61" s="18" t="s">
        <v>23</v>
      </c>
      <c r="C61" s="19" t="s">
        <v>136</v>
      </c>
    </row>
    <row r="62" spans="2:23" ht="15" thickBot="1"/>
    <row r="63" spans="2:23" ht="15" thickBot="1">
      <c r="B63" s="13" t="s">
        <v>80</v>
      </c>
      <c r="C63" s="12" t="s">
        <v>81</v>
      </c>
    </row>
    <row r="64" spans="2:23">
      <c r="B64" s="17" t="s">
        <v>85</v>
      </c>
      <c r="C64" s="14">
        <v>2</v>
      </c>
    </row>
    <row r="65" spans="2:3">
      <c r="B65" s="17" t="s">
        <v>78</v>
      </c>
      <c r="C65" s="15">
        <v>3</v>
      </c>
    </row>
    <row r="66" spans="2:3">
      <c r="B66" s="17" t="s">
        <v>77</v>
      </c>
      <c r="C66" s="15">
        <v>3</v>
      </c>
    </row>
    <row r="67" spans="2:3">
      <c r="B67" s="17" t="s">
        <v>100</v>
      </c>
      <c r="C67" s="15">
        <v>1</v>
      </c>
    </row>
    <row r="68" spans="2:3" ht="15" thickBot="1">
      <c r="B68" s="17" t="s">
        <v>515</v>
      </c>
      <c r="C68" s="15">
        <v>1</v>
      </c>
    </row>
    <row r="69" spans="2:3" ht="15" thickBot="1">
      <c r="B69" s="12" t="s">
        <v>79</v>
      </c>
      <c r="C69" s="16">
        <v>10</v>
      </c>
    </row>
  </sheetData>
  <mergeCells count="2">
    <mergeCell ref="B4:C4"/>
    <mergeCell ref="B12:C12"/>
  </mergeCells>
  <printOptions horizontalCentered="1" verticalCentered="1"/>
  <pageMargins left="0.7" right="0.7" top="0.75" bottom="0.75" header="0.3" footer="0.3"/>
  <pageSetup paperSize="8" scale="69" orientation="landscape" r:id="rId7"/>
  <headerFooter>
    <oddHeader xml:space="preserve">&amp;C&amp;18Delay based on variance 5% </oddHeader>
    <oddFooter>&amp;L&amp;D&amp;C&amp;F&amp;R&amp;D</oddFooter>
  </headerFooter>
  <rowBreaks count="1" manualBreakCount="1">
    <brk id="69" max="22" man="1"/>
  </rowBreaks>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EE4C-C93B-4A0C-A378-FE70D70F0B03}">
  <sheetPr>
    <tabColor rgb="FF00B050"/>
  </sheetPr>
  <dimension ref="A1:U4"/>
  <sheetViews>
    <sheetView rightToLeft="1" view="pageBreakPreview" zoomScale="70" zoomScaleNormal="70" zoomScaleSheetLayoutView="70" workbookViewId="0">
      <pane xSplit="4" ySplit="1" topLeftCell="E2" activePane="bottomRight" state="frozen"/>
      <selection activeCell="B4" sqref="B4"/>
      <selection pane="topRight" activeCell="B4" sqref="B4"/>
      <selection pane="bottomLeft" activeCell="B4" sqref="B4"/>
      <selection pane="bottomRight" activeCell="I3" sqref="I3"/>
    </sheetView>
  </sheetViews>
  <sheetFormatPr defaultColWidth="8.88671875" defaultRowHeight="14.4"/>
  <cols>
    <col min="1" max="1" width="3.5546875" style="112" customWidth="1"/>
    <col min="2" max="2" width="12.44140625" style="112" customWidth="1"/>
    <col min="3" max="3" width="18.44140625" style="112" customWidth="1"/>
    <col min="4" max="4" width="17.88671875" style="112" customWidth="1"/>
    <col min="5" max="6" width="13.44140625" style="112" customWidth="1"/>
    <col min="7" max="8" width="8.5546875" style="112" hidden="1" customWidth="1"/>
    <col min="9" max="9" width="11.33203125" style="112" customWidth="1"/>
    <col min="10" max="10" width="9" style="112" customWidth="1"/>
    <col min="11" max="11" width="10" style="112" customWidth="1"/>
    <col min="12" max="12" width="12.33203125" style="112" hidden="1" customWidth="1"/>
    <col min="13" max="13" width="13.44140625" style="112" hidden="1" customWidth="1"/>
    <col min="14" max="14" width="7.6640625" style="112" hidden="1" customWidth="1"/>
    <col min="15" max="15" width="17" style="117" customWidth="1"/>
    <col min="16" max="16" width="3.6640625" style="112" hidden="1" customWidth="1"/>
    <col min="17" max="17" width="44" style="112" hidden="1" customWidth="1"/>
    <col min="18" max="18" width="37.44140625" style="112" customWidth="1"/>
    <col min="19" max="20" width="38" style="112" customWidth="1"/>
    <col min="21" max="21" width="14.5546875" style="112" customWidth="1"/>
    <col min="22" max="16384" width="8.88671875" style="112"/>
  </cols>
  <sheetData>
    <row r="1" spans="1:21" s="117" customFormat="1" ht="78.599999999999994" customHeight="1">
      <c r="A1" s="455" t="s">
        <v>546</v>
      </c>
      <c r="B1" s="455" t="s">
        <v>556</v>
      </c>
      <c r="C1" s="451" t="s">
        <v>552</v>
      </c>
      <c r="D1" s="457" t="s">
        <v>553</v>
      </c>
      <c r="E1" s="452" t="s">
        <v>547</v>
      </c>
      <c r="F1" s="452" t="s">
        <v>548</v>
      </c>
      <c r="G1" s="452" t="s">
        <v>589</v>
      </c>
      <c r="H1" s="452" t="s">
        <v>575</v>
      </c>
      <c r="I1" s="452" t="s">
        <v>573</v>
      </c>
      <c r="J1" s="452" t="s">
        <v>574</v>
      </c>
      <c r="K1" s="452" t="s">
        <v>558</v>
      </c>
      <c r="L1" s="452" t="s">
        <v>585</v>
      </c>
      <c r="M1" s="452" t="s">
        <v>586</v>
      </c>
      <c r="N1" s="452" t="s">
        <v>549</v>
      </c>
      <c r="O1" s="452" t="s">
        <v>603</v>
      </c>
      <c r="P1" s="452" t="s">
        <v>563</v>
      </c>
      <c r="Q1" s="451" t="s">
        <v>554</v>
      </c>
      <c r="R1" s="451" t="s">
        <v>555</v>
      </c>
      <c r="S1" s="451" t="s">
        <v>578</v>
      </c>
      <c r="T1" s="451" t="s">
        <v>688</v>
      </c>
      <c r="U1" s="451" t="s">
        <v>550</v>
      </c>
    </row>
    <row r="2" spans="1:21" ht="211.2" customHeight="1">
      <c r="A2" s="459">
        <v>1</v>
      </c>
      <c r="B2" s="459">
        <v>901240141</v>
      </c>
      <c r="C2" s="459" t="str">
        <f>_xlfn.XLOOKUP(B2,Table1[PO],Table1[اسم المشروع],0)</f>
        <v xml:space="preserve">إستكمال تنفيذ شبكات الصرف الصحي بالأماكن المتضررة بالمدينة المنورة </v>
      </c>
      <c r="D2" s="459" t="str">
        <f>_xlfn.XLOOKUP(B2,Table1[PO],Table1[[المقاول ]],0)</f>
        <v xml:space="preserve">شركة البنايات العربية للمقاولات العامة </v>
      </c>
      <c r="E2" s="510">
        <f>_xlfn.XLOOKUP(B2,Table1[PO],Table1[بداية المشروع التعاقدية],0)</f>
        <v>45510</v>
      </c>
      <c r="F2" s="510">
        <f>_xlfn.XLOOKUP(B2,Table1[PO],Table1[نهاية المشروع المعدلة PMO LIVE],0)</f>
        <v>46232</v>
      </c>
      <c r="G2" s="543">
        <f>_xlfn.XLOOKUP(B2,Table1[PO],Table1[نسبة الإيقاف%],0)</f>
        <v>0</v>
      </c>
      <c r="H2" s="511">
        <f>_xlfn.XLOOKUP(B2,Table1[PO],Table1[المنفذ % - الإسبوع السابق],0)</f>
        <v>0.75</v>
      </c>
      <c r="I2" s="511">
        <f>_xlfn.XLOOKUP(B2,Table1[PO],Table1[المخطط % التراكمي],0)</f>
        <v>1</v>
      </c>
      <c r="J2" s="511">
        <f>_xlfn.XLOOKUP(B2,Table1[PO],Table1[المنفذ % التراكمي],0)</f>
        <v>0.75</v>
      </c>
      <c r="K2" s="512">
        <f>J2-I2</f>
        <v>-0.25</v>
      </c>
      <c r="L2" s="541">
        <f>_xlfn.XLOOKUP(B2,Table1[PO],Table1[نسبة المخطط التراكمي حتى 31 أكتوبر 2026],0)</f>
        <v>1</v>
      </c>
      <c r="M2" s="515">
        <f>_xlfn.XLOOKUP(B2,Table4[PO],Table4[النسبة المطلوب زيادتها في اكتوبر 2026 لتجنب / الخروج من التعثر],0)</f>
        <v>1.0000000000000009E-3</v>
      </c>
      <c r="N2" s="532">
        <f>(_xlfn.XLOOKUP(B2,Table1[PO],Table1[قيمة المشروع بالضريبة],0))/1000000</f>
        <v>26.01690632</v>
      </c>
      <c r="O2" s="564">
        <v>46387</v>
      </c>
      <c r="P2" s="545"/>
      <c r="Q2" s="517" t="str">
        <f>_xlfn.XLOOKUP(B2,Table4[PO],Table4[الإجراء الفني الحالي],0)</f>
        <v>1.تم اعداد خطه اصدار تصاريح بجميع الاعمال المتبقيه بالمشروع 
2. تم رفع عدد 11 تصريح بطول حوالي  1 كم تحت الجراء حاليا  
3. تم تشكيل لجنه الاختبار التشغيلي و توجيه استشاري الاشراف بالتنسيق  لشخوص اللجنه  للبدء في اجراءات  الاختبار التشغيلي
4. تم  توجيه الاستشاري و المقاول  بإستكمال الاختبار التشغيلي للمحطات التي لم يتم إيصال التيار الكهربائي  لها بإستخدام مولدات  كهرباء الطواريء المورده ( بنود تعاقديه بجدول الكميات ) بتاريخ12/10/2026</v>
      </c>
      <c r="R2" s="517" t="str">
        <f>_xlfn.XLOOKUP(B2,Table4[PO],Table4[الإجراءات الإدارية للمشاريع],0)</f>
        <v>1. الإستلام الإبتدائي للمشروع 
2.إستكمال اجرءات سحب المشروع (انهاء التعاقد)</v>
      </c>
      <c r="S2" s="517"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v>
      </c>
      <c r="T2" s="517" t="s">
        <v>689</v>
      </c>
      <c r="U2" s="459" t="s">
        <v>673</v>
      </c>
    </row>
    <row r="3" spans="1:21" ht="118.8">
      <c r="A3" s="458">
        <v>2</v>
      </c>
      <c r="B3" s="458">
        <v>901230173</v>
      </c>
      <c r="C3" s="458" t="str">
        <f>_xlfn.XLOOKUP(B3,Table1[PO],Table1[اسم المشروع],0)</f>
        <v xml:space="preserve">عقد تنفيذ شبكات الصرف الصحي بمحافظات منطقة المدينة المنورة الخطوط الرئيسية </v>
      </c>
      <c r="D3" s="458" t="str">
        <f>_xlfn.XLOOKUP(B3,Table1[PO],Table1[[المقاول ]],0)</f>
        <v>مؤسسة عبدالله ناصر الموسي للمقاولات</v>
      </c>
      <c r="E3" s="507">
        <f>_xlfn.XLOOKUP(B3,Table1[PO],Table1[بداية المشروع التعاقدية],0)</f>
        <v>45215</v>
      </c>
      <c r="F3" s="507">
        <f>_xlfn.XLOOKUP(B3,Table1[PO],Table1[نهاية المشروع المعدلة PMO LIVE],0)</f>
        <v>46311</v>
      </c>
      <c r="G3" s="542">
        <f>_xlfn.XLOOKUP(B3,Table1[PO],Table1[نسبة الإيقاف%],0)</f>
        <v>0</v>
      </c>
      <c r="H3" s="508">
        <f>_xlfn.XLOOKUP(B3,Table1[PO],Table1[المنفذ % - الإسبوع السابق],0)</f>
        <v>0.97160000000000002</v>
      </c>
      <c r="I3" s="508">
        <f>_xlfn.XLOOKUP(B3,Table1[PO],Table1[المخطط % التراكمي],0)</f>
        <v>1</v>
      </c>
      <c r="J3" s="508">
        <f>_xlfn.XLOOKUP(B3,Table1[PO],Table1[المنفذ % التراكمي],0)</f>
        <v>0.97160000000000002</v>
      </c>
      <c r="K3" s="509">
        <f>J3-I3</f>
        <v>-2.8399999999999981E-2</v>
      </c>
      <c r="L3" s="540">
        <f>_xlfn.XLOOKUP(B3,Table1[PO],Table1[نسبة المخطط التراكمي حتى 31 أكتوبر 2026],0)</f>
        <v>1.0000000000000002</v>
      </c>
      <c r="M3" s="514">
        <f>_xlfn.XLOOKUP(B3,Table4[PO],Table4[النسبة المطلوب زيادتها في اكتوبر 2026 لتجنب / الخروج من التعثر],0)</f>
        <v>0</v>
      </c>
      <c r="N3" s="531">
        <f>(_xlfn.XLOOKUP(B3,Table1[PO],Table1[قيمة المشروع بالضريبة],0))/1000000</f>
        <v>44.274999999999999</v>
      </c>
      <c r="O3" s="563">
        <v>46387</v>
      </c>
      <c r="P3" s="513"/>
      <c r="Q3" s="516" t="str">
        <f>_xlfn.XLOOKUP(B3,Table4[PO],Table4[الإجراء الفني الحالي],0)</f>
        <v xml:space="preserve">1.تم اعاده اعمال التصوير التلفزيوني لحي الصفق الاحمر مع قياس الخلوصات بين المواسيرطبقا لملاحظات التشغيل و الصيانه و تم طلب تقرير بإيستيفاء ملاحظات التشغيل و الصيانه من الاستشاري  بحد اقصي تاريخ 13/10/2026 </v>
      </c>
      <c r="R3" s="516" t="str">
        <f>_xlfn.XLOOKUP(B3,Table4[PO],Table4[الإجراءات الإدارية للمشاريع],0)</f>
        <v>1. الاستلام الابتدائي للمشروع</v>
      </c>
      <c r="S3" s="516" t="str">
        <f>_xlfn.XLOOKUP(B3,Table4[PO],Table4[اخر تحديث الإجراء الإداري الحالي للمشروع],0)</f>
        <v>1.يتم الإجتماع بشكل دوري مع التشغيل و الصيانة لإنهاء ملاحظات الاختبارات التشغيلية تمهيدا للبدء باجراءات الاستلام الابتدائي للمشروع قبل 31/10/2026.</v>
      </c>
      <c r="T3" s="516" t="s">
        <v>690</v>
      </c>
      <c r="U3" s="458" t="s">
        <v>856</v>
      </c>
    </row>
    <row r="4" spans="1:21" ht="30" customHeight="1">
      <c r="A4" s="1210" t="s">
        <v>551</v>
      </c>
      <c r="B4" s="1211"/>
      <c r="C4" s="1211"/>
      <c r="D4" s="1211"/>
      <c r="E4" s="1211"/>
      <c r="F4" s="1211"/>
      <c r="G4" s="1211"/>
      <c r="H4" s="1211"/>
      <c r="I4" s="1211"/>
      <c r="J4" s="1211"/>
      <c r="K4" s="1212"/>
      <c r="L4" s="456"/>
      <c r="M4" s="456"/>
      <c r="N4" s="453">
        <f>SUM(N2:N3)</f>
        <v>70.291906319999995</v>
      </c>
      <c r="O4" s="453"/>
      <c r="P4" s="453"/>
      <c r="Q4" s="454"/>
      <c r="R4" s="454"/>
      <c r="S4" s="454"/>
      <c r="T4" s="454"/>
      <c r="U4" s="454"/>
    </row>
  </sheetData>
  <mergeCells count="1">
    <mergeCell ref="A4:K4"/>
  </mergeCells>
  <printOptions horizontalCentered="1"/>
  <pageMargins left="0.2" right="0.2" top="0.75" bottom="0.75" header="0.3" footer="0.3"/>
  <pageSetup paperSize="8" scale="61" orientation="landscape" r:id="rId1"/>
  <headerFooter>
    <oddHeader>&amp;C&amp;"-,Bold"&amp;20موقف المشاريع المتعثرة حتي 16 يوليو 2026</oddHeader>
    <oddFooter>&amp;C&amp;P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E687-86BA-4DCD-A2FA-8100D8745520}">
  <sheetPr>
    <tabColor rgb="FF00B050"/>
  </sheetPr>
  <dimension ref="A1:W4"/>
  <sheetViews>
    <sheetView rightToLeft="1" view="pageBreakPreview" zoomScale="55" zoomScaleNormal="70" zoomScaleSheetLayoutView="55" workbookViewId="0">
      <pane xSplit="4" ySplit="1" topLeftCell="E2" activePane="bottomRight" state="frozen"/>
      <selection activeCell="B4" sqref="B4"/>
      <selection pane="topRight" activeCell="B4" sqref="B4"/>
      <selection pane="bottomLeft" activeCell="B4" sqref="B4"/>
      <selection pane="bottomRight" activeCell="T8" sqref="T8"/>
    </sheetView>
  </sheetViews>
  <sheetFormatPr defaultColWidth="8.88671875" defaultRowHeight="14.4"/>
  <cols>
    <col min="1" max="1" width="3.5546875" style="112" customWidth="1"/>
    <col min="2" max="2" width="12.109375" style="574" customWidth="1"/>
    <col min="3" max="3" width="21.44140625" style="112" customWidth="1"/>
    <col min="4" max="4" width="17" style="112" customWidth="1"/>
    <col min="5" max="5" width="12.6640625" style="112" customWidth="1"/>
    <col min="6" max="6" width="13.44140625" style="112" customWidth="1"/>
    <col min="7" max="8" width="8.5546875" style="574" hidden="1" customWidth="1"/>
    <col min="9" max="9" width="10.6640625" style="112" customWidth="1"/>
    <col min="10" max="10" width="10.109375" style="112" customWidth="1"/>
    <col min="11" max="12" width="9.33203125" style="574" customWidth="1"/>
    <col min="13" max="13" width="13.5546875" style="574" hidden="1" customWidth="1"/>
    <col min="14" max="14" width="15.109375" style="574" hidden="1" customWidth="1"/>
    <col min="15" max="15" width="9.33203125" style="112" customWidth="1"/>
    <col min="16" max="16" width="12.44140625" style="574" hidden="1" customWidth="1"/>
    <col min="17" max="17" width="7.109375" style="574" customWidth="1"/>
    <col min="18" max="18" width="21.88671875" style="112" customWidth="1"/>
    <col min="19" max="19" width="46.5546875" style="112" hidden="1" customWidth="1"/>
    <col min="20" max="20" width="29.44140625" style="112" customWidth="1"/>
    <col min="21" max="21" width="20.88671875" style="112" customWidth="1"/>
    <col min="22" max="22" width="58" style="112" customWidth="1"/>
    <col min="23" max="23" width="15.6640625" style="112" hidden="1" customWidth="1"/>
    <col min="24" max="16384" width="8.88671875" style="112"/>
  </cols>
  <sheetData>
    <row r="1" spans="1:23" s="613" customFormat="1" ht="78.599999999999994" customHeight="1">
      <c r="A1" s="612" t="s">
        <v>546</v>
      </c>
      <c r="B1" s="612" t="s">
        <v>556</v>
      </c>
      <c r="C1" s="612" t="s">
        <v>604</v>
      </c>
      <c r="D1" s="612" t="s">
        <v>605</v>
      </c>
      <c r="E1" s="612" t="s">
        <v>606</v>
      </c>
      <c r="F1" s="612" t="s">
        <v>607</v>
      </c>
      <c r="G1" s="620" t="s">
        <v>589</v>
      </c>
      <c r="H1" s="620" t="s">
        <v>575</v>
      </c>
      <c r="I1" s="612" t="s">
        <v>608</v>
      </c>
      <c r="J1" s="612" t="s">
        <v>609</v>
      </c>
      <c r="K1" s="612" t="s">
        <v>558</v>
      </c>
      <c r="L1" s="612" t="s">
        <v>76</v>
      </c>
      <c r="M1" s="612" t="s">
        <v>637</v>
      </c>
      <c r="N1" s="612" t="s">
        <v>658</v>
      </c>
      <c r="O1" s="612" t="s">
        <v>610</v>
      </c>
      <c r="P1" s="620" t="s">
        <v>590</v>
      </c>
      <c r="Q1" s="612" t="s">
        <v>659</v>
      </c>
      <c r="R1" s="612" t="s">
        <v>611</v>
      </c>
      <c r="S1" s="612" t="s">
        <v>629</v>
      </c>
      <c r="T1" s="612" t="s">
        <v>554</v>
      </c>
      <c r="U1" s="612" t="s">
        <v>555</v>
      </c>
      <c r="V1" s="612" t="s">
        <v>578</v>
      </c>
      <c r="W1" s="612" t="s">
        <v>550</v>
      </c>
    </row>
    <row r="2" spans="1:23" ht="108.6" customHeight="1">
      <c r="A2" s="459">
        <v>1</v>
      </c>
      <c r="B2" s="614">
        <v>901240386</v>
      </c>
      <c r="C2" s="459" t="str">
        <f>_xlfn.XLOOKUP(B2,Table4[PO],Table4[اسم المشروع],0)</f>
        <v>تنفيذ خط المياه الرئيسي لتغذية توسعة المطار</v>
      </c>
      <c r="D2" s="459" t="str">
        <f>_xlfn.XLOOKUP(B2,Table4[PO],Table4[[المقاول ]],0)</f>
        <v>شركة دقة الابعاد للمقاولات</v>
      </c>
      <c r="E2" s="510">
        <f>_xlfn.XLOOKUP(B2,Table4[PO],Table4[بداية المشروع التعاقدية],0)</f>
        <v>45708</v>
      </c>
      <c r="F2" s="510">
        <f>_xlfn.XLOOKUP(B2,Table4[PO],Table4[نهاية المشروع المعدلة PMO LIVE],0)</f>
        <v>46201</v>
      </c>
      <c r="G2" s="511">
        <f>_xlfn.XLOOKUP(B2,Table4[PO],Table4[نسبة الإيقاف%],0)</f>
        <v>0</v>
      </c>
      <c r="H2" s="511">
        <f>_xlfn.XLOOKUP(B2,Table4[PO],Table4[المنفذ % الفعلي حتي الإسبوع السابق],0)</f>
        <v>0.1774</v>
      </c>
      <c r="I2" s="511">
        <f>_xlfn.XLOOKUP(B2,Table4[PO],Table4[المخطط % التراكمي],0)</f>
        <v>1</v>
      </c>
      <c r="J2" s="511">
        <f>_xlfn.XLOOKUP(B2,Table4[PO],Table4[المنفذ % التراكمي],0)</f>
        <v>0.1774</v>
      </c>
      <c r="K2" s="512">
        <f>J2-I2</f>
        <v>-0.8226</v>
      </c>
      <c r="L2" s="512">
        <f>_xlfn.XLOOKUP(B2,Table1[PO],Table1[حالة المشروع],0)</f>
        <v>0</v>
      </c>
      <c r="M2" s="512">
        <f>_xlfn.XLOOKUP(B2,Table4[PO],Table4[نسبة المخطط التراكمي حتى 31 اكتوبر 2026],0)</f>
        <v>1</v>
      </c>
      <c r="N2" s="616">
        <f>_xlfn.XLOOKUP(B2,Table1[PO],Table1[النسبة المطلوب زيادتها في أكتوبر 2026 للإنتظام],0)</f>
        <v>0</v>
      </c>
      <c r="O2" s="532">
        <f>_xlfn.XLOOKUP(B2,Table4[PO],Table4[قيمة المشروع بالضريبة],0)</f>
        <v>20.806386499999999</v>
      </c>
      <c r="P2" s="619">
        <f t="shared" ref="P2:P3" si="0">F2+60</f>
        <v>46261</v>
      </c>
      <c r="Q2" s="619" t="s">
        <v>339</v>
      </c>
      <c r="R2" s="670" t="s">
        <v>657</v>
      </c>
      <c r="S2" s="517"/>
      <c r="T2" s="517" t="str">
        <f>_xlfn.XLOOKUP(B2,Table4[PO],Table4[الإجراء الفني الحالي],0)</f>
        <v>لا يوجد اجراء فني</v>
      </c>
      <c r="U2" s="517" t="str">
        <f>_xlfn.XLOOKUP(B2,Table4[PO],Table4[الإجراءات الإدارية للمشاريع],0)</f>
        <v>لا توجد معاملة جارية</v>
      </c>
      <c r="V2" s="517" t="str">
        <f>_xlfn.XLOOKUP(B2,Table4[PO],Table4[اخر تحديث الإجراء الإداري الحالي للمشروع],0)</f>
        <v>لا يوجد</v>
      </c>
      <c r="W2" s="459"/>
    </row>
    <row r="3" spans="1:23" ht="104.4" customHeight="1">
      <c r="A3" s="458">
        <v>2</v>
      </c>
      <c r="B3" s="562">
        <v>601230179</v>
      </c>
      <c r="C3" s="458" t="s">
        <v>661</v>
      </c>
      <c r="D3" s="458" t="s">
        <v>660</v>
      </c>
      <c r="E3" s="507">
        <v>45368</v>
      </c>
      <c r="F3" s="507">
        <v>46463</v>
      </c>
      <c r="G3" s="508">
        <f>_xlfn.XLOOKUP(B3,Table4[PO],Table4[نسبة الإيقاف%],0)</f>
        <v>0</v>
      </c>
      <c r="H3" s="508">
        <f>_xlfn.XLOOKUP(B3,Table4[PO],Table4[المنفذ % الفعلي حتي الإسبوع السابق],0)</f>
        <v>0</v>
      </c>
      <c r="I3" s="508">
        <v>0.43959999999999999</v>
      </c>
      <c r="J3" s="508">
        <f>_xlfn.XLOOKUP(B3,Table4[PO],Table4[المنفذ % التراكمي],0)</f>
        <v>0</v>
      </c>
      <c r="K3" s="509">
        <f>J3-I3</f>
        <v>-0.43959999999999999</v>
      </c>
      <c r="L3" s="509" t="s">
        <v>85</v>
      </c>
      <c r="M3" s="509">
        <f>_xlfn.XLOOKUP(B3,Table4[PO],Table4[نسبة المخطط التراكمي حتى 31 اكتوبر 2026],0)</f>
        <v>0</v>
      </c>
      <c r="N3" s="615">
        <f>_xlfn.XLOOKUP(B3,Table4[PO],Table4[النسبة المطلوب زيادتها في اكتوبر 2026 لتجنب / الخروج من التعثر],0)</f>
        <v>0</v>
      </c>
      <c r="O3" s="531">
        <v>28.35</v>
      </c>
      <c r="P3" s="618">
        <f t="shared" si="0"/>
        <v>46523</v>
      </c>
      <c r="Q3" s="618" t="s">
        <v>339</v>
      </c>
      <c r="R3" s="669" t="s">
        <v>668</v>
      </c>
      <c r="S3" s="516" t="s">
        <v>631</v>
      </c>
      <c r="T3" s="516" t="s">
        <v>633</v>
      </c>
      <c r="U3" s="516" t="s">
        <v>669</v>
      </c>
      <c r="V3" s="516" t="s">
        <v>670</v>
      </c>
      <c r="W3" s="458" t="s">
        <v>564</v>
      </c>
    </row>
    <row r="4" spans="1:23" ht="30" customHeight="1">
      <c r="A4" s="1213" t="s">
        <v>551</v>
      </c>
      <c r="B4" s="1214"/>
      <c r="C4" s="1214"/>
      <c r="D4" s="1214"/>
      <c r="E4" s="1214"/>
      <c r="F4" s="1214"/>
      <c r="G4" s="1214"/>
      <c r="H4" s="1214"/>
      <c r="I4" s="1214"/>
      <c r="J4" s="1214"/>
      <c r="K4" s="1215"/>
      <c r="L4" s="668"/>
      <c r="M4" s="617"/>
      <c r="N4" s="617"/>
      <c r="O4" s="505">
        <f>SUM(O2:O3)</f>
        <v>49.156386499999996</v>
      </c>
      <c r="P4" s="605"/>
      <c r="Q4" s="605"/>
      <c r="R4" s="477"/>
      <c r="S4" s="477"/>
      <c r="T4" s="642"/>
      <c r="U4" s="642"/>
      <c r="V4" s="642"/>
      <c r="W4" s="642"/>
    </row>
  </sheetData>
  <autoFilter ref="A1:W4" xr:uid="{733BFC1D-D875-44BE-B9A5-F5DFB65E31ED}"/>
  <mergeCells count="1">
    <mergeCell ref="A4:K4"/>
  </mergeCells>
  <printOptions horizontalCentered="1"/>
  <pageMargins left="0.2" right="0.2" top="0.75" bottom="0.75" header="0.3" footer="0.3"/>
  <pageSetup paperSize="8" scale="59" orientation="landscape" r:id="rId1"/>
  <headerFooter>
    <oddHeader>&amp;C&amp;"-,Bold"&amp;20موقف المشاريع المتعثرة حتي 31 يوليو 2026</oddHeader>
    <oddFooter>&amp;C&amp;P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16B7-C1AB-45A4-AFD0-E6D870EDF88B}">
  <sheetPr>
    <tabColor rgb="FF3C57F6"/>
  </sheetPr>
  <dimension ref="A1:BS85"/>
  <sheetViews>
    <sheetView rightToLeft="1" view="pageBreakPreview" zoomScale="70" zoomScaleNormal="80" zoomScaleSheetLayoutView="70" workbookViewId="0">
      <pane xSplit="4" ySplit="2" topLeftCell="O4" activePane="bottomRight" state="frozen"/>
      <selection pane="topRight" activeCell="E1" sqref="E1"/>
      <selection pane="bottomLeft" activeCell="A3" sqref="A3"/>
      <selection pane="bottomRight" activeCell="BB8" sqref="BB8"/>
    </sheetView>
  </sheetViews>
  <sheetFormatPr defaultColWidth="8.88671875" defaultRowHeight="75" customHeight="1"/>
  <cols>
    <col min="1" max="1" width="4.33203125" style="29" customWidth="1"/>
    <col min="2" max="2" width="8.5546875" style="29" customWidth="1"/>
    <col min="3" max="3" width="13.88671875" style="29"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5.109375" style="29" customWidth="1"/>
    <col min="12" max="12" width="8.88671875" style="29" customWidth="1"/>
    <col min="13" max="13" width="6" style="29" customWidth="1"/>
    <col min="14" max="14" width="7.33203125" style="597"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hidden="1"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203" t="s">
        <v>975</v>
      </c>
      <c r="B1" s="1203"/>
      <c r="C1" s="1203"/>
      <c r="D1" s="1204"/>
      <c r="E1" s="1203"/>
      <c r="F1" s="1203"/>
      <c r="G1" s="1203"/>
      <c r="H1" s="1203"/>
      <c r="I1" s="1203"/>
      <c r="J1" s="1203"/>
      <c r="K1" s="1203"/>
      <c r="L1" s="1203"/>
      <c r="M1" s="1203"/>
      <c r="N1" s="1203"/>
      <c r="O1" s="1203"/>
      <c r="P1" s="1203"/>
      <c r="Q1" s="1203"/>
      <c r="R1" s="1203"/>
      <c r="S1" s="1203"/>
      <c r="T1" s="1203"/>
      <c r="U1" s="1203"/>
      <c r="V1" s="1203"/>
      <c r="W1" s="1203"/>
      <c r="X1" s="1203"/>
      <c r="Y1" s="1203"/>
      <c r="Z1" s="1203"/>
      <c r="AA1" s="1203"/>
      <c r="AB1" s="1203"/>
      <c r="AC1" s="1203"/>
      <c r="AD1" s="1203"/>
      <c r="AE1" s="1203"/>
      <c r="AF1" s="1203"/>
      <c r="AG1" s="1203"/>
      <c r="AH1" s="1203"/>
      <c r="AI1" s="1203"/>
      <c r="AJ1" s="1203"/>
      <c r="AK1" s="1203"/>
      <c r="AL1" s="1203"/>
      <c r="AM1" s="1203"/>
      <c r="AN1" s="1203"/>
      <c r="AO1" s="1203"/>
      <c r="AP1" s="1203"/>
      <c r="AQ1" s="1203"/>
      <c r="AR1" s="1203"/>
      <c r="AS1" s="1203"/>
      <c r="AT1" s="1203"/>
      <c r="AU1" s="1203"/>
      <c r="AV1" s="1203"/>
      <c r="AW1" s="1203"/>
      <c r="AX1" s="1203"/>
      <c r="AY1" s="1203"/>
      <c r="AZ1" s="1203"/>
      <c r="BA1" s="1203"/>
      <c r="BB1" s="1203"/>
      <c r="BC1" s="1203"/>
      <c r="BD1" s="1203"/>
      <c r="BE1" s="1203"/>
      <c r="BF1" s="1203"/>
      <c r="BG1" s="1203"/>
      <c r="BH1" s="1203"/>
      <c r="BI1" s="1203"/>
      <c r="BJ1" s="1203"/>
      <c r="BK1" s="1203"/>
      <c r="BL1" s="311"/>
      <c r="BM1" s="313"/>
      <c r="BN1" s="313"/>
      <c r="BO1" s="139" t="s">
        <v>121</v>
      </c>
      <c r="BP1" s="140" t="s">
        <v>120</v>
      </c>
      <c r="BQ1" s="901"/>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874</v>
      </c>
      <c r="M2" s="72" t="s">
        <v>258</v>
      </c>
      <c r="N2" s="521" t="s">
        <v>435</v>
      </c>
      <c r="O2" s="309" t="s">
        <v>464</v>
      </c>
      <c r="P2" s="72" t="s">
        <v>7</v>
      </c>
      <c r="Q2" s="521" t="s">
        <v>639</v>
      </c>
      <c r="R2" s="72" t="s">
        <v>76</v>
      </c>
      <c r="S2" s="72" t="s">
        <v>256</v>
      </c>
      <c r="T2" s="264" t="s">
        <v>257</v>
      </c>
      <c r="U2" s="592" t="s">
        <v>314</v>
      </c>
      <c r="V2" s="72" t="s">
        <v>411</v>
      </c>
      <c r="W2" s="264" t="s">
        <v>263</v>
      </c>
      <c r="X2" s="264" t="s">
        <v>561</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662</v>
      </c>
      <c r="AN2" s="438" t="s">
        <v>663</v>
      </c>
      <c r="AO2" s="438" t="s">
        <v>664</v>
      </c>
      <c r="AP2" s="438" t="s">
        <v>665</v>
      </c>
      <c r="AQ2" s="74" t="s">
        <v>125</v>
      </c>
      <c r="AR2" s="273" t="s">
        <v>275</v>
      </c>
      <c r="AS2" s="74" t="s">
        <v>823</v>
      </c>
      <c r="AT2" s="74" t="s">
        <v>542</v>
      </c>
      <c r="AU2" s="74" t="s">
        <v>824</v>
      </c>
      <c r="AV2" s="74" t="s">
        <v>541</v>
      </c>
      <c r="AW2" s="74" t="s">
        <v>825</v>
      </c>
      <c r="AX2" s="355" t="s">
        <v>254</v>
      </c>
      <c r="AY2" s="438" t="s">
        <v>255</v>
      </c>
      <c r="AZ2" s="72" t="s">
        <v>192</v>
      </c>
      <c r="BA2" s="72" t="s">
        <v>686</v>
      </c>
      <c r="BB2" s="75" t="s">
        <v>112</v>
      </c>
      <c r="BC2" s="75" t="s">
        <v>98</v>
      </c>
      <c r="BD2" s="354" t="s">
        <v>410</v>
      </c>
      <c r="BE2" s="354" t="s">
        <v>409</v>
      </c>
      <c r="BF2" s="354" t="s">
        <v>119</v>
      </c>
      <c r="BG2" s="355" t="s">
        <v>433</v>
      </c>
      <c r="BH2" s="265" t="s">
        <v>135</v>
      </c>
      <c r="BI2" s="655" t="s">
        <v>139</v>
      </c>
      <c r="BJ2" s="647" t="s">
        <v>279</v>
      </c>
      <c r="BK2" s="266" t="s">
        <v>278</v>
      </c>
      <c r="BL2" s="315" t="s">
        <v>466</v>
      </c>
      <c r="BM2" s="315" t="s">
        <v>467</v>
      </c>
      <c r="BN2" s="315" t="s">
        <v>468</v>
      </c>
      <c r="BQ2" s="902"/>
    </row>
    <row r="3" spans="1:71" s="248" customFormat="1" ht="30" hidden="1" customHeight="1">
      <c r="A3" s="80">
        <f>SUBTOTAL(3,$D$3:D3)</f>
        <v>0</v>
      </c>
      <c r="B3" s="83" t="s">
        <v>415</v>
      </c>
      <c r="C3" s="43" t="s">
        <v>413</v>
      </c>
      <c r="D3" s="42">
        <v>901250436</v>
      </c>
      <c r="E3" s="43" t="s">
        <v>402</v>
      </c>
      <c r="F3" s="43" t="s">
        <v>318</v>
      </c>
      <c r="G3" s="43" t="s">
        <v>159</v>
      </c>
      <c r="H3" s="43" t="s">
        <v>693</v>
      </c>
      <c r="I3" s="43" t="s">
        <v>404</v>
      </c>
      <c r="J3" s="43" t="s">
        <v>123</v>
      </c>
      <c r="K3" s="42" t="s">
        <v>116</v>
      </c>
      <c r="L3" s="42">
        <v>0</v>
      </c>
      <c r="M3" s="42" t="s">
        <v>259</v>
      </c>
      <c r="N3" s="593" t="s">
        <v>120</v>
      </c>
      <c r="O3" s="70">
        <v>0</v>
      </c>
      <c r="P3" s="43" t="s">
        <v>654</v>
      </c>
      <c r="Q3" s="712" t="s">
        <v>654</v>
      </c>
      <c r="R3" s="712" t="s">
        <v>654</v>
      </c>
      <c r="S3" s="44">
        <v>46033</v>
      </c>
      <c r="T3" s="250">
        <v>46763</v>
      </c>
      <c r="U3" s="250">
        <v>46995</v>
      </c>
      <c r="V3" s="44">
        <v>46995</v>
      </c>
      <c r="W3" s="255">
        <f>Table13[[#This Row],[نهاية المشروع المعدلة PMO LIVE]]-Table13[[#This Row],[نهاية المشروع المعدلة EPPM]]</f>
        <v>0</v>
      </c>
      <c r="X3" s="255" t="s">
        <v>169</v>
      </c>
      <c r="Y3" s="253">
        <v>47126</v>
      </c>
      <c r="Z3" s="44">
        <f>_xlfn.XLOOKUP(Table13[[#This Row],[PO]],Table156101114[PO],Table156101114[[النهاية المتوقعة ]],0)</f>
        <v>47126</v>
      </c>
      <c r="AA3" s="719">
        <f>Table13[[#This Row],[النهاية طبقاً للتحديث الاسبوعي الحالي]]-Table13[[#This Row],[النهاية طبقاً للتحديث الاسبوعي السابق]]</f>
        <v>0</v>
      </c>
      <c r="AB3" s="522">
        <v>51109542</v>
      </c>
      <c r="AC3" s="109">
        <v>58775973.299999997</v>
      </c>
      <c r="AD3" s="258">
        <v>1.8700000000000001E-2</v>
      </c>
      <c r="AE3" s="258">
        <v>0</v>
      </c>
      <c r="AF3" s="90">
        <f>_xlfn.XLOOKUP(Table13[[#This Row],[PO]],Table156101114[PO],Table156101114[المخطط % 15 اكتوبر2026],0)</f>
        <v>1.8700000000000001E-2</v>
      </c>
      <c r="AG3" s="90">
        <f>_xlfn.XLOOKUP(Table13[[#This Row],[PO]],Table156101114[PO],Table156101114[Act %],0)</f>
        <v>0</v>
      </c>
      <c r="AH3" s="627">
        <f>Table13[[#This Row],[المخطط % التراكمي]]-Table13[[#This Row],[المخطط % - الإسبوع السابق ]]</f>
        <v>0</v>
      </c>
      <c r="AI3" s="630">
        <f>Table13[[#This Row],[المنفذ % التراكمي]]-Table13[[#This Row],[المنفذ % - الإسبوع السابق]]</f>
        <v>0</v>
      </c>
      <c r="AJ3" s="102">
        <f>Table13[[#This Row],[المنفذ % التراكمي]]-Table13[[#This Row],[المخطط % التراكمي]]</f>
        <v>-1.8700000000000001E-2</v>
      </c>
      <c r="AK3" s="636"/>
      <c r="AL3" s="636"/>
      <c r="AM3" s="673"/>
      <c r="AN3" s="673"/>
      <c r="AO3" s="673"/>
      <c r="AP3" s="673"/>
      <c r="AQ3" s="107">
        <f>_xlfn.XLOOKUP(Table13[[#This Row],[PO]],Table156101114[PO],Table156101114[TF],0)</f>
        <v>-151</v>
      </c>
      <c r="AR3" s="276">
        <f>Table13[[#This Row],[نسبة الإنجاز المتبقية %]]/(Table13[[#This Row],[مدة المشروع المتبقية بالشهور]])</f>
        <v>4.3795620437956199E-2</v>
      </c>
      <c r="AS3" s="70">
        <v>4.2105400787978108E-2</v>
      </c>
      <c r="AT3" s="70">
        <v>0</v>
      </c>
      <c r="AU3" s="446">
        <f>Table13[[#This Row],[نسبة الانجاز التراكمي المطلوب للإنتظام]]-Table13[[#This Row],[المنفذ % التراكمي]]</f>
        <v>0</v>
      </c>
      <c r="AV3" s="70">
        <v>0</v>
      </c>
      <c r="AW3" s="449">
        <f>Table13[[#This Row],[نسبة الانجاز التراكمي المطلوب لتجنب التعثر]]-Table13[[#This Row],[المنفذ % التراكمي]]</f>
        <v>0</v>
      </c>
      <c r="AX3" s="440">
        <f>100%-Table13[[#This Row],[المنفذ % التراكمي]]</f>
        <v>1</v>
      </c>
      <c r="AY3" s="440">
        <f>100%-Table13[[#This Row],[نسبة المدة المنقضية %]]</f>
        <v>0.71205821205821207</v>
      </c>
      <c r="AZ3" s="70">
        <f>_xlfn.XLOOKUP(Table13[[#This Row],[PO]],Table156101114[PO],Table156101114[المدة المنقضية],0)</f>
        <v>0.28794178794178793</v>
      </c>
      <c r="BA3" s="70" t="s">
        <v>122</v>
      </c>
      <c r="BB3" s="108" t="s">
        <v>122</v>
      </c>
      <c r="BC3" s="96">
        <f>_xlfn.XLOOKUP(Table13[[#This Row],[PO]],Table156101114[PO],Table156101114[SPI],0)</f>
        <v>0</v>
      </c>
      <c r="BD3" s="359">
        <f>Table13[[#This Row],[نسبة المدة المنقضية %]]*Table13[[#This Row],[مدة المشروع الكلية بالشهور]]</f>
        <v>9.2333333333333343</v>
      </c>
      <c r="BE3" s="360">
        <f>Table13[[#This Row],[نسبة المدة المتبقية %]]*Table13[[#This Row],[مدة المشروع الكلية بالشهور]]</f>
        <v>22.833333333333336</v>
      </c>
      <c r="BF3" s="360">
        <f>(Table13[[#This Row],[نهاية المشروع المعدلة PMO LIVE]]-Table13[[#This Row],[بداية المشروع التعاقدية]])</f>
        <v>962</v>
      </c>
      <c r="BG3" s="361">
        <f>(Table13[[#This Row],[نهاية المشروع المعدلة PMO LIVE]]-Table13[[#This Row],[بداية المشروع التعاقدية]])/30</f>
        <v>32.06666666666667</v>
      </c>
      <c r="BH3" s="260">
        <f>1.25*Table13[[#This Row],[مدة المشروع بالايام]]</f>
        <v>1202.5</v>
      </c>
      <c r="BI3" s="621">
        <f>Table13[[#This Row],[125%من مدة المشروع]]+Table13[[#This Row],[بداية المشروع التعاقدية]]</f>
        <v>47235.5</v>
      </c>
      <c r="BJ3" s="648">
        <f>Table13[[#This Row],[قيمة المشروع بالضريبة]]*Table13[[#This Row],[المخطط % التراكمي]]</f>
        <v>1099110.70071</v>
      </c>
      <c r="BK3" s="269">
        <f>Table13[[#This Row],[قيمة المشروع بالضريبة]]*Table13[[#This Row],[المنفذ % التراكمي]]</f>
        <v>0</v>
      </c>
      <c r="BL3" s="316">
        <f>Table13[[#This Row],[نسبة الإنجاز المتبقية %]]*Table13[[#This Row],[قيمة المشروع بالضريبة]]</f>
        <v>58775973.299999997</v>
      </c>
      <c r="BM3" s="316">
        <f>Table13[[#This Row],[نسبة الإيقاف%]]*Table13[[#This Row],[قيمة المشروع بالضريبة]]</f>
        <v>0</v>
      </c>
      <c r="BN3" s="317">
        <f>Table13[[#This Row],[Suspended Budget]]/Table13[[#This Row],[Remaining Budget]]</f>
        <v>0</v>
      </c>
      <c r="BQ3" s="903"/>
      <c r="BR3" s="904"/>
      <c r="BS3" s="904"/>
    </row>
    <row r="4" spans="1:71" ht="30" customHeight="1">
      <c r="A4" s="80">
        <f>SUBTOTAL(3,$D$3:D4)</f>
        <v>1</v>
      </c>
      <c r="B4" s="83" t="s">
        <v>297</v>
      </c>
      <c r="C4" s="43" t="s">
        <v>211</v>
      </c>
      <c r="D4" s="42">
        <v>901240102</v>
      </c>
      <c r="E4" s="43" t="s">
        <v>69</v>
      </c>
      <c r="F4" s="43" t="s">
        <v>321</v>
      </c>
      <c r="G4" s="43" t="s">
        <v>151</v>
      </c>
      <c r="H4" s="152" t="s">
        <v>153</v>
      </c>
      <c r="I4" s="43" t="s">
        <v>15</v>
      </c>
      <c r="J4" s="43" t="s">
        <v>123</v>
      </c>
      <c r="K4" s="42" t="s">
        <v>73</v>
      </c>
      <c r="L4" s="42">
        <v>2</v>
      </c>
      <c r="M4" s="42" t="s">
        <v>259</v>
      </c>
      <c r="N4" s="593" t="s">
        <v>120</v>
      </c>
      <c r="O4" s="70">
        <v>0</v>
      </c>
      <c r="P4" s="43" t="s">
        <v>72</v>
      </c>
      <c r="Q4" s="84" t="s">
        <v>100</v>
      </c>
      <c r="R4" s="84" t="s">
        <v>100</v>
      </c>
      <c r="S4" s="44">
        <v>45481</v>
      </c>
      <c r="T4" s="250">
        <v>45938</v>
      </c>
      <c r="U4" s="250">
        <v>46268</v>
      </c>
      <c r="V4" s="44">
        <v>46269</v>
      </c>
      <c r="W4" s="255">
        <f>Table13[[#This Row],[نهاية المشروع المعدلة PMO LIVE]]-Table13[[#This Row],[نهاية المشروع المعدلة EPPM]]</f>
        <v>1</v>
      </c>
      <c r="X4" s="255" t="s">
        <v>169</v>
      </c>
      <c r="Y4" s="625">
        <v>46398</v>
      </c>
      <c r="Z4" s="626">
        <f>_xlfn.XLOOKUP(Table13[[#This Row],[PO]],Table156101114[PO],Table156101114[[النهاية المتوقعة ]],0)</f>
        <v>46405</v>
      </c>
      <c r="AA4" s="717">
        <f>Table13[[#This Row],[النهاية طبقاً للتحديث الاسبوعي الحالي]]-Table13[[#This Row],[النهاية طبقاً للتحديث الاسبوعي السابق]]</f>
        <v>7</v>
      </c>
      <c r="AB4" s="522">
        <v>16144070</v>
      </c>
      <c r="AC4" s="109">
        <v>18565680.5</v>
      </c>
      <c r="AD4" s="258">
        <v>1</v>
      </c>
      <c r="AE4" s="258">
        <v>0.82</v>
      </c>
      <c r="AF4" s="90">
        <f>_xlfn.XLOOKUP(Table13[[#This Row],[PO]],Table156101114[PO],Table156101114[المخطط % 15 اكتوبر2026],0)</f>
        <v>1</v>
      </c>
      <c r="AG4" s="90">
        <f>_xlfn.XLOOKUP(Table13[[#This Row],[PO]],Table156101114[PO],Table156101114[Act %],0)</f>
        <v>0.82</v>
      </c>
      <c r="AH4" s="628">
        <f>Table13[[#This Row],[المخطط % التراكمي]]-Table13[[#This Row],[المخطط % - الإسبوع السابق ]]</f>
        <v>0</v>
      </c>
      <c r="AI4" s="628">
        <f>Table13[[#This Row],[المنفذ % التراكمي]]-Table13[[#This Row],[المنفذ % - الإسبوع السابق]]</f>
        <v>0</v>
      </c>
      <c r="AJ4" s="274">
        <f>Table13[[#This Row],[المنفذ % التراكمي]]-Table13[[#This Row],[المخطط % التراكمي]]</f>
        <v>-0.18000000000000005</v>
      </c>
      <c r="AK4" s="635"/>
      <c r="AL4" s="635" t="s">
        <v>101</v>
      </c>
      <c r="AM4" s="258" t="s">
        <v>338</v>
      </c>
      <c r="AN4" s="258" t="s">
        <v>338</v>
      </c>
      <c r="AO4" s="258" t="s">
        <v>338</v>
      </c>
      <c r="AP4" s="258"/>
      <c r="AQ4" s="91">
        <f>_xlfn.XLOOKUP(Table13[[#This Row],[PO]],Table156101114[PO],Table156101114[TF],0)</f>
        <v>-116</v>
      </c>
      <c r="AR4" s="276">
        <f>Table13[[#This Row],[نسبة الإنجاز المتبقية %]]/(Table13[[#This Row],[مدة المشروع المتبقية بالشهور]])</f>
        <v>-0.13170731707317088</v>
      </c>
      <c r="AS4" s="70">
        <v>1</v>
      </c>
      <c r="AT4" s="70">
        <f>Table13[[#This Row],[نسبة المخطط التراكمي حتى 31 أكتوبر 2026]]-9.9%</f>
        <v>0.90100000000000002</v>
      </c>
      <c r="AU4" s="446">
        <f>Table13[[#This Row],[نسبة الانجاز التراكمي المطلوب للإنتظام]]-Table13[[#This Row],[المنفذ % التراكمي]]</f>
        <v>8.1000000000000072E-2</v>
      </c>
      <c r="AV4" s="70">
        <f>Table13[[#This Row],[نسبة المخطط التراكمي حتى 31 أكتوبر 2026]]-24.9%</f>
        <v>0.751</v>
      </c>
      <c r="AW4" s="449">
        <v>0</v>
      </c>
      <c r="AX4" s="440">
        <f>100%-Table13[[#This Row],[المنفذ % التراكمي]]</f>
        <v>0.18000000000000005</v>
      </c>
      <c r="AY4" s="440">
        <f>100%-Table13[[#This Row],[نسبة المدة المنقضية %]]</f>
        <v>-5.203045685279184E-2</v>
      </c>
      <c r="AZ4" s="70">
        <f>_xlfn.XLOOKUP(Table13[[#This Row],[PO]],Table156101114[PO],Table156101114[المدة المنقضية],0)</f>
        <v>1.0520304568527918</v>
      </c>
      <c r="BA4" s="69" t="s">
        <v>121</v>
      </c>
      <c r="BB4" s="108" t="s">
        <v>120</v>
      </c>
      <c r="BC4" s="96">
        <f>_xlfn.XLOOKUP(Table13[[#This Row],[PO]],Table156101114[PO],Table156101114[SPI],0)</f>
        <v>0.82</v>
      </c>
      <c r="BD4" s="356">
        <f>Table13[[#This Row],[نسبة المدة المنقضية %]]*Table13[[#This Row],[مدة المشروع الكلية بالشهور]]</f>
        <v>27.633333333333333</v>
      </c>
      <c r="BE4" s="357">
        <f>Table13[[#This Row],[نسبة المدة المتبقية %]]*Table13[[#This Row],[مدة المشروع الكلية بالشهور]]</f>
        <v>-1.3666666666666656</v>
      </c>
      <c r="BF4" s="357">
        <f>(Table13[[#This Row],[نهاية المشروع المعدلة PMO LIVE]]-Table13[[#This Row],[بداية المشروع التعاقدية]])</f>
        <v>788</v>
      </c>
      <c r="BG4" s="358">
        <f>(Table13[[#This Row],[نهاية المشروع المعدلة PMO LIVE]]-Table13[[#This Row],[بداية المشروع التعاقدية]])/30</f>
        <v>26.266666666666666</v>
      </c>
      <c r="BH4" s="261">
        <f>1.25*Table13[[#This Row],[مدة المشروع بالايام]]</f>
        <v>985</v>
      </c>
      <c r="BI4" s="661">
        <f>Table13[[#This Row],[125%من مدة المشروع]]+Table13[[#This Row],[بداية المشروع التعاقدية]]</f>
        <v>46466</v>
      </c>
      <c r="BJ4" s="651">
        <f>Table13[[#This Row],[قيمة المشروع بالضريبة]]*Table13[[#This Row],[المخطط % التراكمي]]</f>
        <v>18565680.5</v>
      </c>
      <c r="BK4" s="270">
        <f>Table13[[#This Row],[قيمة المشروع بالضريبة]]*Table13[[#This Row],[المنفذ % التراكمي]]</f>
        <v>15223858.01</v>
      </c>
      <c r="BL4" s="318">
        <f>Table13[[#This Row],[نسبة الإنجاز المتبقية %]]*Table13[[#This Row],[قيمة المشروع بالضريبة]]</f>
        <v>3341822.4900000007</v>
      </c>
      <c r="BM4" s="318">
        <f>Table13[[#This Row],[نسبة الإيقاف%]]*Table13[[#This Row],[قيمة المشروع بالضريبة]]</f>
        <v>0</v>
      </c>
      <c r="BN4" s="319">
        <f>Table13[[#This Row],[Suspended Budget]]/Table13[[#This Row],[Remaining Budget]]</f>
        <v>0</v>
      </c>
      <c r="BQ4" s="903"/>
      <c r="BR4" s="904"/>
      <c r="BS4" s="904"/>
    </row>
    <row r="5" spans="1:71" s="983" customFormat="1" ht="30" customHeight="1">
      <c r="A5" s="79">
        <f>SUBTOTAL(3,$D$3:D5)</f>
        <v>2</v>
      </c>
      <c r="B5" s="85">
        <v>10277</v>
      </c>
      <c r="C5" s="34" t="s">
        <v>197</v>
      </c>
      <c r="D5" s="48">
        <v>901240141</v>
      </c>
      <c r="E5" s="34" t="s">
        <v>67</v>
      </c>
      <c r="F5" s="34" t="s">
        <v>321</v>
      </c>
      <c r="G5" s="602" t="s">
        <v>151</v>
      </c>
      <c r="H5" s="602" t="s">
        <v>152</v>
      </c>
      <c r="I5" s="34" t="s">
        <v>17</v>
      </c>
      <c r="J5" s="34" t="s">
        <v>123</v>
      </c>
      <c r="K5" s="48" t="s">
        <v>73</v>
      </c>
      <c r="L5" s="48">
        <v>2</v>
      </c>
      <c r="M5" s="48" t="s">
        <v>259</v>
      </c>
      <c r="N5" s="594" t="s">
        <v>121</v>
      </c>
      <c r="O5" s="69">
        <v>7.1300000000000002E-2</v>
      </c>
      <c r="P5" s="34" t="s">
        <v>366</v>
      </c>
      <c r="Q5" s="84" t="s">
        <v>100</v>
      </c>
      <c r="R5" s="84" t="s">
        <v>100</v>
      </c>
      <c r="S5" s="49">
        <v>45510</v>
      </c>
      <c r="T5" s="249">
        <v>46059</v>
      </c>
      <c r="U5" s="249">
        <v>46232</v>
      </c>
      <c r="V5" s="49">
        <v>46232</v>
      </c>
      <c r="W5" s="254">
        <f>Table13[[#This Row],[نهاية المشروع المعدلة PMO LIVE]]-Table13[[#This Row],[نهاية المشروع المعدلة EPPM]]</f>
        <v>0</v>
      </c>
      <c r="X5" s="483" t="s">
        <v>169</v>
      </c>
      <c r="Y5" s="249">
        <v>46359</v>
      </c>
      <c r="Z5" s="49">
        <f>_xlfn.XLOOKUP(Table13[[#This Row],[PO]],Table156101114[PO],Table156101114[[النهاية المتوقعة ]],0)</f>
        <v>46365</v>
      </c>
      <c r="AA5" s="716">
        <f>Table13[[#This Row],[النهاية طبقاً للتحديث الاسبوعي الحالي]]-Table13[[#This Row],[النهاية طبقاً للتحديث الاسبوعي السابق]]</f>
        <v>6</v>
      </c>
      <c r="AB5" s="523">
        <v>22623396.800000001</v>
      </c>
      <c r="AC5" s="980">
        <v>26016906.32</v>
      </c>
      <c r="AD5" s="257">
        <v>1</v>
      </c>
      <c r="AE5" s="257">
        <v>0.75</v>
      </c>
      <c r="AF5" s="47">
        <f>_xlfn.XLOOKUP(Table13[[#This Row],[PO]],Table156101114[PO],Table156101114[المخطط % 15 اكتوبر2026],0)</f>
        <v>1</v>
      </c>
      <c r="AG5" s="47">
        <f>_xlfn.XLOOKUP(Table13[[#This Row],[PO]],Table156101114[PO],Table156101114[Act %],0)</f>
        <v>0.75</v>
      </c>
      <c r="AH5" s="630">
        <f>Table13[[#This Row],[المخطط % التراكمي]]-Table13[[#This Row],[المخطط % - الإسبوع السابق ]]</f>
        <v>0</v>
      </c>
      <c r="AI5" s="630">
        <f>Table13[[#This Row],[المنفذ % التراكمي]]-Table13[[#This Row],[المنفذ % - الإسبوع السابق]]</f>
        <v>0</v>
      </c>
      <c r="AJ5" s="51">
        <f>Table13[[#This Row],[المنفذ % التراكمي]]-Table13[[#This Row],[المخطط % التراكمي]]</f>
        <v>-0.25</v>
      </c>
      <c r="AK5" s="662"/>
      <c r="AL5" s="662"/>
      <c r="AM5" s="246" t="s">
        <v>338</v>
      </c>
      <c r="AN5" s="246" t="s">
        <v>338</v>
      </c>
      <c r="AO5" s="246" t="s">
        <v>338</v>
      </c>
      <c r="AP5" s="246"/>
      <c r="AQ5" s="103">
        <f>_xlfn.XLOOKUP(Table13[[#This Row],[PO]],Table156101114[PO],Table156101114[TF],0)</f>
        <v>-156</v>
      </c>
      <c r="AR5" s="277">
        <f>Table13[[#This Row],[نسبة الإنجاز المتبقية %]]/(Table13[[#This Row],[مدة المشروع المتبقية بالشهور]])</f>
        <v>-9.615384615384609E-2</v>
      </c>
      <c r="AS5" s="69">
        <v>1</v>
      </c>
      <c r="AT5" s="69">
        <f>Table13[[#This Row],[نسبة المخطط التراكمي حتى 31 أكتوبر 2026]]-9.9%</f>
        <v>0.90100000000000002</v>
      </c>
      <c r="AU5" s="445">
        <f>Table13[[#This Row],[نسبة الانجاز التراكمي المطلوب للإنتظام]]-Table13[[#This Row],[المنفذ % التراكمي]]</f>
        <v>0.15100000000000002</v>
      </c>
      <c r="AV5" s="69">
        <f>Table13[[#This Row],[نسبة المخطط التراكمي حتى 31 أكتوبر 2026]]-24.9%</f>
        <v>0.751</v>
      </c>
      <c r="AW5" s="448">
        <f>Table13[[#This Row],[نسبة الانجاز التراكمي المطلوب لتجنب التعثر]]-Table13[[#This Row],[المنفذ % التراكمي]]</f>
        <v>1.0000000000000009E-3</v>
      </c>
      <c r="AX5" s="439">
        <f>100%-Table13[[#This Row],[المنفذ % التراكمي]]</f>
        <v>0.25</v>
      </c>
      <c r="AY5" s="439">
        <f>100%-Table13[[#This Row],[نسبة المدة المنقضية %]]</f>
        <v>-0.10803324099723</v>
      </c>
      <c r="AZ5" s="69">
        <f>_xlfn.XLOOKUP(Table13[[#This Row],[PO]],Table156101114[PO],Table156101114[المدة المنقضية],0)</f>
        <v>1.10803324099723</v>
      </c>
      <c r="BA5" s="108" t="s">
        <v>120</v>
      </c>
      <c r="BB5" s="105" t="s">
        <v>120</v>
      </c>
      <c r="BC5" s="95">
        <f>_xlfn.XLOOKUP(Table13[[#This Row],[PO]],Table156101114[PO],Table156101114[SPI],0)</f>
        <v>0.75</v>
      </c>
      <c r="BD5" s="356">
        <f>Table13[[#This Row],[نسبة المدة المنقضية %]]*Table13[[#This Row],[مدة المشروع الكلية بالشهور]]</f>
        <v>26.666666666666668</v>
      </c>
      <c r="BE5" s="357">
        <f>Table13[[#This Row],[نسبة المدة المتبقية %]]*Table13[[#This Row],[مدة المشروع الكلية بالشهور]]</f>
        <v>-2.6000000000000019</v>
      </c>
      <c r="BF5" s="357">
        <f>(Table13[[#This Row],[نهاية المشروع المعدلة PMO LIVE]]-Table13[[#This Row],[بداية المشروع التعاقدية]])</f>
        <v>722</v>
      </c>
      <c r="BG5" s="358">
        <f>(Table13[[#This Row],[نهاية المشروع المعدلة PMO LIVE]]-Table13[[#This Row],[بداية المشروع التعاقدية]])/30</f>
        <v>24.066666666666666</v>
      </c>
      <c r="BH5" s="261">
        <f>1.25*Table13[[#This Row],[مدة المشروع بالايام]]</f>
        <v>902.5</v>
      </c>
      <c r="BI5" s="661">
        <f>Table13[[#This Row],[125%من مدة المشروع]]+Table13[[#This Row],[بداية المشروع التعاقدية]]</f>
        <v>46412.5</v>
      </c>
      <c r="BJ5" s="650">
        <f>Table13[[#This Row],[قيمة المشروع بالضريبة]]*Table13[[#This Row],[المخطط % التراكمي]]</f>
        <v>26016906.32</v>
      </c>
      <c r="BK5" s="268">
        <f>Table13[[#This Row],[قيمة المشروع بالضريبة]]*Table13[[#This Row],[المنفذ % التراكمي]]</f>
        <v>19512679.740000002</v>
      </c>
      <c r="BL5" s="318">
        <f>Table13[[#This Row],[نسبة الإنجاز المتبقية %]]*Table13[[#This Row],[قيمة المشروع بالضريبة]]</f>
        <v>6504226.5800000001</v>
      </c>
      <c r="BM5" s="318">
        <f>Table13[[#This Row],[نسبة الإيقاف%]]*Table13[[#This Row],[قيمة المشروع بالضريبة]]</f>
        <v>1855005.4206160002</v>
      </c>
      <c r="BN5" s="319">
        <f>Table13[[#This Row],[Suspended Budget]]/Table13[[#This Row],[Remaining Budget]]</f>
        <v>0.28520000000000001</v>
      </c>
      <c r="BO5" s="321"/>
      <c r="BP5" s="321"/>
      <c r="BQ5" s="981"/>
      <c r="BR5" s="982"/>
      <c r="BS5" s="982"/>
    </row>
    <row r="6" spans="1:71" ht="30" hidden="1" customHeight="1">
      <c r="A6" s="80">
        <f>SUBTOTAL(3,$D$3:D6)</f>
        <v>2</v>
      </c>
      <c r="B6" s="83">
        <v>10136</v>
      </c>
      <c r="C6" s="43" t="s">
        <v>228</v>
      </c>
      <c r="D6" s="42">
        <v>901230191</v>
      </c>
      <c r="E6" s="43" t="s">
        <v>62</v>
      </c>
      <c r="F6" s="43" t="s">
        <v>320</v>
      </c>
      <c r="G6" s="43" t="s">
        <v>164</v>
      </c>
      <c r="H6" s="43" t="s">
        <v>165</v>
      </c>
      <c r="I6" s="43" t="s">
        <v>11</v>
      </c>
      <c r="J6" s="43" t="s">
        <v>123</v>
      </c>
      <c r="K6" s="42" t="s">
        <v>136</v>
      </c>
      <c r="L6" s="42">
        <v>3</v>
      </c>
      <c r="M6" s="42" t="s">
        <v>259</v>
      </c>
      <c r="N6" s="593" t="s">
        <v>120</v>
      </c>
      <c r="O6" s="70">
        <v>0.24160000000000001</v>
      </c>
      <c r="P6" s="43" t="s">
        <v>366</v>
      </c>
      <c r="Q6" s="84" t="s">
        <v>100</v>
      </c>
      <c r="R6" s="84" t="s">
        <v>100</v>
      </c>
      <c r="S6" s="44">
        <v>45237</v>
      </c>
      <c r="T6" s="250">
        <v>46333</v>
      </c>
      <c r="U6" s="250">
        <v>46429</v>
      </c>
      <c r="V6" s="44">
        <v>46430</v>
      </c>
      <c r="W6" s="255">
        <f>Table13[[#This Row],[نهاية المشروع المعدلة PMO LIVE]]-Table13[[#This Row],[نهاية المشروع المعدلة EPPM]]</f>
        <v>1</v>
      </c>
      <c r="X6" s="255" t="s">
        <v>169</v>
      </c>
      <c r="Y6" s="250">
        <v>46588</v>
      </c>
      <c r="Z6" s="44">
        <f>_xlfn.XLOOKUP(Table13[[#This Row],[PO]],Table156101114[PO],Table156101114[[النهاية المتوقعة ]],0)</f>
        <v>46595</v>
      </c>
      <c r="AA6" s="719">
        <f>Table13[[#This Row],[النهاية طبقاً للتحديث الاسبوعي الحالي]]-Table13[[#This Row],[النهاية طبقاً للتحديث الاسبوعي السابق]]</f>
        <v>7</v>
      </c>
      <c r="AB6" s="522">
        <v>42069316</v>
      </c>
      <c r="AC6" s="109">
        <v>48379713.399999999</v>
      </c>
      <c r="AD6" s="258">
        <v>0.68059999999999998</v>
      </c>
      <c r="AE6" s="258">
        <v>0.53600000000000003</v>
      </c>
      <c r="AF6" s="45">
        <f>_xlfn.XLOOKUP(Table13[[#This Row],[PO]],Table156101114[PO],Table156101114[المخطط % 15 اكتوبر2026],0)</f>
        <v>0.68720000000000003</v>
      </c>
      <c r="AG6" s="45">
        <f>_xlfn.XLOOKUP(Table13[[#This Row],[PO]],Table156101114[PO],Table156101114[Act %],0)</f>
        <v>0.53749999999999998</v>
      </c>
      <c r="AH6" s="629">
        <f>Table13[[#This Row],[المخطط % التراكمي]]-Table13[[#This Row],[المخطط % - الإسبوع السابق ]]</f>
        <v>6.6000000000000503E-3</v>
      </c>
      <c r="AI6" s="629">
        <f>Table13[[#This Row],[المنفذ % التراكمي]]-Table13[[#This Row],[المنفذ % - الإسبوع السابق]]</f>
        <v>1.4999999999999458E-3</v>
      </c>
      <c r="AJ6" s="46">
        <f>Table13[[#This Row],[المنفذ % التراكمي]]-Table13[[#This Row],[المخطط % التراكمي]]</f>
        <v>-0.14970000000000006</v>
      </c>
      <c r="AK6" s="1023">
        <v>0.54564100000000004</v>
      </c>
      <c r="AL6" s="1023">
        <f>Table13[[#This Row],[المنفذ % التراكمي]]</f>
        <v>0.53749999999999998</v>
      </c>
      <c r="AM6" s="673" t="s">
        <v>338</v>
      </c>
      <c r="AN6" s="673"/>
      <c r="AO6" s="673"/>
      <c r="AP6" s="673"/>
      <c r="AQ6" s="107">
        <f>_xlfn.XLOOKUP(Table13[[#This Row],[PO]],Table156101114[PO],Table156101114[TF],0)</f>
        <v>-136</v>
      </c>
      <c r="AR6" s="276">
        <f>Table13[[#This Row],[نسبة الإنجاز المتبقية %]]/(Table13[[#This Row],[مدة المشروع المتبقية بالشهور]])</f>
        <v>0.11562499999999998</v>
      </c>
      <c r="AS6" s="70">
        <v>0.6959943869779105</v>
      </c>
      <c r="AT6" s="70">
        <f>Table13[[#This Row],[نسبة المخطط التراكمي حتى 31 أكتوبر 2026]]-9.9%</f>
        <v>0.59699438697791052</v>
      </c>
      <c r="AU6" s="446">
        <f>Table13[[#This Row],[نسبة الانجاز التراكمي المطلوب للإنتظام]]-Table13[[#This Row],[المنفذ % التراكمي]]</f>
        <v>5.9494386977910541E-2</v>
      </c>
      <c r="AV6" s="70">
        <f>Table13[[#This Row],[نسبة المخطط التراكمي حتى 31 أكتوبر 2026]]-24.9%</f>
        <v>0.4469943869779105</v>
      </c>
      <c r="AW6" s="449">
        <f>Table13[[#This Row],[نسبة الانجاز التراكمي المطلوب لتجنب التعثر]]-Table13[[#This Row],[المنفذ % التراكمي]]</f>
        <v>-9.0505613022089482E-2</v>
      </c>
      <c r="AX6" s="440">
        <f>100%-Table13[[#This Row],[المنفذ % التراكمي]]</f>
        <v>0.46250000000000002</v>
      </c>
      <c r="AY6" s="440">
        <f>100%-Table13[[#This Row],[نسبة المدة المنقضية %]]</f>
        <v>0.10058675607711653</v>
      </c>
      <c r="AZ6" s="70">
        <f>_xlfn.XLOOKUP(Table13[[#This Row],[PO]],Table156101114[PO],Table156101114[المدة المنقضية],0)</f>
        <v>0.89941324392288347</v>
      </c>
      <c r="BA6" s="69" t="s">
        <v>121</v>
      </c>
      <c r="BB6" s="247" t="s">
        <v>121</v>
      </c>
      <c r="BC6" s="96">
        <f>_xlfn.XLOOKUP(Table13[[#This Row],[PO]],Table156101114[PO],Table156101114[SPI],0)</f>
        <v>0.78215948777648425</v>
      </c>
      <c r="BD6" s="356">
        <f>Table13[[#This Row],[نسبة المدة المنقضية %]]*Table13[[#This Row],[مدة المشروع الكلية بالشهور]]</f>
        <v>35.766666666666666</v>
      </c>
      <c r="BE6" s="357">
        <f>Table13[[#This Row],[نسبة المدة المتبقية %]]*Table13[[#This Row],[مدة المشروع الكلية بالشهور]]</f>
        <v>4.0000000000000009</v>
      </c>
      <c r="BF6" s="357">
        <f>(Table13[[#This Row],[نهاية المشروع المعدلة PMO LIVE]]-Table13[[#This Row],[بداية المشروع التعاقدية]])</f>
        <v>1193</v>
      </c>
      <c r="BG6" s="358">
        <f>(Table13[[#This Row],[نهاية المشروع المعدلة PMO LIVE]]-Table13[[#This Row],[بداية المشروع التعاقدية]])/30</f>
        <v>39.766666666666666</v>
      </c>
      <c r="BH6" s="261">
        <f>1.25*Table13[[#This Row],[مدة المشروع بالايام]]</f>
        <v>1491.25</v>
      </c>
      <c r="BI6" s="661">
        <f>Table13[[#This Row],[125%من مدة المشروع]]+Table13[[#This Row],[بداية المشروع التعاقدية]]</f>
        <v>46728.25</v>
      </c>
      <c r="BJ6" s="651">
        <f>Table13[[#This Row],[قيمة المشروع بالضريبة]]*Table13[[#This Row],[المخطط % التراكمي]]</f>
        <v>33246539.04848</v>
      </c>
      <c r="BK6" s="270">
        <f>Table13[[#This Row],[قيمة المشروع بالضريبة]]*Table13[[#This Row],[المنفذ % التراكمي]]</f>
        <v>26004095.952499997</v>
      </c>
      <c r="BL6" s="318">
        <f>Table13[[#This Row],[نسبة الإنجاز المتبقية %]]*Table13[[#This Row],[قيمة المشروع بالضريبة]]</f>
        <v>22375617.447500002</v>
      </c>
      <c r="BM6" s="318">
        <f>Table13[[#This Row],[نسبة الإيقاف%]]*Table13[[#This Row],[قيمة المشروع بالضريبة]]</f>
        <v>11688538.757440001</v>
      </c>
      <c r="BN6" s="319">
        <f>Table13[[#This Row],[Suspended Budget]]/Table13[[#This Row],[Remaining Budget]]</f>
        <v>0.52237837837837842</v>
      </c>
      <c r="BQ6" s="903"/>
      <c r="BR6" s="904"/>
      <c r="BS6" s="904"/>
    </row>
    <row r="7" spans="1:71" s="322" customFormat="1" ht="30" hidden="1" customHeight="1">
      <c r="A7" s="79">
        <f>SUBTOTAL(3,$D$3:D7)</f>
        <v>2</v>
      </c>
      <c r="B7" s="85">
        <v>10137</v>
      </c>
      <c r="C7" s="34" t="s">
        <v>212</v>
      </c>
      <c r="D7" s="48">
        <v>901230176</v>
      </c>
      <c r="E7" s="34" t="s">
        <v>65</v>
      </c>
      <c r="F7" s="34" t="s">
        <v>321</v>
      </c>
      <c r="G7" s="34" t="s">
        <v>151</v>
      </c>
      <c r="H7" s="602" t="s">
        <v>156</v>
      </c>
      <c r="I7" s="34" t="s">
        <v>14</v>
      </c>
      <c r="J7" s="34" t="s">
        <v>123</v>
      </c>
      <c r="K7" s="48" t="s">
        <v>73</v>
      </c>
      <c r="L7" s="48">
        <v>0</v>
      </c>
      <c r="M7" s="48" t="s">
        <v>259</v>
      </c>
      <c r="N7" s="594" t="s">
        <v>121</v>
      </c>
      <c r="O7" s="69">
        <v>1.1599999999999999E-2</v>
      </c>
      <c r="P7" s="34" t="s">
        <v>72</v>
      </c>
      <c r="Q7" s="84" t="s">
        <v>100</v>
      </c>
      <c r="R7" s="84" t="s">
        <v>100</v>
      </c>
      <c r="S7" s="49">
        <v>45249</v>
      </c>
      <c r="T7" s="249">
        <v>45980</v>
      </c>
      <c r="U7" s="249">
        <v>46379</v>
      </c>
      <c r="V7" s="49">
        <v>46379</v>
      </c>
      <c r="W7" s="254">
        <f>Table13[[#This Row],[نهاية المشروع المعدلة PMO LIVE]]-Table13[[#This Row],[نهاية المشروع المعدلة EPPM]]</f>
        <v>0</v>
      </c>
      <c r="X7" s="483" t="s">
        <v>169</v>
      </c>
      <c r="Y7" s="249">
        <v>46449</v>
      </c>
      <c r="Z7" s="49">
        <f>_xlfn.XLOOKUP(Table13[[#This Row],[PO]],Table156101114[PO],Table156101114[[النهاية المتوقعة ]],0)</f>
        <v>46456</v>
      </c>
      <c r="AA7" s="716">
        <f>Table13[[#This Row],[النهاية طبقاً للتحديث الاسبوعي الحالي]]-Table13[[#This Row],[النهاية طبقاً للتحديث الاسبوعي السابق]]</f>
        <v>7</v>
      </c>
      <c r="AB7" s="523">
        <v>32905589.93</v>
      </c>
      <c r="AC7" s="110">
        <v>37841428.420000002</v>
      </c>
      <c r="AD7" s="257">
        <v>0.71819999999999995</v>
      </c>
      <c r="AE7" s="257">
        <v>0.55920000000000003</v>
      </c>
      <c r="AF7" s="47">
        <f>_xlfn.XLOOKUP(Table13[[#This Row],[PO]],Table156101114[PO],Table156101114[المخطط % 15 اكتوبر2026],0)</f>
        <v>0.74339999999999995</v>
      </c>
      <c r="AG7" s="47">
        <f>_xlfn.XLOOKUP(Table13[[#This Row],[PO]],Table156101114[PO],Table156101114[Act %],0)</f>
        <v>0.55979999999999996</v>
      </c>
      <c r="AH7" s="630">
        <f>Table13[[#This Row],[المخطط % التراكمي]]-Table13[[#This Row],[المخطط % - الإسبوع السابق ]]</f>
        <v>2.52E-2</v>
      </c>
      <c r="AI7" s="630">
        <f>Table13[[#This Row],[المنفذ % التراكمي]]-Table13[[#This Row],[المنفذ % - الإسبوع السابق]]</f>
        <v>5.9999999999993392E-4</v>
      </c>
      <c r="AJ7" s="275">
        <f>Table13[[#This Row],[المنفذ % التراكمي]]-Table13[[#This Row],[المخطط % التراكمي]]</f>
        <v>-0.18359999999999999</v>
      </c>
      <c r="AK7" s="246">
        <v>0.72140000000000004</v>
      </c>
      <c r="AL7" s="246">
        <f>Table13[[#This Row],[المنفذ % التراكمي]]</f>
        <v>0.55979999999999996</v>
      </c>
      <c r="AM7" s="47" t="s">
        <v>338</v>
      </c>
      <c r="AN7" s="47"/>
      <c r="AO7" s="47"/>
      <c r="AP7" s="47"/>
      <c r="AQ7" s="103">
        <f>_xlfn.XLOOKUP(Table13[[#This Row],[PO]],Table156101114[PO],Table156101114[TF],0)</f>
        <v>-82</v>
      </c>
      <c r="AR7" s="277">
        <f>Table13[[#This Row],[نسبة الإنجاز المتبقية %]]/(Table13[[#This Row],[مدة المشروع المتبقية بالشهور]])</f>
        <v>0.19139130434782609</v>
      </c>
      <c r="AS7" s="69">
        <v>0.80262937197552331</v>
      </c>
      <c r="AT7" s="69">
        <f>Table13[[#This Row],[نسبة المخطط التراكمي حتى 31 أكتوبر 2026]]-9.9%</f>
        <v>0.70362937197552333</v>
      </c>
      <c r="AU7" s="445">
        <f>Table13[[#This Row],[نسبة الانجاز التراكمي المطلوب للإنتظام]]-Table13[[#This Row],[المنفذ % التراكمي]]</f>
        <v>0.14382937197552337</v>
      </c>
      <c r="AV7" s="69">
        <f>Table13[[#This Row],[نسبة المخطط التراكمي حتى 31 أكتوبر 2026]]-24.9%</f>
        <v>0.55362937197552331</v>
      </c>
      <c r="AW7" s="448">
        <v>0</v>
      </c>
      <c r="AX7" s="439">
        <f>100%-Table13[[#This Row],[المنفذ % التراكمي]]</f>
        <v>0.44020000000000004</v>
      </c>
      <c r="AY7" s="439">
        <f>100%-Table13[[#This Row],[نسبة المدة المنقضية %]]</f>
        <v>6.1061946902654873E-2</v>
      </c>
      <c r="AZ7" s="69">
        <f>_xlfn.XLOOKUP(Table13[[#This Row],[PO]],Table156101114[PO],Table156101114[المدة المنقضية],0)</f>
        <v>0.93893805309734513</v>
      </c>
      <c r="BA7" s="69" t="s">
        <v>121</v>
      </c>
      <c r="BB7" s="247" t="s">
        <v>121</v>
      </c>
      <c r="BC7" s="95">
        <f>_xlfn.XLOOKUP(Table13[[#This Row],[PO]],Table156101114[PO],Table156101114[SPI],0)</f>
        <v>0.75302663438256656</v>
      </c>
      <c r="BD7" s="356">
        <f>Table13[[#This Row],[نسبة المدة المنقضية %]]*Table13[[#This Row],[مدة المشروع الكلية بالشهور]]</f>
        <v>35.366666666666667</v>
      </c>
      <c r="BE7" s="357">
        <f>Table13[[#This Row],[نسبة المدة المتبقية %]]*Table13[[#This Row],[مدة المشروع الكلية بالشهور]]</f>
        <v>2.3000000000000003</v>
      </c>
      <c r="BF7" s="357">
        <f>(Table13[[#This Row],[نهاية المشروع المعدلة PMO LIVE]]-Table13[[#This Row],[بداية المشروع التعاقدية]])</f>
        <v>1130</v>
      </c>
      <c r="BG7" s="358">
        <f>(Table13[[#This Row],[نهاية المشروع المعدلة PMO LIVE]]-Table13[[#This Row],[بداية المشروع التعاقدية]])/30</f>
        <v>37.666666666666664</v>
      </c>
      <c r="BH7" s="261">
        <f>1.25*Table13[[#This Row],[مدة المشروع بالايام]]</f>
        <v>1412.5</v>
      </c>
      <c r="BI7" s="661">
        <f>Table13[[#This Row],[125%من مدة المشروع]]+Table13[[#This Row],[بداية المشروع التعاقدية]]</f>
        <v>46661.5</v>
      </c>
      <c r="BJ7" s="649">
        <f>Table13[[#This Row],[قيمة المشروع بالضريبة]]*Table13[[#This Row],[المخطط % التراكمي]]</f>
        <v>28131317.887428001</v>
      </c>
      <c r="BK7" s="267">
        <f>Table13[[#This Row],[قيمة المشروع بالضريبة]]*Table13[[#This Row],[المنفذ % التراكمي]]</f>
        <v>21183631.629515998</v>
      </c>
      <c r="BL7" s="316">
        <f>Table13[[#This Row],[نسبة الإنجاز المتبقية %]]*Table13[[#This Row],[قيمة المشروع بالضريبة]]</f>
        <v>16657796.790484002</v>
      </c>
      <c r="BM7" s="316">
        <f>Table13[[#This Row],[نسبة الإيقاف%]]*Table13[[#This Row],[قيمة المشروع بالضريبة]]</f>
        <v>438960.56967200001</v>
      </c>
      <c r="BN7" s="317">
        <f>Table13[[#This Row],[Suspended Budget]]/Table13[[#This Row],[Remaining Budget]]</f>
        <v>2.6351658337119489E-2</v>
      </c>
      <c r="BQ7" s="903"/>
      <c r="BR7" s="904"/>
      <c r="BS7" s="904"/>
    </row>
    <row r="8" spans="1:71" ht="30" hidden="1" customHeight="1">
      <c r="A8" s="79">
        <f>SUBTOTAL(3,$D$3:D8)</f>
        <v>2</v>
      </c>
      <c r="B8" s="85" t="s">
        <v>416</v>
      </c>
      <c r="C8" s="34" t="s">
        <v>414</v>
      </c>
      <c r="D8" s="48">
        <v>901250499</v>
      </c>
      <c r="E8" s="34" t="s">
        <v>403</v>
      </c>
      <c r="F8" s="34" t="s">
        <v>321</v>
      </c>
      <c r="G8" s="34" t="s">
        <v>151</v>
      </c>
      <c r="H8" s="34" t="s">
        <v>524</v>
      </c>
      <c r="I8" s="34" t="s">
        <v>405</v>
      </c>
      <c r="J8" s="34" t="s">
        <v>123</v>
      </c>
      <c r="K8" s="48" t="s">
        <v>73</v>
      </c>
      <c r="L8" s="48">
        <v>0</v>
      </c>
      <c r="M8" s="48" t="s">
        <v>259</v>
      </c>
      <c r="N8" s="594" t="s">
        <v>120</v>
      </c>
      <c r="O8" s="69">
        <v>0</v>
      </c>
      <c r="P8" s="34" t="s">
        <v>72</v>
      </c>
      <c r="Q8" s="84" t="s">
        <v>100</v>
      </c>
      <c r="R8" s="84" t="s">
        <v>100</v>
      </c>
      <c r="S8" s="49">
        <v>46035</v>
      </c>
      <c r="T8" s="249">
        <v>46400</v>
      </c>
      <c r="U8" s="249">
        <v>46569</v>
      </c>
      <c r="V8" s="49">
        <v>46569</v>
      </c>
      <c r="W8" s="254">
        <f>Table13[[#This Row],[نهاية المشروع المعدلة PMO LIVE]]-Table13[[#This Row],[نهاية المشروع المعدلة EPPM]]</f>
        <v>0</v>
      </c>
      <c r="X8" s="254" t="s">
        <v>169</v>
      </c>
      <c r="Y8" s="252">
        <v>46569</v>
      </c>
      <c r="Z8" s="49">
        <f>_xlfn.XLOOKUP(Table13[[#This Row],[PO]],Table156101114[PO],Table156101114[[النهاية المتوقعة ]],0)</f>
        <v>46576</v>
      </c>
      <c r="AA8" s="716">
        <f>Table13[[#This Row],[النهاية طبقاً للتحديث الاسبوعي الحالي]]-Table13[[#This Row],[النهاية طبقاً للتحديث الاسبوعي السابق]]</f>
        <v>7</v>
      </c>
      <c r="AB8" s="523">
        <v>12519874</v>
      </c>
      <c r="AC8" s="110">
        <v>14397855.1</v>
      </c>
      <c r="AD8" s="257">
        <v>0.1386</v>
      </c>
      <c r="AE8" s="257">
        <v>0</v>
      </c>
      <c r="AF8" s="81">
        <f>_xlfn.XLOOKUP(Table13[[#This Row],[PO]],Table156101114[PO],Table156101114[المخطط % 15 اكتوبر2026],0)</f>
        <v>0.14660000000000001</v>
      </c>
      <c r="AG8" s="81">
        <f>_xlfn.XLOOKUP(Table13[[#This Row],[PO]],Table156101114[PO],Table156101114[Act %],0)</f>
        <v>0</v>
      </c>
      <c r="AH8" s="627">
        <f>Table13[[#This Row],[المخطط % التراكمي]]-Table13[[#This Row],[المخطط % - الإسبوع السابق ]]</f>
        <v>8.0000000000000071E-3</v>
      </c>
      <c r="AI8" s="630">
        <f>Table13[[#This Row],[المنفذ % التراكمي]]-Table13[[#This Row],[المنفذ % - الإسبوع السابق]]</f>
        <v>0</v>
      </c>
      <c r="AJ8" s="102">
        <f>Table13[[#This Row],[المنفذ % التراكمي]]-Table13[[#This Row],[المخطط % التراكمي]]</f>
        <v>-0.14660000000000001</v>
      </c>
      <c r="AK8" s="246">
        <v>5.7580000000000001E-3</v>
      </c>
      <c r="AL8" s="246">
        <f>Table13[[#This Row],[المنفذ % التراكمي]]</f>
        <v>0</v>
      </c>
      <c r="AM8" s="674" t="s">
        <v>338</v>
      </c>
      <c r="AN8" s="674"/>
      <c r="AO8" s="674"/>
      <c r="AP8" s="674"/>
      <c r="AQ8" s="103">
        <f>_xlfn.XLOOKUP(Table13[[#This Row],[PO]],Table156101114[PO],Table156101114[TF],0)</f>
        <v>-160</v>
      </c>
      <c r="AR8" s="277">
        <f>Table13[[#This Row],[نسبة الإنجاز المتبقية %]]/(Table13[[#This Row],[مدة المشروع المتبقية بالشهور]])</f>
        <v>0.11583011583011583</v>
      </c>
      <c r="AS8" s="69">
        <v>0.16283936723324852</v>
      </c>
      <c r="AT8" s="69">
        <f>Table13[[#This Row],[نسبة المخطط التراكمي حتى 31 أكتوبر 2026]]-9.9%</f>
        <v>6.3839367233248512E-2</v>
      </c>
      <c r="AU8" s="445">
        <f>Table13[[#This Row],[نسبة الانجاز التراكمي المطلوب للإنتظام]]-Table13[[#This Row],[المنفذ % التراكمي]]</f>
        <v>6.3839367233248512E-2</v>
      </c>
      <c r="AV8" s="69">
        <v>0</v>
      </c>
      <c r="AW8" s="448">
        <f>Table13[[#This Row],[نسبة الانجاز التراكمي المطلوب لتجنب التعثر]]-Table13[[#This Row],[المنفذ % التراكمي]]</f>
        <v>0</v>
      </c>
      <c r="AX8" s="439">
        <f>100%-Table13[[#This Row],[المنفذ % التراكمي]]</f>
        <v>1</v>
      </c>
      <c r="AY8" s="439">
        <f>100%-Table13[[#This Row],[نسبة المدة المنقضية %]]</f>
        <v>0.48501872659176026</v>
      </c>
      <c r="AZ8" s="69">
        <f>_xlfn.XLOOKUP(Table13[[#This Row],[PO]],Table156101114[PO],Table156101114[المدة المنقضية],0)</f>
        <v>0.51498127340823974</v>
      </c>
      <c r="BA8" s="69" t="s">
        <v>122</v>
      </c>
      <c r="BB8" s="105" t="s">
        <v>121</v>
      </c>
      <c r="BC8" s="95">
        <f>_xlfn.XLOOKUP(Table13[[#This Row],[PO]],Table156101114[PO],Table156101114[SPI],0)</f>
        <v>0</v>
      </c>
      <c r="BD8" s="356">
        <f>Table13[[#This Row],[نسبة المدة المنقضية %]]*Table13[[#This Row],[مدة المشروع الكلية بالشهور]]</f>
        <v>9.1666666666666679</v>
      </c>
      <c r="BE8" s="357">
        <f>Table13[[#This Row],[نسبة المدة المتبقية %]]*Table13[[#This Row],[مدة المشروع الكلية بالشهور]]</f>
        <v>8.6333333333333329</v>
      </c>
      <c r="BF8" s="357">
        <f>(Table13[[#This Row],[نهاية المشروع المعدلة PMO LIVE]]-Table13[[#This Row],[بداية المشروع التعاقدية]])</f>
        <v>534</v>
      </c>
      <c r="BG8" s="358">
        <f>(Table13[[#This Row],[نهاية المشروع المعدلة PMO LIVE]]-Table13[[#This Row],[بداية المشروع التعاقدية]])/30</f>
        <v>17.8</v>
      </c>
      <c r="BH8" s="261">
        <f>1.25*Table13[[#This Row],[مدة المشروع بالايام]]</f>
        <v>667.5</v>
      </c>
      <c r="BI8" s="661">
        <f>Table13[[#This Row],[125%من مدة المشروع]]+Table13[[#This Row],[بداية المشروع التعاقدية]]</f>
        <v>46702.5</v>
      </c>
      <c r="BJ8" s="651">
        <f>Table13[[#This Row],[قيمة المشروع بالضريبة]]*Table13[[#This Row],[المخطط % التراكمي]]</f>
        <v>2110725.5576599999</v>
      </c>
      <c r="BK8" s="270">
        <f>Table13[[#This Row],[قيمة المشروع بالضريبة]]*Table13[[#This Row],[المنفذ % التراكمي]]</f>
        <v>0</v>
      </c>
      <c r="BL8" s="318">
        <f>Table13[[#This Row],[نسبة الإنجاز المتبقية %]]*Table13[[#This Row],[قيمة المشروع بالضريبة]]</f>
        <v>14397855.1</v>
      </c>
      <c r="BM8" s="318">
        <f>Table13[[#This Row],[نسبة الإيقاف%]]*Table13[[#This Row],[قيمة المشروع بالضريبة]]</f>
        <v>0</v>
      </c>
      <c r="BN8" s="319">
        <f>Table13[[#This Row],[Suspended Budget]]/Table13[[#This Row],[Remaining Budget]]</f>
        <v>0</v>
      </c>
      <c r="BO8" s="41"/>
      <c r="BP8" s="41"/>
      <c r="BQ8" s="903"/>
      <c r="BR8" s="904"/>
      <c r="BS8" s="904"/>
    </row>
    <row r="9" spans="1:71" s="322" customFormat="1" ht="30" hidden="1" customHeight="1">
      <c r="A9" s="80">
        <f>SUBTOTAL(3,$D$3:D9)</f>
        <v>2</v>
      </c>
      <c r="B9" s="83">
        <v>10279</v>
      </c>
      <c r="C9" s="43" t="s">
        <v>223</v>
      </c>
      <c r="D9" s="42">
        <v>901240091</v>
      </c>
      <c r="E9" s="43" t="s">
        <v>138</v>
      </c>
      <c r="F9" s="43" t="s">
        <v>320</v>
      </c>
      <c r="G9" s="43" t="s">
        <v>164</v>
      </c>
      <c r="H9" s="152" t="s">
        <v>264</v>
      </c>
      <c r="I9" s="43" t="s">
        <v>74</v>
      </c>
      <c r="J9" s="43" t="s">
        <v>123</v>
      </c>
      <c r="K9" s="42" t="s">
        <v>136</v>
      </c>
      <c r="L9" s="42">
        <v>0</v>
      </c>
      <c r="M9" s="42" t="s">
        <v>259</v>
      </c>
      <c r="N9" s="593" t="s">
        <v>120</v>
      </c>
      <c r="O9" s="70">
        <v>0.10299999999999999</v>
      </c>
      <c r="P9" s="43" t="s">
        <v>72</v>
      </c>
      <c r="Q9" s="94" t="s">
        <v>77</v>
      </c>
      <c r="R9" s="84" t="s">
        <v>100</v>
      </c>
      <c r="S9" s="44">
        <v>45490</v>
      </c>
      <c r="T9" s="250">
        <v>46220</v>
      </c>
      <c r="U9" s="250">
        <v>46411</v>
      </c>
      <c r="V9" s="44">
        <v>46411</v>
      </c>
      <c r="W9" s="255">
        <f>Table13[[#This Row],[نهاية المشروع المعدلة PMO LIVE]]-Table13[[#This Row],[نهاية المشروع المعدلة EPPM]]</f>
        <v>0</v>
      </c>
      <c r="X9" s="484" t="s">
        <v>169</v>
      </c>
      <c r="Y9" s="250">
        <v>46449</v>
      </c>
      <c r="Z9" s="44">
        <f>_xlfn.XLOOKUP(Table13[[#This Row],[PO]],Table156101114[PO],Table156101114[[النهاية المتوقعة ]],0)</f>
        <v>46456</v>
      </c>
      <c r="AA9" s="719">
        <f>Table13[[#This Row],[النهاية طبقاً للتحديث الاسبوعي الحالي]]-Table13[[#This Row],[النهاية طبقاً للتحديث الاسبوعي السابق]]</f>
        <v>7</v>
      </c>
      <c r="AB9" s="522">
        <v>19721322</v>
      </c>
      <c r="AC9" s="109">
        <v>22679520.300000001</v>
      </c>
      <c r="AD9" s="258">
        <v>0.57430000000000003</v>
      </c>
      <c r="AE9" s="258">
        <v>0.47570000000000001</v>
      </c>
      <c r="AF9" s="45">
        <f>_xlfn.XLOOKUP(Table13[[#This Row],[PO]],Table156101114[PO],Table156101114[المخطط % 15 اكتوبر2026],0)</f>
        <v>0.60029999999999994</v>
      </c>
      <c r="AG9" s="45">
        <f>_xlfn.XLOOKUP(Table13[[#This Row],[PO]],Table156101114[PO],Table156101114[Act %],0)</f>
        <v>0.47570000000000001</v>
      </c>
      <c r="AH9" s="629">
        <f>Table13[[#This Row],[المخطط % التراكمي]]-Table13[[#This Row],[المخطط % - الإسبوع السابق ]]</f>
        <v>2.5999999999999912E-2</v>
      </c>
      <c r="AI9" s="629">
        <f>Table13[[#This Row],[المنفذ % التراكمي]]-Table13[[#This Row],[المنفذ % - الإسبوع السابق]]</f>
        <v>0</v>
      </c>
      <c r="AJ9" s="51">
        <f>Table13[[#This Row],[المنفذ % التراكمي]]-Table13[[#This Row],[المخطط % التراكمي]]</f>
        <v>-0.12459999999999993</v>
      </c>
      <c r="AK9" s="1023">
        <v>0.53227400000000002</v>
      </c>
      <c r="AL9" s="1023">
        <f>Table13[[#This Row],[المنفذ % التراكمي]]</f>
        <v>0.47570000000000001</v>
      </c>
      <c r="AM9" s="673" t="s">
        <v>338</v>
      </c>
      <c r="AN9" s="673" t="s">
        <v>338</v>
      </c>
      <c r="AO9" s="673"/>
      <c r="AP9" s="673"/>
      <c r="AQ9" s="107">
        <f>_xlfn.XLOOKUP(Table13[[#This Row],[PO]],Table156101114[PO],Table156101114[TF],0)</f>
        <v>-38</v>
      </c>
      <c r="AR9" s="276">
        <f>Table13[[#This Row],[نسبة الإنجاز المتبقية %]]/(Table13[[#This Row],[مدة المشروع المتبقية بالشهور]])</f>
        <v>0.15573267326732668</v>
      </c>
      <c r="AS9" s="70">
        <v>0.635619514756668</v>
      </c>
      <c r="AT9" s="70">
        <f>Table13[[#This Row],[نسبة المخطط التراكمي حتى 31 أكتوبر 2026]]-9.9%</f>
        <v>0.53661951475666803</v>
      </c>
      <c r="AU9" s="446">
        <f>Table13[[#This Row],[نسبة الانجاز التراكمي المطلوب للإنتظام]]-Table13[[#This Row],[المنفذ % التراكمي]]</f>
        <v>6.0919514756668014E-2</v>
      </c>
      <c r="AV9" s="70">
        <f>Table13[[#This Row],[نسبة المخطط التراكمي حتى 31 أكتوبر 2026]]-24.9%</f>
        <v>0.386619514756668</v>
      </c>
      <c r="AW9" s="449">
        <v>0</v>
      </c>
      <c r="AX9" s="440">
        <f>100%-Table13[[#This Row],[المنفذ % التراكمي]]</f>
        <v>0.52429999999999999</v>
      </c>
      <c r="AY9" s="440">
        <f>100%-Table13[[#This Row],[نسبة المدة المنقضية %]]</f>
        <v>0.10966340933767649</v>
      </c>
      <c r="AZ9" s="70">
        <f>_xlfn.XLOOKUP(Table13[[#This Row],[PO]],Table156101114[PO],Table156101114[المدة المنقضية],0)</f>
        <v>0.89033659066232351</v>
      </c>
      <c r="BA9" s="70" t="s">
        <v>120</v>
      </c>
      <c r="BB9" s="108" t="s">
        <v>121</v>
      </c>
      <c r="BC9" s="96">
        <f>_xlfn.XLOOKUP(Table13[[#This Row],[PO]],Table156101114[PO],Table156101114[SPI],0)</f>
        <v>0.79243711477594547</v>
      </c>
      <c r="BD9" s="359">
        <f>Table13[[#This Row],[نسبة المدة المنقضية %]]*Table13[[#This Row],[مدة المشروع الكلية بالشهور]]</f>
        <v>27.333333333333332</v>
      </c>
      <c r="BE9" s="360">
        <f>Table13[[#This Row],[نسبة المدة المتبقية %]]*Table13[[#This Row],[مدة المشروع الكلية بالشهور]]</f>
        <v>3.366666666666668</v>
      </c>
      <c r="BF9" s="360">
        <f>(Table13[[#This Row],[نهاية المشروع المعدلة PMO LIVE]]-Table13[[#This Row],[بداية المشروع التعاقدية]])</f>
        <v>921</v>
      </c>
      <c r="BG9" s="361">
        <f>(Table13[[#This Row],[نهاية المشروع المعدلة PMO LIVE]]-Table13[[#This Row],[بداية المشروع التعاقدية]])/30</f>
        <v>30.7</v>
      </c>
      <c r="BH9" s="260">
        <f>1.25*Table13[[#This Row],[مدة المشروع بالايام]]</f>
        <v>1151.25</v>
      </c>
      <c r="BI9" s="661">
        <f>Table13[[#This Row],[125%من مدة المشروع]]+Table13[[#This Row],[بداية المشروع التعاقدية]]</f>
        <v>46641.25</v>
      </c>
      <c r="BJ9" s="648">
        <f>Table13[[#This Row],[قيمة المشروع بالضريبة]]*Table13[[#This Row],[المخطط % التراكمي]]</f>
        <v>13614516.03609</v>
      </c>
      <c r="BK9" s="269">
        <f>Table13[[#This Row],[قيمة المشروع بالضريبة]]*Table13[[#This Row],[المنفذ % التراكمي]]</f>
        <v>10788647.806710001</v>
      </c>
      <c r="BL9" s="316">
        <f>Table13[[#This Row],[نسبة الإنجاز المتبقية %]]*Table13[[#This Row],[قيمة المشروع بالضريبة]]</f>
        <v>11890872.49329</v>
      </c>
      <c r="BM9" s="316">
        <f>Table13[[#This Row],[نسبة الإيقاف%]]*Table13[[#This Row],[قيمة المشروع بالضريبة]]</f>
        <v>2335990.5908999997</v>
      </c>
      <c r="BN9" s="317">
        <f>Table13[[#This Row],[Suspended Budget]]/Table13[[#This Row],[Remaining Budget]]</f>
        <v>0.19645241274079722</v>
      </c>
      <c r="BQ9" s="903"/>
      <c r="BR9" s="904"/>
      <c r="BS9" s="904"/>
    </row>
    <row r="10" spans="1:71" ht="30" customHeight="1">
      <c r="A10" s="80">
        <f>SUBTOTAL(3,$D$3:D10)</f>
        <v>3</v>
      </c>
      <c r="B10" s="83">
        <v>10280</v>
      </c>
      <c r="C10" s="43" t="s">
        <v>202</v>
      </c>
      <c r="D10" s="42">
        <v>901240095</v>
      </c>
      <c r="E10" s="43" t="s">
        <v>58</v>
      </c>
      <c r="F10" s="43" t="s">
        <v>319</v>
      </c>
      <c r="G10" s="152" t="s">
        <v>164</v>
      </c>
      <c r="H10" s="153" t="s">
        <v>265</v>
      </c>
      <c r="I10" s="43" t="s">
        <v>31</v>
      </c>
      <c r="J10" s="43" t="s">
        <v>123</v>
      </c>
      <c r="K10" s="42" t="s">
        <v>116</v>
      </c>
      <c r="L10" s="42">
        <v>9</v>
      </c>
      <c r="M10" s="42" t="s">
        <v>259</v>
      </c>
      <c r="N10" s="593" t="s">
        <v>121</v>
      </c>
      <c r="O10" s="70">
        <v>0.1908</v>
      </c>
      <c r="P10" s="43" t="s">
        <v>366</v>
      </c>
      <c r="Q10" s="94" t="s">
        <v>77</v>
      </c>
      <c r="R10" s="84" t="s">
        <v>100</v>
      </c>
      <c r="S10" s="44">
        <v>45526</v>
      </c>
      <c r="T10" s="250">
        <v>46256</v>
      </c>
      <c r="U10" s="250">
        <v>46694</v>
      </c>
      <c r="V10" s="44">
        <v>46694</v>
      </c>
      <c r="W10" s="255">
        <f>Table13[[#This Row],[نهاية المشروع المعدلة PMO LIVE]]-Table13[[#This Row],[نهاية المشروع المعدلة EPPM]]</f>
        <v>0</v>
      </c>
      <c r="X10" s="255" t="s">
        <v>169</v>
      </c>
      <c r="Y10" s="250">
        <v>46881</v>
      </c>
      <c r="Z10" s="44">
        <f>_xlfn.XLOOKUP(Table13[[#This Row],[PO]],Table156101114[PO],Table156101114[[النهاية المتوقعة ]],0)</f>
        <v>46888</v>
      </c>
      <c r="AA10" s="719">
        <f>Table13[[#This Row],[النهاية طبقاً للتحديث الاسبوعي الحالي]]-Table13[[#This Row],[النهاية طبقاً للتحديث الاسبوعي السابق]]</f>
        <v>7</v>
      </c>
      <c r="AB10" s="522">
        <v>25593675.789999999</v>
      </c>
      <c r="AC10" s="109">
        <v>29432727.16</v>
      </c>
      <c r="AD10" s="258">
        <v>0.27060000000000001</v>
      </c>
      <c r="AE10" s="258">
        <v>0.18959999999999999</v>
      </c>
      <c r="AF10" s="45">
        <f>_xlfn.XLOOKUP(Table13[[#This Row],[PO]],Table156101114[PO],Table156101114[المخطط % 15 اكتوبر2026],0)</f>
        <v>0.2722</v>
      </c>
      <c r="AG10" s="45">
        <f>_xlfn.XLOOKUP(Table13[[#This Row],[PO]],Table156101114[PO],Table156101114[Act %],0)</f>
        <v>0.18959999999999999</v>
      </c>
      <c r="AH10" s="630">
        <f>Table13[[#This Row],[المخطط % التراكمي]]-Table13[[#This Row],[المخطط % - الإسبوع السابق ]]</f>
        <v>1.5999999999999903E-3</v>
      </c>
      <c r="AI10" s="630">
        <f>Table13[[#This Row],[المنفذ % التراكمي]]-Table13[[#This Row],[المنفذ % - الإسبوع السابق]]</f>
        <v>0</v>
      </c>
      <c r="AJ10" s="46">
        <f>Table13[[#This Row],[المنفذ % التراكمي]]-Table13[[#This Row],[المخطط % التراكمي]]</f>
        <v>-8.2600000000000007E-2</v>
      </c>
      <c r="AK10" s="1025"/>
      <c r="AL10" s="1025"/>
      <c r="AM10" s="673"/>
      <c r="AN10" s="673"/>
      <c r="AO10" s="673"/>
      <c r="AP10" s="673"/>
      <c r="AQ10" s="107">
        <f>_xlfn.XLOOKUP(Table13[[#This Row],[PO]],Table156101114[PO],Table156101114[TF],0)</f>
        <v>-166</v>
      </c>
      <c r="AR10" s="276">
        <f>Table13[[#This Row],[نسبة الإنجاز المتبقية %]]/(Table13[[#This Row],[مدة المشروع المتبقية بالشهور]])</f>
        <v>6.3312500000000008E-2</v>
      </c>
      <c r="AS10" s="70">
        <v>0.28294161297571085</v>
      </c>
      <c r="AT10" s="70">
        <f>Table13[[#This Row],[نسبة المخطط التراكمي حتى 31 أكتوبر 2026]]-9.9%</f>
        <v>0.18394161297571085</v>
      </c>
      <c r="AU10" s="446">
        <v>0</v>
      </c>
      <c r="AV10" s="70">
        <f>Table13[[#This Row],[نسبة المخطط التراكمي حتى 31 أكتوبر 2026]]-24.9%</f>
        <v>3.3941612975710855E-2</v>
      </c>
      <c r="AW10" s="449">
        <v>0</v>
      </c>
      <c r="AX10" s="440">
        <f>100%-Table13[[#This Row],[المنفذ % التراكمي]]</f>
        <v>0.81040000000000001</v>
      </c>
      <c r="AY10" s="440">
        <f>100%-Table13[[#This Row],[نسبة المدة المنقضية %]]</f>
        <v>0.32876712328767121</v>
      </c>
      <c r="AZ10" s="70">
        <f>_xlfn.XLOOKUP(Table13[[#This Row],[PO]],Table156101114[PO],Table156101114[المدة المنقضية],0)</f>
        <v>0.67123287671232879</v>
      </c>
      <c r="BA10" s="70" t="s">
        <v>122</v>
      </c>
      <c r="BB10" s="108" t="s">
        <v>120</v>
      </c>
      <c r="BC10" s="96">
        <f>_xlfn.XLOOKUP(Table13[[#This Row],[PO]],Table156101114[PO],Table156101114[SPI],0)</f>
        <v>0.69654665686994854</v>
      </c>
      <c r="BD10" s="359">
        <f>Table13[[#This Row],[نسبة المدة المنقضية %]]*Table13[[#This Row],[مدة المشروع الكلية بالشهور]]</f>
        <v>26.133333333333333</v>
      </c>
      <c r="BE10" s="360">
        <f>Table13[[#This Row],[نسبة المدة المتبقية %]]*Table13[[#This Row],[مدة المشروع الكلية بالشهور]]</f>
        <v>12.799999999999999</v>
      </c>
      <c r="BF10" s="360">
        <f>(Table13[[#This Row],[نهاية المشروع المعدلة PMO LIVE]]-Table13[[#This Row],[بداية المشروع التعاقدية]])</f>
        <v>1168</v>
      </c>
      <c r="BG10" s="361">
        <f>(Table13[[#This Row],[نهاية المشروع المعدلة PMO LIVE]]-Table13[[#This Row],[بداية المشروع التعاقدية]])/30</f>
        <v>38.93333333333333</v>
      </c>
      <c r="BH10" s="260">
        <f>1.25*Table13[[#This Row],[مدة المشروع بالايام]]</f>
        <v>1460</v>
      </c>
      <c r="BI10" s="621">
        <f>Table13[[#This Row],[125%من مدة المشروع]]+Table13[[#This Row],[بداية المشروع التعاقدية]]</f>
        <v>46986</v>
      </c>
      <c r="BJ10" s="651">
        <f>Table13[[#This Row],[قيمة المشروع بالضريبة]]*Table13[[#This Row],[المخطط % التراكمي]]</f>
        <v>8011588.3329520002</v>
      </c>
      <c r="BK10" s="270">
        <f>Table13[[#This Row],[قيمة المشروع بالضريبة]]*Table13[[#This Row],[المنفذ % التراكمي]]</f>
        <v>5580445.0695359996</v>
      </c>
      <c r="BL10" s="318">
        <f>Table13[[#This Row],[نسبة الإنجاز المتبقية %]]*Table13[[#This Row],[قيمة المشروع بالضريبة]]</f>
        <v>23852282.090464</v>
      </c>
      <c r="BM10" s="318">
        <f>Table13[[#This Row],[نسبة الإيقاف%]]*Table13[[#This Row],[قيمة المشروع بالضريبة]]</f>
        <v>5615764.3421280002</v>
      </c>
      <c r="BN10" s="319">
        <f>Table13[[#This Row],[Suspended Budget]]/Table13[[#This Row],[Remaining Budget]]</f>
        <v>0.23543928923988156</v>
      </c>
      <c r="BQ10" s="903"/>
      <c r="BR10" s="904"/>
      <c r="BS10" s="904"/>
    </row>
    <row r="11" spans="1:71" s="320" customFormat="1" ht="30" customHeight="1">
      <c r="A11" s="80">
        <f>SUBTOTAL(3,$D$3:D11)</f>
        <v>4</v>
      </c>
      <c r="B11" s="83" t="s">
        <v>287</v>
      </c>
      <c r="C11" s="43" t="s">
        <v>219</v>
      </c>
      <c r="D11" s="42">
        <v>901240282</v>
      </c>
      <c r="E11" s="43" t="s">
        <v>87</v>
      </c>
      <c r="F11" s="43" t="s">
        <v>318</v>
      </c>
      <c r="G11" s="152" t="s">
        <v>159</v>
      </c>
      <c r="H11" s="153" t="s">
        <v>408</v>
      </c>
      <c r="I11" s="43" t="s">
        <v>118</v>
      </c>
      <c r="J11" s="43" t="s">
        <v>111</v>
      </c>
      <c r="K11" s="42" t="s">
        <v>116</v>
      </c>
      <c r="L11" s="42">
        <v>9</v>
      </c>
      <c r="M11" s="42" t="s">
        <v>259</v>
      </c>
      <c r="N11" s="593" t="s">
        <v>121</v>
      </c>
      <c r="O11" s="70">
        <v>0</v>
      </c>
      <c r="P11" s="43" t="s">
        <v>72</v>
      </c>
      <c r="Q11" s="94" t="s">
        <v>77</v>
      </c>
      <c r="R11" s="84" t="s">
        <v>100</v>
      </c>
      <c r="S11" s="44">
        <v>45648</v>
      </c>
      <c r="T11" s="250">
        <v>46743</v>
      </c>
      <c r="U11" s="250">
        <v>47113</v>
      </c>
      <c r="V11" s="44">
        <v>47127</v>
      </c>
      <c r="W11" s="255">
        <f>Table13[[#This Row],[نهاية المشروع المعدلة PMO LIVE]]-Table13[[#This Row],[نهاية المشروع المعدلة EPPM]]</f>
        <v>14</v>
      </c>
      <c r="X11" s="870" t="s">
        <v>643</v>
      </c>
      <c r="Y11" s="250">
        <v>47300</v>
      </c>
      <c r="Z11" s="44">
        <f>_xlfn.XLOOKUP(Table13[[#This Row],[PO]],Table156101114[PO],Table156101114[[النهاية المتوقعة ]],0)</f>
        <v>47307</v>
      </c>
      <c r="AA11" s="719">
        <f>Table13[[#This Row],[النهاية طبقاً للتحديث الاسبوعي الحالي]]-Table13[[#This Row],[النهاية طبقاً للتحديث الاسبوعي السابق]]</f>
        <v>7</v>
      </c>
      <c r="AB11" s="522">
        <v>23121750</v>
      </c>
      <c r="AC11" s="109">
        <v>26590012.5</v>
      </c>
      <c r="AD11" s="258">
        <v>0.1134</v>
      </c>
      <c r="AE11" s="258">
        <v>3.1699999999999999E-2</v>
      </c>
      <c r="AF11" s="45">
        <f>_xlfn.XLOOKUP(Table13[[#This Row],[PO]],Table156101114[PO],Table156101114[المخطط % 15 اكتوبر2026],0)</f>
        <v>0.11840000000000001</v>
      </c>
      <c r="AG11" s="45">
        <f>_xlfn.XLOOKUP(Table13[[#This Row],[PO]],Table156101114[PO],Table156101114[Act %],0)</f>
        <v>3.1699999999999999E-2</v>
      </c>
      <c r="AH11" s="629">
        <f>Table13[[#This Row],[المخطط % التراكمي]]-Table13[[#This Row],[المخطط % - الإسبوع السابق ]]</f>
        <v>5.0000000000000044E-3</v>
      </c>
      <c r="AI11" s="629">
        <f>Table13[[#This Row],[المنفذ % التراكمي]]-Table13[[#This Row],[المنفذ % - الإسبوع السابق]]</f>
        <v>0</v>
      </c>
      <c r="AJ11" s="51">
        <f>Table13[[#This Row],[المنفذ % التراكمي]]-Table13[[#This Row],[المخطط % التراكمي]]</f>
        <v>-8.6699999999999999E-2</v>
      </c>
      <c r="AK11" s="636"/>
      <c r="AL11" s="636"/>
      <c r="AM11" s="673" t="s">
        <v>338</v>
      </c>
      <c r="AN11" s="673"/>
      <c r="AO11" s="673"/>
      <c r="AP11" s="673"/>
      <c r="AQ11" s="107">
        <f>_xlfn.XLOOKUP(Table13[[#This Row],[PO]],Table156101114[PO],Table156101114[TF],0)</f>
        <v>-166</v>
      </c>
      <c r="AR11" s="276">
        <f>Table13[[#This Row],[نسبة الإنجاز المتبقية %]]/(Table13[[#This Row],[مدة المشروع المتبقية بالشهور]])</f>
        <v>3.5555691554467569E-2</v>
      </c>
      <c r="AS11" s="70">
        <v>0.12165729881100813</v>
      </c>
      <c r="AT11" s="70">
        <f>Table13[[#This Row],[نسبة المخطط التراكمي حتى 31 أكتوبر 2026]]-9.9%</f>
        <v>2.2657298811008128E-2</v>
      </c>
      <c r="AU11" s="446">
        <v>0</v>
      </c>
      <c r="AV11" s="70">
        <v>0</v>
      </c>
      <c r="AW11" s="449">
        <v>0</v>
      </c>
      <c r="AX11" s="440">
        <f>100%-Table13[[#This Row],[المنفذ % التراكمي]]</f>
        <v>0.96830000000000005</v>
      </c>
      <c r="AY11" s="440">
        <f>100%-Table13[[#This Row],[نسبة المدة المنقضية %]]</f>
        <v>0.55240027045300877</v>
      </c>
      <c r="AZ11" s="70">
        <f>_xlfn.XLOOKUP(Table13[[#This Row],[PO]],Table156101114[PO],Table156101114[المدة المنقضية],0)</f>
        <v>0.44759972954699123</v>
      </c>
      <c r="BA11" s="70" t="s">
        <v>122</v>
      </c>
      <c r="BB11" s="108" t="s">
        <v>120</v>
      </c>
      <c r="BC11" s="96">
        <f>_xlfn.XLOOKUP(Table13[[#This Row],[PO]],Table156101114[PO],Table156101114[SPI],0)</f>
        <v>0.26773648648648646</v>
      </c>
      <c r="BD11" s="359">
        <f>Table13[[#This Row],[نسبة المدة المنقضية %]]*Table13[[#This Row],[مدة المشروع الكلية بالشهور]]</f>
        <v>22.066666666666666</v>
      </c>
      <c r="BE11" s="360">
        <f>Table13[[#This Row],[نسبة المدة المتبقية %]]*Table13[[#This Row],[مدة المشروع الكلية بالشهور]]</f>
        <v>27.233333333333331</v>
      </c>
      <c r="BF11" s="360">
        <f>(Table13[[#This Row],[نهاية المشروع المعدلة PMO LIVE]]-Table13[[#This Row],[بداية المشروع التعاقدية]])</f>
        <v>1479</v>
      </c>
      <c r="BG11" s="361">
        <f>(Table13[[#This Row],[نهاية المشروع المعدلة PMO LIVE]]-Table13[[#This Row],[بداية المشروع التعاقدية]])/30</f>
        <v>49.3</v>
      </c>
      <c r="BH11" s="260">
        <f>1.25*Table13[[#This Row],[مدة المشروع بالايام]]</f>
        <v>1848.75</v>
      </c>
      <c r="BI11" s="621">
        <f>Table13[[#This Row],[125%من مدة المشروع]]+Table13[[#This Row],[بداية المشروع التعاقدية]]</f>
        <v>47496.75</v>
      </c>
      <c r="BJ11" s="648">
        <f>Table13[[#This Row],[قيمة المشروع بالضريبة]]*Table13[[#This Row],[المخطط % التراكمي]]</f>
        <v>3148257.48</v>
      </c>
      <c r="BK11" s="269">
        <f>Table13[[#This Row],[قيمة المشروع بالضريبة]]*Table13[[#This Row],[المنفذ % التراكمي]]</f>
        <v>842903.39624999999</v>
      </c>
      <c r="BL11" s="316">
        <f>Table13[[#This Row],[نسبة الإنجاز المتبقية %]]*Table13[[#This Row],[قيمة المشروع بالضريبة]]</f>
        <v>25747109.103750002</v>
      </c>
      <c r="BM11" s="316">
        <f>Table13[[#This Row],[نسبة الإيقاف%]]*Table13[[#This Row],[قيمة المشروع بالضريبة]]</f>
        <v>0</v>
      </c>
      <c r="BN11" s="317">
        <f>Table13[[#This Row],[Suspended Budget]]/Table13[[#This Row],[Remaining Budget]]</f>
        <v>0</v>
      </c>
      <c r="BQ11" s="903"/>
      <c r="BR11" s="904"/>
      <c r="BS11" s="904"/>
    </row>
    <row r="12" spans="1:71" ht="30" hidden="1" customHeight="1">
      <c r="A12" s="79">
        <f>SUBTOTAL(3,$D$3:D12)</f>
        <v>4</v>
      </c>
      <c r="B12" s="85">
        <v>10129</v>
      </c>
      <c r="C12" s="34" t="s">
        <v>229</v>
      </c>
      <c r="D12" s="1010">
        <v>901230177</v>
      </c>
      <c r="E12" s="34" t="s">
        <v>66</v>
      </c>
      <c r="F12" s="34" t="s">
        <v>321</v>
      </c>
      <c r="G12" s="154" t="s">
        <v>151</v>
      </c>
      <c r="H12" s="154" t="s">
        <v>524</v>
      </c>
      <c r="I12" s="34" t="s">
        <v>15</v>
      </c>
      <c r="J12" s="34" t="s">
        <v>123</v>
      </c>
      <c r="K12" s="48" t="s">
        <v>73</v>
      </c>
      <c r="L12" s="48">
        <v>9</v>
      </c>
      <c r="M12" s="48" t="s">
        <v>259</v>
      </c>
      <c r="N12" s="594" t="s">
        <v>121</v>
      </c>
      <c r="O12" s="69">
        <v>0.18</v>
      </c>
      <c r="P12" s="34" t="s">
        <v>366</v>
      </c>
      <c r="Q12" s="94" t="s">
        <v>77</v>
      </c>
      <c r="R12" s="84" t="s">
        <v>100</v>
      </c>
      <c r="S12" s="49">
        <v>45224</v>
      </c>
      <c r="T12" s="249">
        <v>46320</v>
      </c>
      <c r="U12" s="249">
        <v>46730</v>
      </c>
      <c r="V12" s="49">
        <v>46730</v>
      </c>
      <c r="W12" s="254">
        <f>Table13[[#This Row],[نهاية المشروع المعدلة PMO LIVE]]-Table13[[#This Row],[نهاية المشروع المعدلة EPPM]]</f>
        <v>0</v>
      </c>
      <c r="X12" s="254" t="s">
        <v>169</v>
      </c>
      <c r="Y12" s="252">
        <v>46916</v>
      </c>
      <c r="Z12" s="88">
        <f>_xlfn.XLOOKUP(Table13[[#This Row],[PO]],Table156101114[PO],Table156101114[[النهاية المتوقعة ]],0)</f>
        <v>46923</v>
      </c>
      <c r="AA12" s="720">
        <f>Table13[[#This Row],[النهاية طبقاً للتحديث الاسبوعي الحالي]]-Table13[[#This Row],[النهاية طبقاً للتحديث الاسبوعي السابق]]</f>
        <v>7</v>
      </c>
      <c r="AB12" s="523">
        <v>68020515</v>
      </c>
      <c r="AC12" s="110">
        <v>78223592.25</v>
      </c>
      <c r="AD12" s="257">
        <v>0.29909999999999998</v>
      </c>
      <c r="AE12" s="257">
        <v>0.22500000000000001</v>
      </c>
      <c r="AF12" s="81">
        <f>_xlfn.XLOOKUP(Table13[[#This Row],[PO]],Table156101114[PO],Table156101114[المخطط % 15 اكتوبر2026],0)</f>
        <v>0.30149999999999999</v>
      </c>
      <c r="AG12" s="81">
        <f>_xlfn.XLOOKUP(Table13[[#This Row],[PO]],Table156101114[PO],Table156101114[Act %],0)</f>
        <v>0.22500000000000001</v>
      </c>
      <c r="AH12" s="627">
        <f>Table13[[#This Row],[المخطط % التراكمي]]-Table13[[#This Row],[المخطط % - الإسبوع السابق ]]</f>
        <v>2.4000000000000132E-3</v>
      </c>
      <c r="AI12" s="627">
        <f>Table13[[#This Row],[المنفذ % التراكمي]]-Table13[[#This Row],[المنفذ % - الإسبوع السابق]]</f>
        <v>0</v>
      </c>
      <c r="AJ12" s="102">
        <f>Table13[[#This Row],[المنفذ % التراكمي]]-Table13[[#This Row],[المخطط % التراكمي]]</f>
        <v>-7.6499999999999985E-2</v>
      </c>
      <c r="AK12" s="1024">
        <v>0.25967200000000001</v>
      </c>
      <c r="AL12" s="1024">
        <f>Table13[[#This Row],[المنفذ % التراكمي]]</f>
        <v>0.22500000000000001</v>
      </c>
      <c r="AM12" s="257" t="s">
        <v>338</v>
      </c>
      <c r="AN12" s="257"/>
      <c r="AO12" s="257"/>
      <c r="AP12" s="257"/>
      <c r="AQ12" s="106">
        <f>_xlfn.XLOOKUP(Table13[[#This Row],[PO]],Table156101114[PO],Table156101114[TF],0)</f>
        <v>-165</v>
      </c>
      <c r="AR12" s="277">
        <f>Table13[[#This Row],[نسبة الإنجاز المتبقية %]]/(Table13[[#This Row],[مدة المشروع المتبقية بالشهور]])</f>
        <v>5.5357142857142862E-2</v>
      </c>
      <c r="AS12" s="69">
        <v>0.30563448478659211</v>
      </c>
      <c r="AT12" s="69">
        <f>Table13[[#This Row],[نسبة المخطط التراكمي حتى 31 أكتوبر 2026]]-9.9%</f>
        <v>0.2066344847865921</v>
      </c>
      <c r="AU12" s="445">
        <v>0</v>
      </c>
      <c r="AV12" s="69">
        <f>Table13[[#This Row],[نسبة المخطط التراكمي حتى 31 أكتوبر 2026]]-24.9%</f>
        <v>5.663448478659211E-2</v>
      </c>
      <c r="AW12" s="448">
        <v>0</v>
      </c>
      <c r="AX12" s="439">
        <f>100%-Table13[[#This Row],[المنفذ % التراكمي]]</f>
        <v>0.77500000000000002</v>
      </c>
      <c r="AY12" s="439">
        <f>100%-Table13[[#This Row],[نسبة المدة المنقضية %]]</f>
        <v>0.2788844621513944</v>
      </c>
      <c r="AZ12" s="69">
        <f>_xlfn.XLOOKUP(Table13[[#This Row],[PO]],Table156101114[PO],Table156101114[المدة المنقضية],0)</f>
        <v>0.7211155378486056</v>
      </c>
      <c r="BA12" s="69" t="s">
        <v>122</v>
      </c>
      <c r="BB12" s="105" t="s">
        <v>121</v>
      </c>
      <c r="BC12" s="95">
        <f>_xlfn.XLOOKUP(Table13[[#This Row],[PO]],Table156101114[PO],Table156101114[SPI],0)</f>
        <v>0.74626865671641796</v>
      </c>
      <c r="BD12" s="359">
        <f>Table13[[#This Row],[نسبة المدة المنقضية %]]*Table13[[#This Row],[مدة المشروع الكلية بالشهور]]</f>
        <v>36.200000000000003</v>
      </c>
      <c r="BE12" s="360">
        <f>Table13[[#This Row],[نسبة المدة المتبقية %]]*Table13[[#This Row],[مدة المشروع الكلية بالشهور]]</f>
        <v>14</v>
      </c>
      <c r="BF12" s="360">
        <f>(Table13[[#This Row],[نهاية المشروع المعدلة PMO LIVE]]-Table13[[#This Row],[بداية المشروع التعاقدية]])</f>
        <v>1506</v>
      </c>
      <c r="BG12" s="361">
        <f>(Table13[[#This Row],[نهاية المشروع المعدلة PMO LIVE]]-Table13[[#This Row],[بداية المشروع التعاقدية]])/30</f>
        <v>50.2</v>
      </c>
      <c r="BH12" s="260">
        <f>1.25*Table13[[#This Row],[مدة المشروع بالايام]]</f>
        <v>1882.5</v>
      </c>
      <c r="BI12" s="495">
        <f>Table13[[#This Row],[125%من مدة المشروع]]+Table13[[#This Row],[بداية المشروع التعاقدية]]</f>
        <v>47106.5</v>
      </c>
      <c r="BJ12" s="651">
        <f>Table13[[#This Row],[قيمة المشروع بالضريبة]]*Table13[[#This Row],[المخطط % التراكمي]]</f>
        <v>23584413.063375</v>
      </c>
      <c r="BK12" s="270">
        <f>Table13[[#This Row],[قيمة المشروع بالضريبة]]*Table13[[#This Row],[المنفذ % التراكمي]]</f>
        <v>17600308.256250001</v>
      </c>
      <c r="BL12" s="318">
        <f>Table13[[#This Row],[نسبة الإنجاز المتبقية %]]*Table13[[#This Row],[قيمة المشروع بالضريبة]]</f>
        <v>60623283.993749999</v>
      </c>
      <c r="BM12" s="318">
        <f>Table13[[#This Row],[نسبة الإيقاف%]]*Table13[[#This Row],[قيمة المشروع بالضريبة]]</f>
        <v>14080246.604999999</v>
      </c>
      <c r="BN12" s="319">
        <f>Table13[[#This Row],[Suspended Budget]]/Table13[[#This Row],[Remaining Budget]]</f>
        <v>0.23225806451612901</v>
      </c>
      <c r="BQ12" s="903"/>
      <c r="BR12" s="904"/>
      <c r="BS12" s="904"/>
    </row>
    <row r="13" spans="1:71" s="320" customFormat="1" ht="30" customHeight="1">
      <c r="A13" s="80">
        <f>SUBTOTAL(3,$D$3:D13)</f>
        <v>5</v>
      </c>
      <c r="B13" s="83" t="s">
        <v>650</v>
      </c>
      <c r="C13" s="43" t="s">
        <v>651</v>
      </c>
      <c r="D13" s="42">
        <v>901260326</v>
      </c>
      <c r="E13" s="43" t="s">
        <v>735</v>
      </c>
      <c r="F13" s="43" t="s">
        <v>321</v>
      </c>
      <c r="G13" s="43" t="s">
        <v>151</v>
      </c>
      <c r="H13" s="43" t="s">
        <v>237</v>
      </c>
      <c r="I13" s="43" t="s">
        <v>653</v>
      </c>
      <c r="J13" s="43" t="s">
        <v>123</v>
      </c>
      <c r="K13" s="42" t="s">
        <v>73</v>
      </c>
      <c r="L13" s="42">
        <v>2</v>
      </c>
      <c r="M13" s="42" t="s">
        <v>259</v>
      </c>
      <c r="N13" s="593"/>
      <c r="O13" s="70">
        <v>0</v>
      </c>
      <c r="P13" s="43" t="s">
        <v>72</v>
      </c>
      <c r="Q13" s="701" t="s">
        <v>77</v>
      </c>
      <c r="R13" s="84" t="s">
        <v>100</v>
      </c>
      <c r="S13" s="44">
        <v>46245</v>
      </c>
      <c r="T13" s="250">
        <v>46488</v>
      </c>
      <c r="U13" s="250">
        <v>46488</v>
      </c>
      <c r="V13" s="44">
        <v>46488</v>
      </c>
      <c r="W13" s="255">
        <f>Table13[[#This Row],[نهاية المشروع المعدلة PMO LIVE]]-Table13[[#This Row],[نهاية المشروع المعدلة EPPM]]</f>
        <v>0</v>
      </c>
      <c r="X13" s="255" t="s">
        <v>169</v>
      </c>
      <c r="Y13" s="253">
        <v>46517</v>
      </c>
      <c r="Z13" s="44">
        <f>_xlfn.XLOOKUP(Table13[[#This Row],[PO]],Table156101114[PO],Table156101114[[النهاية المتوقعة ]],0)</f>
        <v>46529</v>
      </c>
      <c r="AA13" s="719">
        <f>Table13[[#This Row],[النهاية طبقاً للتحديث الاسبوعي الحالي]]-Table13[[#This Row],[النهاية طبقاً للتحديث الاسبوعي السابق]]</f>
        <v>12</v>
      </c>
      <c r="AB13" s="522">
        <v>3268750</v>
      </c>
      <c r="AC13" s="109">
        <v>3759062.5</v>
      </c>
      <c r="AD13" s="258">
        <v>4.1000000000000002E-2</v>
      </c>
      <c r="AE13" s="258" t="s">
        <v>876</v>
      </c>
      <c r="AF13" s="90">
        <f>_xlfn.XLOOKUP(Table13[[#This Row],[PO]],Table156101114[PO],Table156101114[المخطط % 15 اكتوبر2026],0)</f>
        <v>5.91E-2</v>
      </c>
      <c r="AG13" s="90" t="str">
        <f>_xlfn.XLOOKUP(Table13[[#This Row],[PO]],Table156101114[PO],Table156101114[Act %],0)</f>
        <v>0.00%</v>
      </c>
      <c r="AH13" s="627">
        <f>Table13[[#This Row],[المخطط % التراكمي]]-Table13[[#This Row],[المخطط % - الإسبوع السابق ]]</f>
        <v>1.8099999999999998E-2</v>
      </c>
      <c r="AI13" s="630">
        <f>Table13[[#This Row],[المنفذ % التراكمي]]-Table13[[#This Row],[المنفذ % - الإسبوع السابق]]</f>
        <v>0</v>
      </c>
      <c r="AJ13" s="702">
        <f>Table13[[#This Row],[المنفذ % التراكمي]]-Table13[[#This Row],[المخطط % التراكمي]]</f>
        <v>-5.91E-2</v>
      </c>
      <c r="AK13" s="636"/>
      <c r="AL13" s="636"/>
      <c r="AM13" s="673"/>
      <c r="AN13" s="673"/>
      <c r="AO13" s="673"/>
      <c r="AP13" s="673"/>
      <c r="AQ13" s="107">
        <f>_xlfn.XLOOKUP(Table13[[#This Row],[PO]],Table156101114[PO],Table156101114[TF],0)</f>
        <v>-31</v>
      </c>
      <c r="AR13" s="276">
        <f>Table13[[#This Row],[نسبة الإنجاز المتبقية %]]/(Table13[[#This Row],[مدة المشروع المتبقية بالشهور]])</f>
        <v>0.16853932584269665</v>
      </c>
      <c r="AS13" s="70">
        <v>0.10638623326959847</v>
      </c>
      <c r="AT13" s="70">
        <f>Table13[[#This Row],[نسبة المخطط التراكمي حتى 31 أكتوبر 2026]]-9.9%</f>
        <v>7.3862332695984606E-3</v>
      </c>
      <c r="AU13" s="446">
        <f>Table13[[#This Row],[نسبة الانجاز التراكمي المطلوب للإنتظام]]-Table13[[#This Row],[المنفذ % التراكمي]]</f>
        <v>7.3862332695984606E-3</v>
      </c>
      <c r="AV13" s="70">
        <v>0</v>
      </c>
      <c r="AW13" s="449">
        <f>Table13[[#This Row],[نسبة الانجاز التراكمي المطلوب لتجنب التعثر]]-Table13[[#This Row],[المنفذ % التراكمي]]</f>
        <v>0</v>
      </c>
      <c r="AX13" s="440">
        <f>100%-Table13[[#This Row],[المنفذ % التراكمي]]</f>
        <v>1</v>
      </c>
      <c r="AY13" s="440">
        <f>100%-Table13[[#This Row],[نسبة المدة المنقضية %]]</f>
        <v>0.73251028806584362</v>
      </c>
      <c r="AZ13" s="70">
        <f>_xlfn.XLOOKUP(Table13[[#This Row],[PO]],Table156101114[PO],Table156101114[المدة المنقضية],0)</f>
        <v>0.26748971193415638</v>
      </c>
      <c r="BA13" s="70" t="s">
        <v>122</v>
      </c>
      <c r="BB13" s="108" t="s">
        <v>120</v>
      </c>
      <c r="BC13" s="96">
        <f>_xlfn.XLOOKUP(Table13[[#This Row],[PO]],Table156101114[PO],Table156101114[SPI],0)</f>
        <v>0</v>
      </c>
      <c r="BD13" s="709">
        <f>Table13[[#This Row],[نسبة المدة المنقضية %]]*Table13[[#This Row],[مدة المشروع الكلية بالشهور]]</f>
        <v>2.1666666666666665</v>
      </c>
      <c r="BE13" s="710">
        <f>Table13[[#This Row],[نسبة المدة المتبقية %]]*Table13[[#This Row],[مدة المشروع الكلية بالشهور]]</f>
        <v>5.9333333333333327</v>
      </c>
      <c r="BF13" s="710">
        <f>(Table13[[#This Row],[نهاية المشروع المعدلة PMO LIVE]]-Table13[[#This Row],[بداية المشروع التعاقدية]])</f>
        <v>243</v>
      </c>
      <c r="BG13" s="361">
        <f>(Table13[[#This Row],[نهاية المشروع المعدلة PMO LIVE]]-Table13[[#This Row],[بداية المشروع التعاقدية]])/30</f>
        <v>8.1</v>
      </c>
      <c r="BH13" s="711">
        <f>1.25*Table13[[#This Row],[مدة المشروع بالايام]]</f>
        <v>303.75</v>
      </c>
      <c r="BI13" s="661">
        <f>Table13[[#This Row],[125%من مدة المشروع]]+Table13[[#This Row],[بداية المشروع التعاقدية]]</f>
        <v>46548.75</v>
      </c>
      <c r="BJ13" s="1014">
        <f>Table13[[#This Row],[قيمة المشروع بالضريبة]]*Table13[[#This Row],[المخطط % التراكمي]]</f>
        <v>222160.59375</v>
      </c>
      <c r="BK13" s="1015">
        <f>Table13[[#This Row],[قيمة المشروع بالضريبة]]*Table13[[#This Row],[المنفذ % التراكمي]]</f>
        <v>0</v>
      </c>
      <c r="BL13" s="548">
        <f>Table13[[#This Row],[نسبة الإنجاز المتبقية %]]*Table13[[#This Row],[قيمة المشروع بالضريبة]]</f>
        <v>3759062.5</v>
      </c>
      <c r="BM13" s="548">
        <f>Table13[[#This Row],[نسبة الإيقاف%]]*Table13[[#This Row],[قيمة المشروع بالضريبة]]</f>
        <v>0</v>
      </c>
      <c r="BN13" s="549">
        <f>Table13[[#This Row],[Suspended Budget]]/Table13[[#This Row],[Remaining Budget]]</f>
        <v>0</v>
      </c>
      <c r="BQ13" s="903"/>
      <c r="BR13" s="904"/>
      <c r="BS13" s="904"/>
    </row>
    <row r="14" spans="1:71" s="322" customFormat="1" ht="30" customHeight="1">
      <c r="A14" s="79">
        <f>SUBTOTAL(3,$D$3:D14)</f>
        <v>6</v>
      </c>
      <c r="B14" s="85" t="s">
        <v>283</v>
      </c>
      <c r="C14" s="34" t="s">
        <v>198</v>
      </c>
      <c r="D14" s="48">
        <v>901240075</v>
      </c>
      <c r="E14" s="34" t="s">
        <v>54</v>
      </c>
      <c r="F14" s="34" t="s">
        <v>318</v>
      </c>
      <c r="G14" s="154" t="s">
        <v>159</v>
      </c>
      <c r="H14" s="155" t="s">
        <v>162</v>
      </c>
      <c r="I14" s="34" t="s">
        <v>29</v>
      </c>
      <c r="J14" s="34" t="s">
        <v>123</v>
      </c>
      <c r="K14" s="48" t="s">
        <v>116</v>
      </c>
      <c r="L14" s="48">
        <v>5</v>
      </c>
      <c r="M14" s="48" t="s">
        <v>259</v>
      </c>
      <c r="N14" s="594" t="s">
        <v>120</v>
      </c>
      <c r="O14" s="69">
        <v>0.22550000000000001</v>
      </c>
      <c r="P14" s="34" t="s">
        <v>366</v>
      </c>
      <c r="Q14" s="92" t="s">
        <v>85</v>
      </c>
      <c r="R14" s="92" t="s">
        <v>85</v>
      </c>
      <c r="S14" s="49">
        <v>45468</v>
      </c>
      <c r="T14" s="249">
        <v>46198</v>
      </c>
      <c r="U14" s="249">
        <v>46480</v>
      </c>
      <c r="V14" s="49">
        <v>46480</v>
      </c>
      <c r="W14" s="254">
        <f>Table13[[#This Row],[نهاية المشروع المعدلة PMO LIVE]]-Table13[[#This Row],[نهاية المشروع المعدلة EPPM]]</f>
        <v>0</v>
      </c>
      <c r="X14" s="483" t="s">
        <v>169</v>
      </c>
      <c r="Y14" s="252">
        <v>46609</v>
      </c>
      <c r="Z14" s="88">
        <f>_xlfn.XLOOKUP(Table13[[#This Row],[PO]],Table156101114[PO],Table156101114[[النهاية المتوقعة ]],0)</f>
        <v>46616</v>
      </c>
      <c r="AA14" s="720">
        <f>Table13[[#This Row],[النهاية طبقاً للتحديث الاسبوعي الحالي]]-Table13[[#This Row],[النهاية طبقاً للتحديث الاسبوعي السابق]]</f>
        <v>7</v>
      </c>
      <c r="AB14" s="523">
        <v>39025475.149999999</v>
      </c>
      <c r="AC14" s="110">
        <v>44879296.420000002</v>
      </c>
      <c r="AD14" s="257">
        <v>0.44030000000000002</v>
      </c>
      <c r="AE14" s="257">
        <v>0.13200000000000001</v>
      </c>
      <c r="AF14" s="81">
        <f>_xlfn.XLOOKUP(Table13[[#This Row],[PO]],Table156101114[PO],Table156101114[المخطط % 15 اكتوبر2026],0)</f>
        <v>0.45739999999999997</v>
      </c>
      <c r="AG14" s="81">
        <f>_xlfn.XLOOKUP(Table13[[#This Row],[PO]],Table156101114[PO],Table156101114[Act %],0)</f>
        <v>0.13200000000000001</v>
      </c>
      <c r="AH14" s="628">
        <f>Table13[[#This Row],[المخطط % التراكمي]]-Table13[[#This Row],[المخطط % - الإسبوع السابق ]]</f>
        <v>1.7099999999999949E-2</v>
      </c>
      <c r="AI14" s="628">
        <f>Table13[[#This Row],[المنفذ % التراكمي]]-Table13[[#This Row],[المنفذ % - الإسبوع السابق]]</f>
        <v>0</v>
      </c>
      <c r="AJ14" s="102">
        <f>Table13[[#This Row],[المنفذ % التراكمي]]-Table13[[#This Row],[المخطط % التراكمي]]</f>
        <v>-0.32539999999999997</v>
      </c>
      <c r="AK14" s="1011"/>
      <c r="AL14" s="1011"/>
      <c r="AM14" s="257" t="s">
        <v>338</v>
      </c>
      <c r="AN14" s="257" t="s">
        <v>338</v>
      </c>
      <c r="AO14" s="257"/>
      <c r="AP14" s="257"/>
      <c r="AQ14" s="106">
        <f>_xlfn.XLOOKUP(Table13[[#This Row],[PO]],Table156101114[PO],Table156101114[TF],0)</f>
        <v>-117</v>
      </c>
      <c r="AR14" s="277">
        <f>Table13[[#This Row],[نسبة الإنجاز المتبقية %]]/(Table13[[#This Row],[مدة المشروع المتبقية بالشهور]])</f>
        <v>0.15317647058823525</v>
      </c>
      <c r="AS14" s="69">
        <v>0.49792576095422014</v>
      </c>
      <c r="AT14" s="69">
        <f>Table13[[#This Row],[نسبة المخطط التراكمي حتى 31 أكتوبر 2026]]-9.9%</f>
        <v>0.39892576095422017</v>
      </c>
      <c r="AU14" s="445">
        <f>Table13[[#This Row],[نسبة الانجاز التراكمي المطلوب للإنتظام]]-Table13[[#This Row],[المنفذ % التراكمي]]</f>
        <v>0.26692576095422016</v>
      </c>
      <c r="AV14" s="69">
        <f>Table13[[#This Row],[نسبة المخطط التراكمي حتى 31 أكتوبر 2026]]-24.9%</f>
        <v>0.24892576095422014</v>
      </c>
      <c r="AW14" s="448">
        <f>Table13[[#This Row],[نسبة الانجاز التراكمي المطلوب لتجنب التعثر]]-Table13[[#This Row],[المنفذ % التراكمي]]</f>
        <v>0.11692576095422014</v>
      </c>
      <c r="AX14" s="439">
        <f>100%-Table13[[#This Row],[المنفذ % التراكمي]]</f>
        <v>0.86799999999999999</v>
      </c>
      <c r="AY14" s="439">
        <f>100%-Table13[[#This Row],[نسبة المدة المنقضية %]]</f>
        <v>0.16798418972332019</v>
      </c>
      <c r="AZ14" s="69">
        <f>_xlfn.XLOOKUP(Table13[[#This Row],[PO]],Table156101114[PO],Table156101114[المدة المنقضية],0)</f>
        <v>0.83201581027667981</v>
      </c>
      <c r="BA14" s="108" t="s">
        <v>120</v>
      </c>
      <c r="BB14" s="108" t="s">
        <v>120</v>
      </c>
      <c r="BC14" s="95">
        <f>_xlfn.XLOOKUP(Table13[[#This Row],[PO]],Table156101114[PO],Table156101114[SPI],0)</f>
        <v>0.28858766943594233</v>
      </c>
      <c r="BD14" s="359">
        <f>Table13[[#This Row],[نسبة المدة المنقضية %]]*Table13[[#This Row],[مدة المشروع الكلية بالشهور]]</f>
        <v>28.066666666666666</v>
      </c>
      <c r="BE14" s="360">
        <f>Table13[[#This Row],[نسبة المدة المتبقية %]]*Table13[[#This Row],[مدة المشروع الكلية بالشهور]]</f>
        <v>5.6666666666666679</v>
      </c>
      <c r="BF14" s="360">
        <f>(Table13[[#This Row],[نهاية المشروع المعدلة PMO LIVE]]-Table13[[#This Row],[بداية المشروع التعاقدية]])</f>
        <v>1012</v>
      </c>
      <c r="BG14" s="361">
        <f>(Table13[[#This Row],[نهاية المشروع المعدلة PMO LIVE]]-Table13[[#This Row],[بداية المشروع التعاقدية]])/30</f>
        <v>33.733333333333334</v>
      </c>
      <c r="BH14" s="260">
        <f>1.25*Table13[[#This Row],[مدة المشروع بالايام]]</f>
        <v>1265</v>
      </c>
      <c r="BI14" s="661">
        <f>Table13[[#This Row],[125%من مدة المشروع]]+Table13[[#This Row],[بداية المشروع التعاقدية]]</f>
        <v>46733</v>
      </c>
      <c r="BJ14" s="648">
        <f>Table13[[#This Row],[قيمة المشروع بالضريبة]]*Table13[[#This Row],[المخطط % التراكمي]]</f>
        <v>20527790.182507999</v>
      </c>
      <c r="BK14" s="269">
        <f>Table13[[#This Row],[قيمة المشروع بالضريبة]]*Table13[[#This Row],[المنفذ % التراكمي]]</f>
        <v>5924067.1274400009</v>
      </c>
      <c r="BL14" s="316">
        <f>Table13[[#This Row],[نسبة الإنجاز المتبقية %]]*Table13[[#This Row],[قيمة المشروع بالضريبة]]</f>
        <v>38955229.292560004</v>
      </c>
      <c r="BM14" s="316">
        <f>Table13[[#This Row],[نسبة الإيقاف%]]*Table13[[#This Row],[قيمة المشروع بالضريبة]]</f>
        <v>10120281.342710001</v>
      </c>
      <c r="BN14" s="317">
        <f>Table13[[#This Row],[Suspended Budget]]/Table13[[#This Row],[Remaining Budget]]</f>
        <v>0.2597926267281106</v>
      </c>
      <c r="BQ14" s="903"/>
      <c r="BR14" s="904"/>
      <c r="BS14" s="918"/>
    </row>
    <row r="15" spans="1:71" ht="30" hidden="1" customHeight="1">
      <c r="A15" s="80">
        <f>SUBTOTAL(3,$D$3:D15)</f>
        <v>6</v>
      </c>
      <c r="B15" s="83" t="s">
        <v>316</v>
      </c>
      <c r="C15" s="43" t="s">
        <v>315</v>
      </c>
      <c r="D15" s="42">
        <v>901250275</v>
      </c>
      <c r="E15" s="43" t="s">
        <v>272</v>
      </c>
      <c r="F15" s="43" t="s">
        <v>321</v>
      </c>
      <c r="G15" s="43" t="s">
        <v>151</v>
      </c>
      <c r="H15" s="43" t="s">
        <v>156</v>
      </c>
      <c r="I15" s="43" t="s">
        <v>274</v>
      </c>
      <c r="J15" s="43" t="s">
        <v>123</v>
      </c>
      <c r="K15" s="42" t="s">
        <v>73</v>
      </c>
      <c r="L15" s="42">
        <v>3</v>
      </c>
      <c r="M15" s="42" t="s">
        <v>259</v>
      </c>
      <c r="N15" s="593" t="s">
        <v>120</v>
      </c>
      <c r="O15" s="70">
        <v>4.3999999999999997E-2</v>
      </c>
      <c r="P15" s="43" t="s">
        <v>72</v>
      </c>
      <c r="Q15" s="92" t="s">
        <v>85</v>
      </c>
      <c r="R15" s="92" t="s">
        <v>85</v>
      </c>
      <c r="S15" s="44">
        <v>45979</v>
      </c>
      <c r="T15" s="250">
        <v>46526</v>
      </c>
      <c r="U15" s="250">
        <v>46520</v>
      </c>
      <c r="V15" s="44">
        <v>46524</v>
      </c>
      <c r="W15" s="255">
        <f>Table13[[#This Row],[نهاية المشروع المعدلة PMO LIVE]]-Table13[[#This Row],[نهاية المشروع المعدلة EPPM]]</f>
        <v>4</v>
      </c>
      <c r="X15" s="484" t="s">
        <v>562</v>
      </c>
      <c r="Y15" s="253">
        <v>46789</v>
      </c>
      <c r="Z15" s="44">
        <f>_xlfn.XLOOKUP(Table13[[#This Row],[PO]],Table156101114[PO],Table156101114[[النهاية المتوقعة ]],0)</f>
        <v>46796</v>
      </c>
      <c r="AA15" s="719">
        <f>Table13[[#This Row],[النهاية طبقاً للتحديث الاسبوعي الحالي]]-Table13[[#This Row],[النهاية طبقاً للتحديث الاسبوعي السابق]]</f>
        <v>7</v>
      </c>
      <c r="AB15" s="522">
        <v>10401222.5</v>
      </c>
      <c r="AC15" s="109">
        <v>11961405.880000001</v>
      </c>
      <c r="AD15" s="258">
        <v>0.37090000000000001</v>
      </c>
      <c r="AE15" s="258">
        <v>7.51E-2</v>
      </c>
      <c r="AF15" s="90">
        <f>_xlfn.XLOOKUP(Table13[[#This Row],[PO]],Table156101114[PO],Table156101114[المخطط % 15 اكتوبر2026],0)</f>
        <v>0.41210000000000002</v>
      </c>
      <c r="AG15" s="90">
        <f>_xlfn.XLOOKUP(Table13[[#This Row],[PO]],Table156101114[PO],Table156101114[Act %],0)</f>
        <v>7.51E-2</v>
      </c>
      <c r="AH15" s="627">
        <f>Table13[[#This Row],[المخطط % التراكمي]]-Table13[[#This Row],[المخطط % - الإسبوع السابق ]]</f>
        <v>4.1200000000000014E-2</v>
      </c>
      <c r="AI15" s="630">
        <f>Table13[[#This Row],[المنفذ % التراكمي]]-Table13[[#This Row],[المنفذ % - الإسبوع السابق]]</f>
        <v>0</v>
      </c>
      <c r="AJ15" s="102">
        <f>Table13[[#This Row],[المنفذ % التراكمي]]-Table13[[#This Row],[المخطط % التراكمي]]</f>
        <v>-0.33700000000000002</v>
      </c>
      <c r="AK15" s="1023">
        <v>0.47664170437657688</v>
      </c>
      <c r="AL15" s="1023">
        <f>Table13[[#This Row],[المنفذ % التراكمي]]</f>
        <v>7.51E-2</v>
      </c>
      <c r="AM15" s="45" t="s">
        <v>338</v>
      </c>
      <c r="AN15" s="45" t="s">
        <v>338</v>
      </c>
      <c r="AO15" s="45" t="s">
        <v>338</v>
      </c>
      <c r="AP15" s="45"/>
      <c r="AQ15" s="107">
        <f>_xlfn.XLOOKUP(Table13[[#This Row],[PO]],Table156101114[PO],Table156101114[TF],0)</f>
        <v>-231</v>
      </c>
      <c r="AR15" s="276">
        <f>Table13[[#This Row],[نسبة الإنجاز المتبقية %]]/(Table13[[#This Row],[مدة المشروع المتبقية بالشهور]])</f>
        <v>0.12965887850467289</v>
      </c>
      <c r="AS15" s="70">
        <v>0.46285180516040303</v>
      </c>
      <c r="AT15" s="70">
        <f>Table13[[#This Row],[نسبة المخطط التراكمي حتى 31 أكتوبر 2026]]-9.9%</f>
        <v>0.36385180516040305</v>
      </c>
      <c r="AU15" s="446">
        <f>Table13[[#This Row],[نسبة الانجاز التراكمي المطلوب للإنتظام]]-Table13[[#This Row],[المنفذ % التراكمي]]</f>
        <v>0.28875180516040305</v>
      </c>
      <c r="AV15" s="70">
        <f>Table13[[#This Row],[نسبة المخطط التراكمي حتى 31 أكتوبر 2026]]-24.9%</f>
        <v>0.21385180516040303</v>
      </c>
      <c r="AW15" s="449">
        <f>Table13[[#This Row],[نسبة الانجاز التراكمي المطلوب لتجنب التعثر]]-Table13[[#This Row],[المنفذ % التراكمي]]</f>
        <v>0.13875180516040303</v>
      </c>
      <c r="AX15" s="440">
        <f>100%-Table13[[#This Row],[المنفذ % التراكمي]]</f>
        <v>0.92490000000000006</v>
      </c>
      <c r="AY15" s="440">
        <f>100%-Table13[[#This Row],[نسبة المدة المنقضية %]]</f>
        <v>0.39266055045871562</v>
      </c>
      <c r="AZ15" s="70">
        <f>_xlfn.XLOOKUP(Table13[[#This Row],[PO]],Table156101114[PO],Table156101114[المدة المنقضية],0)</f>
        <v>0.60733944954128438</v>
      </c>
      <c r="BA15" s="70" t="s">
        <v>121</v>
      </c>
      <c r="BB15" s="108" t="s">
        <v>121</v>
      </c>
      <c r="BC15" s="96">
        <f>_xlfn.XLOOKUP(Table13[[#This Row],[PO]],Table156101114[PO],Table156101114[SPI],0)</f>
        <v>0.18223732103858287</v>
      </c>
      <c r="BD15" s="356">
        <f>Table13[[#This Row],[نسبة المدة المنقضية %]]*Table13[[#This Row],[مدة المشروع الكلية بالشهور]]</f>
        <v>11.033333333333333</v>
      </c>
      <c r="BE15" s="357">
        <f>Table13[[#This Row],[نسبة المدة المتبقية %]]*Table13[[#This Row],[مدة المشروع الكلية بالشهور]]</f>
        <v>7.1333333333333346</v>
      </c>
      <c r="BF15" s="357">
        <f>(Table13[[#This Row],[نهاية المشروع المعدلة PMO LIVE]]-Table13[[#This Row],[بداية المشروع التعاقدية]])</f>
        <v>545</v>
      </c>
      <c r="BG15" s="358">
        <f>(Table13[[#This Row],[نهاية المشروع المعدلة PMO LIVE]]-Table13[[#This Row],[بداية المشروع التعاقدية]])/30</f>
        <v>18.166666666666668</v>
      </c>
      <c r="BH15" s="261">
        <f>1.25*Table13[[#This Row],[مدة المشروع بالايام]]</f>
        <v>681.25</v>
      </c>
      <c r="BI15" s="661">
        <f>Table13[[#This Row],[125%من مدة المشروع]]+Table13[[#This Row],[بداية المشروع التعاقدية]]</f>
        <v>46660.25</v>
      </c>
      <c r="BJ15" s="648">
        <f>Table13[[#This Row],[قيمة المشروع بالضريبة]]*Table13[[#This Row],[المخطط % التراكمي]]</f>
        <v>4929295.363148001</v>
      </c>
      <c r="BK15" s="269">
        <f>Table13[[#This Row],[قيمة المشروع بالضريبة]]*Table13[[#This Row],[المنفذ % التراكمي]]</f>
        <v>898301.58158800006</v>
      </c>
      <c r="BL15" s="316">
        <f>Table13[[#This Row],[نسبة الإنجاز المتبقية %]]*Table13[[#This Row],[قيمة المشروع بالضريبة]]</f>
        <v>11063104.298412001</v>
      </c>
      <c r="BM15" s="316">
        <f>Table13[[#This Row],[نسبة الإيقاف%]]*Table13[[#This Row],[قيمة المشروع بالضريبة]]</f>
        <v>526301.85872000002</v>
      </c>
      <c r="BN15" s="317">
        <f>Table13[[#This Row],[Suspended Budget]]/Table13[[#This Row],[Remaining Budget]]</f>
        <v>4.7572710563304137E-2</v>
      </c>
      <c r="BQ15" s="903"/>
      <c r="BR15" s="904"/>
      <c r="BS15" s="904"/>
    </row>
    <row r="16" spans="1:71" s="321" customFormat="1" ht="30" hidden="1" customHeight="1">
      <c r="A16" s="79">
        <f>SUBTOTAL(3,$D$3:D16)</f>
        <v>6</v>
      </c>
      <c r="B16" s="85">
        <v>10281</v>
      </c>
      <c r="C16" s="34" t="s">
        <v>221</v>
      </c>
      <c r="D16" s="48">
        <v>901240123</v>
      </c>
      <c r="E16" s="34" t="s">
        <v>117</v>
      </c>
      <c r="F16" s="34" t="s">
        <v>320</v>
      </c>
      <c r="G16" s="34" t="s">
        <v>164</v>
      </c>
      <c r="H16" s="34" t="s">
        <v>165</v>
      </c>
      <c r="I16" s="34" t="s">
        <v>16</v>
      </c>
      <c r="J16" s="34" t="s">
        <v>123</v>
      </c>
      <c r="K16" s="48" t="s">
        <v>136</v>
      </c>
      <c r="L16" s="48">
        <v>0</v>
      </c>
      <c r="M16" s="48" t="s">
        <v>259</v>
      </c>
      <c r="N16" s="594" t="s">
        <v>121</v>
      </c>
      <c r="O16" s="69">
        <v>0.14230000000000001</v>
      </c>
      <c r="P16" s="34" t="s">
        <v>366</v>
      </c>
      <c r="Q16" s="92" t="s">
        <v>85</v>
      </c>
      <c r="R16" s="92" t="s">
        <v>85</v>
      </c>
      <c r="S16" s="49">
        <v>45522</v>
      </c>
      <c r="T16" s="249">
        <v>46252</v>
      </c>
      <c r="U16" s="249">
        <v>46322</v>
      </c>
      <c r="V16" s="49">
        <v>46322</v>
      </c>
      <c r="W16" s="254">
        <f>Table13[[#This Row],[نهاية المشروع المعدلة PMO LIVE]]-Table13[[#This Row],[نهاية المشروع المعدلة EPPM]]</f>
        <v>0</v>
      </c>
      <c r="X16" s="254" t="s">
        <v>169</v>
      </c>
      <c r="Y16" s="249">
        <v>46453</v>
      </c>
      <c r="Z16" s="49">
        <f>_xlfn.XLOOKUP(Table13[[#This Row],[PO]],Table156101114[PO],Table156101114[[النهاية المتوقعة ]],0)</f>
        <v>46460</v>
      </c>
      <c r="AA16" s="716">
        <f>Table13[[#This Row],[النهاية طبقاً للتحديث الاسبوعي الحالي]]-Table13[[#This Row],[النهاية طبقاً للتحديث الاسبوعي السابق]]</f>
        <v>7</v>
      </c>
      <c r="AB16" s="523">
        <v>22389932.399999999</v>
      </c>
      <c r="AC16" s="110">
        <v>25748422.260000002</v>
      </c>
      <c r="AD16" s="257">
        <v>0.79510000000000003</v>
      </c>
      <c r="AE16" s="257">
        <v>0.27450000000000002</v>
      </c>
      <c r="AF16" s="47">
        <f>_xlfn.XLOOKUP(Table13[[#This Row],[PO]],Table156101114[PO],Table156101114[المخطط % 15 اكتوبر2026],0)</f>
        <v>0.83089999999999997</v>
      </c>
      <c r="AG16" s="47">
        <f>_xlfn.XLOOKUP(Table13[[#This Row],[PO]],Table156101114[PO],Table156101114[Act %],0)</f>
        <v>0.2777</v>
      </c>
      <c r="AH16" s="629">
        <f>Table13[[#This Row],[المخطط % التراكمي]]-Table13[[#This Row],[المخطط % - الإسبوع السابق ]]</f>
        <v>3.5799999999999943E-2</v>
      </c>
      <c r="AI16" s="629">
        <f>Table13[[#This Row],[المنفذ % التراكمي]]-Table13[[#This Row],[المنفذ % - الإسبوع السابق]]</f>
        <v>3.1999999999999806E-3</v>
      </c>
      <c r="AJ16" s="51">
        <f>Table13[[#This Row],[المنفذ % التراكمي]]-Table13[[#This Row],[المخطط % التراكمي]]</f>
        <v>-0.55319999999999991</v>
      </c>
      <c r="AK16" s="246">
        <v>0.80871039476653361</v>
      </c>
      <c r="AL16" s="246">
        <f>Table13[[#This Row],[المنفذ % التراكمي]]</f>
        <v>0.2777</v>
      </c>
      <c r="AM16" s="47" t="s">
        <v>338</v>
      </c>
      <c r="AN16" s="47" t="s">
        <v>338</v>
      </c>
      <c r="AO16" s="47" t="s">
        <v>338</v>
      </c>
      <c r="AP16" s="47" t="s">
        <v>338</v>
      </c>
      <c r="AQ16" s="103">
        <f>_xlfn.XLOOKUP(Table13[[#This Row],[PO]],Table156101114[PO],Table156101114[TF],0)</f>
        <v>-116</v>
      </c>
      <c r="AR16" s="277">
        <f>Table13[[#This Row],[نسبة الإنجاز المتبقية %]]/(Table13[[#This Row],[مدة المشروع المتبقية بالشهور]])</f>
        <v>1.8057499999999982</v>
      </c>
      <c r="AS16" s="69">
        <v>0.9999999991067412</v>
      </c>
      <c r="AT16" s="69">
        <f>Table13[[#This Row],[نسبة المخطط التراكمي حتى 31 أكتوبر 2026]]-9.9%</f>
        <v>0.90099999910674122</v>
      </c>
      <c r="AU16" s="445">
        <f>Table13[[#This Row],[نسبة الانجاز التراكمي المطلوب للإنتظام]]-Table13[[#This Row],[المنفذ % التراكمي]]</f>
        <v>0.62329999910674116</v>
      </c>
      <c r="AV16" s="69">
        <f>Table13[[#This Row],[نسبة المخطط التراكمي حتى 31 أكتوبر 2026]]-24.9%</f>
        <v>0.7509999991067412</v>
      </c>
      <c r="AW16" s="448">
        <f>Table13[[#This Row],[نسبة الانجاز التراكمي المطلوب لتجنب التعثر]]-Table13[[#This Row],[المنفذ % التراكمي]]</f>
        <v>0.4732999991067412</v>
      </c>
      <c r="AX16" s="439">
        <f>100%-Table13[[#This Row],[المنفذ % التراكمي]]</f>
        <v>0.72229999999999994</v>
      </c>
      <c r="AY16" s="439">
        <f>100%-Table13[[#This Row],[نسبة المدة المنقضية %]]</f>
        <v>1.5000000000000013E-2</v>
      </c>
      <c r="AZ16" s="69">
        <f>_xlfn.XLOOKUP(Table13[[#This Row],[PO]],Table156101114[PO],Table156101114[المدة المنقضية],0)</f>
        <v>0.98499999999999999</v>
      </c>
      <c r="BA16" s="69" t="s">
        <v>121</v>
      </c>
      <c r="BB16" s="105" t="s">
        <v>121</v>
      </c>
      <c r="BC16" s="95">
        <f>_xlfn.XLOOKUP(Table13[[#This Row],[PO]],Table156101114[PO],Table156101114[SPI],0)</f>
        <v>0.33421591045853893</v>
      </c>
      <c r="BD16" s="356">
        <f>Table13[[#This Row],[نسبة المدة المنقضية %]]*Table13[[#This Row],[مدة المشروع الكلية بالشهور]]</f>
        <v>26.266666666666666</v>
      </c>
      <c r="BE16" s="357">
        <f>Table13[[#This Row],[نسبة المدة المتبقية %]]*Table13[[#This Row],[مدة المشروع الكلية بالشهور]]</f>
        <v>0.40000000000000036</v>
      </c>
      <c r="BF16" s="357">
        <f>(Table13[[#This Row],[نهاية المشروع المعدلة PMO LIVE]]-Table13[[#This Row],[بداية المشروع التعاقدية]])</f>
        <v>800</v>
      </c>
      <c r="BG16" s="358">
        <f>(Table13[[#This Row],[نهاية المشروع المعدلة PMO LIVE]]-Table13[[#This Row],[بداية المشروع التعاقدية]])/30</f>
        <v>26.666666666666668</v>
      </c>
      <c r="BH16" s="261">
        <f>1.25*Table13[[#This Row],[مدة المشروع بالايام]]</f>
        <v>1000</v>
      </c>
      <c r="BI16" s="661">
        <f>Table13[[#This Row],[125%من مدة المشروع]]+Table13[[#This Row],[بداية المشروع التعاقدية]]</f>
        <v>46522</v>
      </c>
      <c r="BJ16" s="648">
        <f>Table13[[#This Row],[قيمة المشروع بالضريبة]]*Table13[[#This Row],[المخطط % التراكمي]]</f>
        <v>21394364.055833999</v>
      </c>
      <c r="BK16" s="269">
        <f>Table13[[#This Row],[قيمة المشروع بالضريبة]]*Table13[[#This Row],[المنفذ % التراكمي]]</f>
        <v>7150336.8616020009</v>
      </c>
      <c r="BL16" s="316">
        <f>Table13[[#This Row],[نسبة الإنجاز المتبقية %]]*Table13[[#This Row],[قيمة المشروع بالضريبة]]</f>
        <v>18598085.398398001</v>
      </c>
      <c r="BM16" s="316">
        <f>Table13[[#This Row],[نسبة الإيقاف%]]*Table13[[#This Row],[قيمة المشروع بالضريبة]]</f>
        <v>3664000.4875980006</v>
      </c>
      <c r="BN16" s="317">
        <f>Table13[[#This Row],[Suspended Budget]]/Table13[[#This Row],[Remaining Budget]]</f>
        <v>0.19700955281738891</v>
      </c>
      <c r="BQ16" s="903"/>
      <c r="BR16" s="904"/>
      <c r="BS16" s="904"/>
    </row>
    <row r="17" spans="1:71" ht="30" customHeight="1">
      <c r="A17" s="80">
        <f>SUBTOTAL(3,$D$3:D17)</f>
        <v>7</v>
      </c>
      <c r="B17" s="83" t="s">
        <v>288</v>
      </c>
      <c r="C17" s="43" t="s">
        <v>200</v>
      </c>
      <c r="D17" s="42">
        <v>901250110</v>
      </c>
      <c r="E17" s="43" t="s">
        <v>107</v>
      </c>
      <c r="F17" s="43" t="s">
        <v>319</v>
      </c>
      <c r="G17" s="43" t="s">
        <v>266</v>
      </c>
      <c r="H17" s="153" t="s">
        <v>267</v>
      </c>
      <c r="I17" s="43" t="s">
        <v>104</v>
      </c>
      <c r="J17" s="43" t="s">
        <v>123</v>
      </c>
      <c r="K17" s="42" t="s">
        <v>116</v>
      </c>
      <c r="L17" s="42">
        <v>5</v>
      </c>
      <c r="M17" s="42" t="s">
        <v>259</v>
      </c>
      <c r="N17" s="593" t="s">
        <v>120</v>
      </c>
      <c r="O17" s="70">
        <v>0</v>
      </c>
      <c r="P17" s="43" t="s">
        <v>72</v>
      </c>
      <c r="Q17" s="92" t="s">
        <v>85</v>
      </c>
      <c r="R17" s="92" t="s">
        <v>85</v>
      </c>
      <c r="S17" s="44">
        <v>45774</v>
      </c>
      <c r="T17" s="250">
        <v>46138</v>
      </c>
      <c r="U17" s="250">
        <v>46268</v>
      </c>
      <c r="V17" s="44">
        <v>46304</v>
      </c>
      <c r="W17" s="255">
        <f>Table13[[#This Row],[نهاية المشروع المعدلة PMO LIVE]]-Table13[[#This Row],[نهاية المشروع المعدلة EPPM]]</f>
        <v>36</v>
      </c>
      <c r="X17" s="871" t="s">
        <v>692</v>
      </c>
      <c r="Y17" s="253">
        <v>46374</v>
      </c>
      <c r="Z17" s="89">
        <f>_xlfn.XLOOKUP(Table13[[#This Row],[PO]],Table156101114[PO],Table156101114[[النهاية المتوقعة ]],0)</f>
        <v>46381</v>
      </c>
      <c r="AA17" s="715">
        <f>Table13[[#This Row],[النهاية طبقاً للتحديث الاسبوعي الحالي]]-Table13[[#This Row],[النهاية طبقاً للتحديث الاسبوعي السابق]]</f>
        <v>7</v>
      </c>
      <c r="AB17" s="522">
        <v>4292848</v>
      </c>
      <c r="AC17" s="109">
        <v>4936775.2</v>
      </c>
      <c r="AD17" s="258">
        <v>1</v>
      </c>
      <c r="AE17" s="258">
        <v>0.46910000000000002</v>
      </c>
      <c r="AF17" s="45">
        <f>_xlfn.XLOOKUP(Table13[[#This Row],[PO]],Table156101114[PO],Table156101114[المخطط % 15 اكتوبر2026],0)</f>
        <v>1</v>
      </c>
      <c r="AG17" s="45">
        <f>_xlfn.XLOOKUP(Table13[[#This Row],[PO]],Table156101114[PO],Table156101114[Act %],0)</f>
        <v>0.46910000000000002</v>
      </c>
      <c r="AH17" s="630">
        <f>Table13[[#This Row],[المخطط % التراكمي]]-Table13[[#This Row],[المخطط % - الإسبوع السابق ]]</f>
        <v>0</v>
      </c>
      <c r="AI17" s="630">
        <f>Table13[[#This Row],[المنفذ % التراكمي]]-Table13[[#This Row],[المنفذ % - الإسبوع السابق]]</f>
        <v>0</v>
      </c>
      <c r="AJ17" s="102">
        <f>Table13[[#This Row],[المنفذ % التراكمي]]-Table13[[#This Row],[المخطط % التراكمي]]</f>
        <v>-0.53089999999999993</v>
      </c>
      <c r="AK17" s="636"/>
      <c r="AL17" s="636"/>
      <c r="AM17" s="673" t="s">
        <v>338</v>
      </c>
      <c r="AN17" s="673" t="s">
        <v>338</v>
      </c>
      <c r="AO17" s="673" t="s">
        <v>338</v>
      </c>
      <c r="AP17" s="673" t="s">
        <v>338</v>
      </c>
      <c r="AQ17" s="107">
        <f>_xlfn.XLOOKUP(Table13[[#This Row],[PO]],Table156101114[PO],Table156101114[TF],0)</f>
        <v>-125</v>
      </c>
      <c r="AR17" s="276">
        <f>Table13[[#This Row],[نسبة الإنجاز المتبقية %]]/(Table13[[#This Row],[مدة المشروع المتبقية بالشهور]])</f>
        <v>-2.6545000000000001</v>
      </c>
      <c r="AS17" s="70">
        <v>1</v>
      </c>
      <c r="AT17" s="70">
        <f>Table13[[#This Row],[نسبة المخطط التراكمي حتى 31 أكتوبر 2026]]-9.9%</f>
        <v>0.90100000000000002</v>
      </c>
      <c r="AU17" s="446">
        <f>Table13[[#This Row],[نسبة الانجاز التراكمي المطلوب للإنتظام]]-Table13[[#This Row],[المنفذ % التراكمي]]</f>
        <v>0.43190000000000001</v>
      </c>
      <c r="AV17" s="70">
        <f>Table13[[#This Row],[نسبة المخطط التراكمي حتى 31 أكتوبر 2026]]-24.9%</f>
        <v>0.751</v>
      </c>
      <c r="AW17" s="449">
        <f>Table13[[#This Row],[نسبة الانجاز التراكمي المطلوب لتجنب التعثر]]-Table13[[#This Row],[المنفذ % التراكمي]]</f>
        <v>0.28189999999999998</v>
      </c>
      <c r="AX17" s="440">
        <f>100%-Table13[[#This Row],[المنفذ % التراكمي]]</f>
        <v>0.53089999999999993</v>
      </c>
      <c r="AY17" s="440">
        <f>100%-Table13[[#This Row],[نسبة المدة المنقضية %]]</f>
        <v>-1.132075471698113E-2</v>
      </c>
      <c r="AZ17" s="70">
        <f>_xlfn.XLOOKUP(Table13[[#This Row],[PO]],Table156101114[PO],Table156101114[المدة المنقضية],0)</f>
        <v>1.0113207547169811</v>
      </c>
      <c r="BA17" s="108" t="s">
        <v>120</v>
      </c>
      <c r="BB17" s="108" t="s">
        <v>120</v>
      </c>
      <c r="BC17" s="96">
        <f>_xlfn.XLOOKUP(Table13[[#This Row],[PO]],Table156101114[PO],Table156101114[SPI],0)</f>
        <v>0.46910000000000002</v>
      </c>
      <c r="BD17" s="356">
        <f>Table13[[#This Row],[نسبة المدة المنقضية %]]*Table13[[#This Row],[مدة المشروع الكلية بالشهور]]</f>
        <v>17.866666666666667</v>
      </c>
      <c r="BE17" s="357">
        <f>Table13[[#This Row],[نسبة المدة المتبقية %]]*Table13[[#This Row],[مدة المشروع الكلية بالشهور]]</f>
        <v>-0.19999999999999996</v>
      </c>
      <c r="BF17" s="357">
        <f>(Table13[[#This Row],[نهاية المشروع المعدلة PMO LIVE]]-Table13[[#This Row],[بداية المشروع التعاقدية]])</f>
        <v>530</v>
      </c>
      <c r="BG17" s="361">
        <f>(Table13[[#This Row],[نهاية المشروع المعدلة PMO LIVE]]-Table13[[#This Row],[بداية المشروع التعاقدية]])/30</f>
        <v>17.666666666666668</v>
      </c>
      <c r="BH17" s="260">
        <f>1.25*Table13[[#This Row],[مدة المشروع بالايام]]</f>
        <v>662.5</v>
      </c>
      <c r="BI17" s="661">
        <f>Table13[[#This Row],[125%من مدة المشروع]]+Table13[[#This Row],[بداية المشروع التعاقدية]]</f>
        <v>46436.5</v>
      </c>
      <c r="BJ17" s="648">
        <f>Table13[[#This Row],[قيمة المشروع بالضريبة]]*Table13[[#This Row],[المخطط % التراكمي]]</f>
        <v>4936775.2</v>
      </c>
      <c r="BK17" s="269">
        <f>Table13[[#This Row],[قيمة المشروع بالضريبة]]*Table13[[#This Row],[المنفذ % التراكمي]]</f>
        <v>2315841.2463200004</v>
      </c>
      <c r="BL17" s="316">
        <f>Table13[[#This Row],[نسبة الإنجاز المتبقية %]]*Table13[[#This Row],[قيمة المشروع بالضريبة]]</f>
        <v>2620933.9536799998</v>
      </c>
      <c r="BM17" s="316">
        <f>Table13[[#This Row],[نسبة الإيقاف%]]*Table13[[#This Row],[قيمة المشروع بالضريبة]]</f>
        <v>0</v>
      </c>
      <c r="BN17" s="317">
        <f>Table13[[#This Row],[Suspended Budget]]/Table13[[#This Row],[Remaining Budget]]</f>
        <v>0</v>
      </c>
      <c r="BQ17" s="903"/>
      <c r="BR17" s="904"/>
      <c r="BS17" s="918"/>
    </row>
    <row r="18" spans="1:71" s="323" customFormat="1" ht="30" hidden="1" customHeight="1">
      <c r="A18" s="79">
        <f>SUBTOTAL(3,$D$3:D18)</f>
        <v>7</v>
      </c>
      <c r="B18" s="85">
        <v>10204</v>
      </c>
      <c r="C18" s="34" t="s">
        <v>227</v>
      </c>
      <c r="D18" s="48">
        <v>901230253</v>
      </c>
      <c r="E18" s="34" t="s">
        <v>55</v>
      </c>
      <c r="F18" s="34" t="s">
        <v>320</v>
      </c>
      <c r="G18" s="154" t="s">
        <v>164</v>
      </c>
      <c r="H18" s="154" t="s">
        <v>165</v>
      </c>
      <c r="I18" s="34" t="s">
        <v>24</v>
      </c>
      <c r="J18" s="34" t="s">
        <v>123</v>
      </c>
      <c r="K18" s="48" t="s">
        <v>136</v>
      </c>
      <c r="L18" s="48">
        <v>0</v>
      </c>
      <c r="M18" s="48" t="s">
        <v>259</v>
      </c>
      <c r="N18" s="594" t="s">
        <v>121</v>
      </c>
      <c r="O18" s="69">
        <v>0.28199999999999997</v>
      </c>
      <c r="P18" s="34" t="s">
        <v>366</v>
      </c>
      <c r="Q18" s="92" t="s">
        <v>85</v>
      </c>
      <c r="R18" s="92" t="s">
        <v>85</v>
      </c>
      <c r="S18" s="49">
        <v>45316</v>
      </c>
      <c r="T18" s="249">
        <v>46379</v>
      </c>
      <c r="U18" s="249">
        <v>46379</v>
      </c>
      <c r="V18" s="49">
        <v>46379</v>
      </c>
      <c r="W18" s="254">
        <f>Table13[[#This Row],[نهاية المشروع المعدلة PMO LIVE]]-Table13[[#This Row],[نهاية المشروع المعدلة EPPM]]</f>
        <v>0</v>
      </c>
      <c r="X18" s="254" t="s">
        <v>169</v>
      </c>
      <c r="Y18" s="249">
        <v>46796</v>
      </c>
      <c r="Z18" s="49">
        <f>_xlfn.XLOOKUP(Table13[[#This Row],[PO]],Table156101114[PO],Table156101114[[النهاية المتوقعة ]],0)</f>
        <v>46809</v>
      </c>
      <c r="AA18" s="716">
        <f>Table13[[#This Row],[النهاية طبقاً للتحديث الاسبوعي الحالي]]-Table13[[#This Row],[النهاية طبقاً للتحديث الاسبوعي السابق]]</f>
        <v>13</v>
      </c>
      <c r="AB18" s="523">
        <v>23313385</v>
      </c>
      <c r="AC18" s="110">
        <v>26810392.75</v>
      </c>
      <c r="AD18" s="257">
        <v>0.62839999999999996</v>
      </c>
      <c r="AE18" s="257">
        <v>0.2102</v>
      </c>
      <c r="AF18" s="47">
        <f>_xlfn.XLOOKUP(Table13[[#This Row],[PO]],Table156101114[PO],Table156101114[المخطط % 15 اكتوبر2026],0)</f>
        <v>0.64480000000000004</v>
      </c>
      <c r="AG18" s="47">
        <f>_xlfn.XLOOKUP(Table13[[#This Row],[PO]],Table156101114[PO],Table156101114[Act %],0)</f>
        <v>0.2102</v>
      </c>
      <c r="AH18" s="630">
        <f>Table13[[#This Row],[المخطط % التراكمي]]-Table13[[#This Row],[المخطط % - الإسبوع السابق ]]</f>
        <v>1.6400000000000081E-2</v>
      </c>
      <c r="AI18" s="630">
        <f>Table13[[#This Row],[المنفذ % التراكمي]]-Table13[[#This Row],[المنفذ % - الإسبوع السابق]]</f>
        <v>0</v>
      </c>
      <c r="AJ18" s="46">
        <f>Table13[[#This Row],[المنفذ % التراكمي]]-Table13[[#This Row],[المخطط % التراكمي]]</f>
        <v>-0.43460000000000004</v>
      </c>
      <c r="AK18" s="246">
        <v>0.68712018482086579</v>
      </c>
      <c r="AL18" s="246">
        <f>Table13[[#This Row],[المنفذ % التراكمي]]</f>
        <v>0.2102</v>
      </c>
      <c r="AM18" s="47" t="s">
        <v>338</v>
      </c>
      <c r="AN18" s="47" t="s">
        <v>338</v>
      </c>
      <c r="AO18" s="47" t="s">
        <v>338</v>
      </c>
      <c r="AP18" s="47" t="s">
        <v>338</v>
      </c>
      <c r="AQ18" s="103">
        <f>_xlfn.XLOOKUP(Table13[[#This Row],[PO]],Table156101114[PO],Table156101114[TF],0)</f>
        <v>-336</v>
      </c>
      <c r="AR18" s="277">
        <f>Table13[[#This Row],[نسبة الإنجاز المتبقية %]]/(Table13[[#This Row],[مدة المشروع المتبقية بالشهور]])</f>
        <v>0.34339130434782617</v>
      </c>
      <c r="AS18" s="69">
        <v>0.67958688109856202</v>
      </c>
      <c r="AT18" s="69">
        <f>Table13[[#This Row],[نسبة المخطط التراكمي حتى 31 أكتوبر 2026]]-9.9%</f>
        <v>0.58058688109856205</v>
      </c>
      <c r="AU18" s="445">
        <f>Table13[[#This Row],[نسبة الانجاز التراكمي المطلوب للإنتظام]]-Table13[[#This Row],[المنفذ % التراكمي]]</f>
        <v>0.37038688109856205</v>
      </c>
      <c r="AV18" s="69">
        <f>Table13[[#This Row],[نسبة المخطط التراكمي حتى 31 أكتوبر 2026]]-24.9%</f>
        <v>0.43058688109856202</v>
      </c>
      <c r="AW18" s="448">
        <f>Table13[[#This Row],[نسبة الانجاز التراكمي المطلوب لتجنب التعثر]]-Table13[[#This Row],[المنفذ % التراكمي]]</f>
        <v>0.22038688109856203</v>
      </c>
      <c r="AX18" s="439">
        <f>100%-Table13[[#This Row],[المنفذ % التراكمي]]</f>
        <v>0.78980000000000006</v>
      </c>
      <c r="AY18" s="439">
        <f>100%-Table13[[#This Row],[نسبة المدة المنقضية %]]</f>
        <v>6.4910630291627469E-2</v>
      </c>
      <c r="AZ18" s="69">
        <f>_xlfn.XLOOKUP(Table13[[#This Row],[PO]],Table156101114[PO],Table156101114[المدة المنقضية],0)</f>
        <v>0.93508936970837253</v>
      </c>
      <c r="BA18" s="105" t="s">
        <v>120</v>
      </c>
      <c r="BB18" s="105" t="s">
        <v>121</v>
      </c>
      <c r="BC18" s="95">
        <f>_xlfn.XLOOKUP(Table13[[#This Row],[PO]],Table156101114[PO],Table156101114[SPI],0)</f>
        <v>0.32599255583126546</v>
      </c>
      <c r="BD18" s="359">
        <f>Table13[[#This Row],[نسبة المدة المنقضية %]]*Table13[[#This Row],[مدة المشروع الكلية بالشهور]]</f>
        <v>33.133333333333333</v>
      </c>
      <c r="BE18" s="360">
        <f>Table13[[#This Row],[نسبة المدة المتبقية %]]*Table13[[#This Row],[مدة المشروع الكلية بالشهور]]</f>
        <v>2.2999999999999998</v>
      </c>
      <c r="BF18" s="360">
        <f>(Table13[[#This Row],[نهاية المشروع المعدلة PMO LIVE]]-Table13[[#This Row],[بداية المشروع التعاقدية]])</f>
        <v>1063</v>
      </c>
      <c r="BG18" s="361">
        <f>(Table13[[#This Row],[نهاية المشروع المعدلة PMO LIVE]]-Table13[[#This Row],[بداية المشروع التعاقدية]])/30</f>
        <v>35.43333333333333</v>
      </c>
      <c r="BH18" s="260">
        <f>1.25*Table13[[#This Row],[مدة المشروع بالايام]]</f>
        <v>1328.75</v>
      </c>
      <c r="BI18" s="661">
        <f>Table13[[#This Row],[125%من مدة المشروع]]+Table13[[#This Row],[بداية المشروع التعاقدية]]</f>
        <v>46644.75</v>
      </c>
      <c r="BJ18" s="651">
        <f>Table13[[#This Row],[قيمة المشروع بالضريبة]]*Table13[[#This Row],[المخطط % التراكمي]]</f>
        <v>17287341.245200001</v>
      </c>
      <c r="BK18" s="270">
        <f>Table13[[#This Row],[قيمة المشروع بالضريبة]]*Table13[[#This Row],[المنفذ % التراكمي]]</f>
        <v>5635544.5560499998</v>
      </c>
      <c r="BL18" s="318">
        <f>Table13[[#This Row],[نسبة الإنجاز المتبقية %]]*Table13[[#This Row],[قيمة المشروع بالضريبة]]</f>
        <v>21174848.193950001</v>
      </c>
      <c r="BM18" s="318">
        <f>Table13[[#This Row],[نسبة الإيقاف%]]*Table13[[#This Row],[قيمة المشروع بالضريبة]]</f>
        <v>7560530.755499999</v>
      </c>
      <c r="BN18" s="319">
        <f>Table13[[#This Row],[Suspended Budget]]/Table13[[#This Row],[Remaining Budget]]</f>
        <v>0.35705241833375534</v>
      </c>
      <c r="BQ18" s="903"/>
      <c r="BR18" s="904"/>
      <c r="BS18" s="904"/>
    </row>
    <row r="19" spans="1:71" s="248" customFormat="1" ht="30" hidden="1" customHeight="1">
      <c r="A19" s="79">
        <f>SUBTOTAL(3,$D$3:D19)</f>
        <v>7</v>
      </c>
      <c r="B19" s="85" t="s">
        <v>309</v>
      </c>
      <c r="C19" s="34" t="s">
        <v>262</v>
      </c>
      <c r="D19" s="48">
        <v>901250252</v>
      </c>
      <c r="E19" s="34" t="s">
        <v>261</v>
      </c>
      <c r="F19" s="34" t="s">
        <v>319</v>
      </c>
      <c r="G19" s="34" t="s">
        <v>266</v>
      </c>
      <c r="H19" s="34" t="s">
        <v>265</v>
      </c>
      <c r="I19" s="34" t="s">
        <v>260</v>
      </c>
      <c r="J19" s="34" t="s">
        <v>111</v>
      </c>
      <c r="K19" s="48" t="s">
        <v>116</v>
      </c>
      <c r="L19" s="48">
        <v>0</v>
      </c>
      <c r="M19" s="48" t="s">
        <v>259</v>
      </c>
      <c r="N19" s="594" t="s">
        <v>120</v>
      </c>
      <c r="O19" s="69">
        <v>0</v>
      </c>
      <c r="P19" s="34" t="s">
        <v>72</v>
      </c>
      <c r="Q19" s="93" t="s">
        <v>78</v>
      </c>
      <c r="R19" s="93" t="s">
        <v>78</v>
      </c>
      <c r="S19" s="49">
        <v>45958</v>
      </c>
      <c r="T19" s="249">
        <v>47052</v>
      </c>
      <c r="U19" s="249">
        <v>47052</v>
      </c>
      <c r="V19" s="49">
        <v>47053</v>
      </c>
      <c r="W19" s="254">
        <f>Table13[[#This Row],[نهاية المشروع المعدلة PMO LIVE]]-Table13[[#This Row],[نهاية المشروع المعدلة EPPM]]</f>
        <v>1</v>
      </c>
      <c r="X19" s="254" t="s">
        <v>169</v>
      </c>
      <c r="Y19" s="252">
        <v>47288</v>
      </c>
      <c r="Z19" s="49">
        <f>_xlfn.XLOOKUP(Table13[[#This Row],[PO]],Table156101114[PO],Table156101114[[النهاية المتوقعة ]],0)</f>
        <v>47295</v>
      </c>
      <c r="AA19" s="716">
        <f>Table13[[#This Row],[النهاية طبقاً للتحديث الاسبوعي الحالي]]-Table13[[#This Row],[النهاية طبقاً للتحديث الاسبوعي السابق]]</f>
        <v>7</v>
      </c>
      <c r="AB19" s="523">
        <v>172933470</v>
      </c>
      <c r="AC19" s="110">
        <v>198873490.5</v>
      </c>
      <c r="AD19" s="257">
        <v>0.2646</v>
      </c>
      <c r="AE19" s="257">
        <v>0.37819999999999998</v>
      </c>
      <c r="AF19" s="81">
        <f>_xlfn.XLOOKUP(Table13[[#This Row],[PO]],Table156101114[PO],Table156101114[المخطط % 15 اكتوبر2026],0)</f>
        <v>0.26919999999999999</v>
      </c>
      <c r="AG19" s="81">
        <f>_xlfn.XLOOKUP(Table13[[#This Row],[PO]],Table156101114[PO],Table156101114[Act %],0)</f>
        <v>0.38500000000000001</v>
      </c>
      <c r="AH19" s="627">
        <f>Table13[[#This Row],[المخطط % التراكمي]]-Table13[[#This Row],[المخطط % - الإسبوع السابق ]]</f>
        <v>4.599999999999993E-3</v>
      </c>
      <c r="AI19" s="630">
        <f>Table13[[#This Row],[المنفذ % التراكمي]]-Table13[[#This Row],[المنفذ % - الإسبوع السابق]]</f>
        <v>6.8000000000000282E-3</v>
      </c>
      <c r="AJ19" s="102">
        <f>Table13[[#This Row],[المنفذ % التراكمي]]-Table13[[#This Row],[المخطط % التراكمي]]</f>
        <v>0.11580000000000001</v>
      </c>
      <c r="AK19" s="634"/>
      <c r="AL19" s="634"/>
      <c r="AM19" s="674"/>
      <c r="AN19" s="674"/>
      <c r="AO19" s="674"/>
      <c r="AP19" s="674"/>
      <c r="AQ19" s="103">
        <f>_xlfn.XLOOKUP(Table13[[#This Row],[PO]],Table156101114[PO],Table156101114[TF],0)</f>
        <v>-208</v>
      </c>
      <c r="AR19" s="277">
        <f>Table13[[#This Row],[نسبة الإنجاز المتبقية %]]/(Table13[[#This Row],[مدة المشروع المتبقية بالشهور]])</f>
        <v>2.4831763122476445E-2</v>
      </c>
      <c r="AS19" s="69">
        <v>0.28177096527352397</v>
      </c>
      <c r="AT19" s="69">
        <f>Table13[[#This Row],[نسبة المخطط التراكمي حتى 31 أكتوبر 2026]]-9.9%</f>
        <v>0.18277096527352396</v>
      </c>
      <c r="AU19" s="445">
        <v>0</v>
      </c>
      <c r="AV19" s="69">
        <f>Table13[[#This Row],[نسبة المخطط التراكمي حتى 31 أكتوبر 2026]]-24.9%</f>
        <v>3.2770965273523966E-2</v>
      </c>
      <c r="AW19" s="448">
        <v>0</v>
      </c>
      <c r="AX19" s="439">
        <f>100%-Table13[[#This Row],[المنفذ % التراكمي]]</f>
        <v>0.61499999999999999</v>
      </c>
      <c r="AY19" s="439">
        <f>100%-Table13[[#This Row],[نسبة المدة المنقضية %]]</f>
        <v>0.67853881278538819</v>
      </c>
      <c r="AZ19" s="69">
        <f>_xlfn.XLOOKUP(Table13[[#This Row],[PO]],Table156101114[PO],Table156101114[المدة المنقضية],0)</f>
        <v>0.32146118721461187</v>
      </c>
      <c r="BA19" s="69" t="s">
        <v>122</v>
      </c>
      <c r="BB19" s="105" t="s">
        <v>122</v>
      </c>
      <c r="BC19" s="95">
        <f>_xlfn.XLOOKUP(Table13[[#This Row],[PO]],Table156101114[PO],Table156101114[SPI],0)</f>
        <v>1.4301634472511144</v>
      </c>
      <c r="BD19" s="359">
        <f>Table13[[#This Row],[نسبة المدة المنقضية %]]*Table13[[#This Row],[مدة المشروع الكلية بالشهور]]</f>
        <v>11.733333333333333</v>
      </c>
      <c r="BE19" s="360">
        <f>Table13[[#This Row],[نسبة المدة المتبقية %]]*Table13[[#This Row],[مدة المشروع الكلية بالشهور]]</f>
        <v>24.766666666666669</v>
      </c>
      <c r="BF19" s="360">
        <f>(Table13[[#This Row],[نهاية المشروع المعدلة PMO LIVE]]-Table13[[#This Row],[بداية المشروع التعاقدية]])</f>
        <v>1095</v>
      </c>
      <c r="BG19" s="361">
        <f>(Table13[[#This Row],[نهاية المشروع المعدلة PMO LIVE]]-Table13[[#This Row],[بداية المشروع التعاقدية]])/30</f>
        <v>36.5</v>
      </c>
      <c r="BH19" s="260">
        <f>1.25*Table13[[#This Row],[مدة المشروع بالايام]]</f>
        <v>1368.75</v>
      </c>
      <c r="BI19" s="495">
        <f>Table13[[#This Row],[125%من مدة المشروع]]+Table13[[#This Row],[بداية المشروع التعاقدية]]</f>
        <v>47326.75</v>
      </c>
      <c r="BJ19" s="651">
        <f>Table13[[#This Row],[قيمة المشروع بالضريبة]]*Table13[[#This Row],[المخطط % التراكمي]]</f>
        <v>53536743.6426</v>
      </c>
      <c r="BK19" s="270">
        <f>Table13[[#This Row],[قيمة المشروع بالضريبة]]*Table13[[#This Row],[المنفذ % التراكمي]]</f>
        <v>76566293.842500001</v>
      </c>
      <c r="BL19" s="318">
        <f>Table13[[#This Row],[نسبة الإنجاز المتبقية %]]*Table13[[#This Row],[قيمة المشروع بالضريبة]]</f>
        <v>122307196.6575</v>
      </c>
      <c r="BM19" s="318">
        <f>Table13[[#This Row],[نسبة الإيقاف%]]*Table13[[#This Row],[قيمة المشروع بالضريبة]]</f>
        <v>0</v>
      </c>
      <c r="BN19" s="319">
        <f>Table13[[#This Row],[Suspended Budget]]/Table13[[#This Row],[Remaining Budget]]</f>
        <v>0</v>
      </c>
      <c r="BQ19" s="903"/>
      <c r="BR19" s="904"/>
      <c r="BS19" s="904"/>
    </row>
    <row r="20" spans="1:71" s="321" customFormat="1" ht="30" hidden="1" customHeight="1">
      <c r="A20" s="80">
        <f>SUBTOTAL(3,$D$3:D20)</f>
        <v>7</v>
      </c>
      <c r="B20" s="83" t="s">
        <v>292</v>
      </c>
      <c r="C20" s="43" t="s">
        <v>206</v>
      </c>
      <c r="D20" s="42">
        <v>901240355</v>
      </c>
      <c r="E20" s="43" t="s">
        <v>89</v>
      </c>
      <c r="F20" s="43" t="s">
        <v>320</v>
      </c>
      <c r="G20" s="43" t="s">
        <v>164</v>
      </c>
      <c r="H20" s="152" t="s">
        <v>264</v>
      </c>
      <c r="I20" s="43" t="s">
        <v>91</v>
      </c>
      <c r="J20" s="43" t="s">
        <v>123</v>
      </c>
      <c r="K20" s="42" t="s">
        <v>136</v>
      </c>
      <c r="L20" s="42">
        <v>0</v>
      </c>
      <c r="M20" s="42" t="s">
        <v>259</v>
      </c>
      <c r="N20" s="593" t="s">
        <v>120</v>
      </c>
      <c r="O20" s="70">
        <v>0</v>
      </c>
      <c r="P20" s="43" t="s">
        <v>72</v>
      </c>
      <c r="Q20" s="93" t="s">
        <v>78</v>
      </c>
      <c r="R20" s="93" t="s">
        <v>78</v>
      </c>
      <c r="S20" s="44">
        <v>45685</v>
      </c>
      <c r="T20" s="250">
        <v>46780</v>
      </c>
      <c r="U20" s="250">
        <v>47217</v>
      </c>
      <c r="V20" s="44">
        <v>47217</v>
      </c>
      <c r="W20" s="255">
        <f>Table13[[#This Row],[نهاية المشروع المعدلة PMO LIVE]]-Table13[[#This Row],[نهاية المشروع المعدلة EPPM]]</f>
        <v>0</v>
      </c>
      <c r="X20" s="255" t="s">
        <v>169</v>
      </c>
      <c r="Y20" s="250">
        <v>47278</v>
      </c>
      <c r="Z20" s="44">
        <f>_xlfn.XLOOKUP(Table13[[#This Row],[PO]],Table156101114[PO],Table156101114[[النهاية المتوقعة ]],0)</f>
        <v>47285</v>
      </c>
      <c r="AA20" s="719">
        <f>Table13[[#This Row],[النهاية طبقاً للتحديث الاسبوعي الحالي]]-Table13[[#This Row],[النهاية طبقاً للتحديث الاسبوعي السابق]]</f>
        <v>7</v>
      </c>
      <c r="AB20" s="522">
        <v>25782360</v>
      </c>
      <c r="AC20" s="109">
        <v>29649714</v>
      </c>
      <c r="AD20" s="258">
        <v>0.4325</v>
      </c>
      <c r="AE20" s="258">
        <v>0.68200000000000005</v>
      </c>
      <c r="AF20" s="45">
        <f>_xlfn.XLOOKUP(Table13[[#This Row],[PO]],Table156101114[PO],Table156101114[المخطط % 15 اكتوبر2026],0)</f>
        <v>0.43280000000000002</v>
      </c>
      <c r="AG20" s="45">
        <f>_xlfn.XLOOKUP(Table13[[#This Row],[PO]],Table156101114[PO],Table156101114[Act %],0)</f>
        <v>0.68889999999999996</v>
      </c>
      <c r="AH20" s="629">
        <f>Table13[[#This Row],[المخطط % التراكمي]]-Table13[[#This Row],[المخطط % - الإسبوع السابق ]]</f>
        <v>3.0000000000002247E-4</v>
      </c>
      <c r="AI20" s="629">
        <f>Table13[[#This Row],[المنفذ % التراكمي]]-Table13[[#This Row],[المنفذ % - الإسبوع السابق]]</f>
        <v>6.8999999999999062E-3</v>
      </c>
      <c r="AJ20" s="46">
        <f>Table13[[#This Row],[المنفذ % التراكمي]]-Table13[[#This Row],[المخطط % التراكمي]]</f>
        <v>0.25609999999999994</v>
      </c>
      <c r="AK20" s="636"/>
      <c r="AL20" s="636"/>
      <c r="AM20" s="673"/>
      <c r="AN20" s="673"/>
      <c r="AO20" s="673"/>
      <c r="AP20" s="673"/>
      <c r="AQ20" s="107">
        <f>_xlfn.XLOOKUP(Table13[[#This Row],[PO]],Table156101114[PO],Table156101114[TF],0)</f>
        <v>-55</v>
      </c>
      <c r="AR20" s="276">
        <f>Table13[[#This Row],[نسبة الإنجاز المتبقية %]]/(Table13[[#This Row],[مدة المشروع المتبقية بالشهور]])</f>
        <v>1.0289966923925028E-2</v>
      </c>
      <c r="AS20" s="70">
        <v>0.4346824728225035</v>
      </c>
      <c r="AT20" s="70">
        <f>Table13[[#This Row],[نسبة المخطط التراكمي حتى 31 أكتوبر 2026]]-9.9%</f>
        <v>0.33568247282250352</v>
      </c>
      <c r="AU20" s="446">
        <v>0</v>
      </c>
      <c r="AV20" s="70">
        <f>Table13[[#This Row],[نسبة المخطط التراكمي حتى 31 أكتوبر 2026]]-24.9%</f>
        <v>0.1856824728225035</v>
      </c>
      <c r="AW20" s="449">
        <v>0</v>
      </c>
      <c r="AX20" s="440">
        <f>100%-Table13[[#This Row],[المنفذ % التراكمي]]</f>
        <v>0.31110000000000004</v>
      </c>
      <c r="AY20" s="440">
        <f>100%-Table13[[#This Row],[نسبة المدة المنقضية %]]</f>
        <v>0.59203655352480422</v>
      </c>
      <c r="AZ20" s="70">
        <f>_xlfn.XLOOKUP(Table13[[#This Row],[PO]],Table156101114[PO],Table156101114[المدة المنقضية],0)</f>
        <v>0.40796344647519583</v>
      </c>
      <c r="BA20" s="70" t="s">
        <v>122</v>
      </c>
      <c r="BB20" s="108" t="s">
        <v>122</v>
      </c>
      <c r="BC20" s="96">
        <f>_xlfn.XLOOKUP(Table13[[#This Row],[PO]],Table156101114[PO],Table156101114[SPI],0)</f>
        <v>1.5917282809611828</v>
      </c>
      <c r="BD20" s="356">
        <f>Table13[[#This Row],[نسبة المدة المنقضية %]]*Table13[[#This Row],[مدة المشروع الكلية بالشهور]]</f>
        <v>20.833333333333336</v>
      </c>
      <c r="BE20" s="357">
        <f>Table13[[#This Row],[نسبة المدة المتبقية %]]*Table13[[#This Row],[مدة المشروع الكلية بالشهور]]</f>
        <v>30.233333333333338</v>
      </c>
      <c r="BF20" s="357">
        <f>(Table13[[#This Row],[نهاية المشروع المعدلة PMO LIVE]]-Table13[[#This Row],[بداية المشروع التعاقدية]])</f>
        <v>1532</v>
      </c>
      <c r="BG20" s="358">
        <f>(Table13[[#This Row],[نهاية المشروع المعدلة PMO LIVE]]-Table13[[#This Row],[بداية المشروع التعاقدية]])/30</f>
        <v>51.06666666666667</v>
      </c>
      <c r="BH20" s="261">
        <f>1.25*Table13[[#This Row],[مدة المشروع بالايام]]</f>
        <v>1915</v>
      </c>
      <c r="BI20" s="621">
        <f>Table13[[#This Row],[125%من مدة المشروع]]+Table13[[#This Row],[بداية المشروع التعاقدية]]</f>
        <v>47600</v>
      </c>
      <c r="BJ20" s="651">
        <f>Table13[[#This Row],[قيمة المشروع بالضريبة]]*Table13[[#This Row],[المخطط % التراكمي]]</f>
        <v>12832396.2192</v>
      </c>
      <c r="BK20" s="270">
        <f>Table13[[#This Row],[قيمة المشروع بالضريبة]]*Table13[[#This Row],[المنفذ % التراكمي]]</f>
        <v>20425687.974599998</v>
      </c>
      <c r="BL20" s="318">
        <f>Table13[[#This Row],[نسبة الإنجاز المتبقية %]]*Table13[[#This Row],[قيمة المشروع بالضريبة]]</f>
        <v>9224026.0254000016</v>
      </c>
      <c r="BM20" s="318">
        <f>Table13[[#This Row],[نسبة الإيقاف%]]*Table13[[#This Row],[قيمة المشروع بالضريبة]]</f>
        <v>0</v>
      </c>
      <c r="BN20" s="319">
        <f>Table13[[#This Row],[Suspended Budget]]/Table13[[#This Row],[Remaining Budget]]</f>
        <v>0</v>
      </c>
      <c r="BQ20" s="903"/>
      <c r="BR20" s="904"/>
      <c r="BS20" s="904"/>
    </row>
    <row r="21" spans="1:71" ht="30" hidden="1" customHeight="1">
      <c r="A21" s="80">
        <f>SUBTOTAL(3,$D$3:D21)</f>
        <v>7</v>
      </c>
      <c r="B21" s="83" t="s">
        <v>300</v>
      </c>
      <c r="C21" s="43" t="s">
        <v>216</v>
      </c>
      <c r="D21" s="42">
        <v>901250201</v>
      </c>
      <c r="E21" s="43" t="s">
        <v>144</v>
      </c>
      <c r="F21" s="43" t="s">
        <v>320</v>
      </c>
      <c r="G21" s="43" t="s">
        <v>164</v>
      </c>
      <c r="H21" s="43" t="s">
        <v>167</v>
      </c>
      <c r="I21" s="43" t="s">
        <v>148</v>
      </c>
      <c r="J21" s="100" t="s">
        <v>123</v>
      </c>
      <c r="K21" s="42" t="s">
        <v>136</v>
      </c>
      <c r="L21" s="42">
        <v>0</v>
      </c>
      <c r="M21" s="42" t="s">
        <v>259</v>
      </c>
      <c r="N21" s="593" t="s">
        <v>120</v>
      </c>
      <c r="O21" s="70">
        <v>0</v>
      </c>
      <c r="P21" s="43" t="s">
        <v>72</v>
      </c>
      <c r="Q21" s="93" t="s">
        <v>78</v>
      </c>
      <c r="R21" s="93" t="s">
        <v>78</v>
      </c>
      <c r="S21" s="44">
        <v>45901</v>
      </c>
      <c r="T21" s="250">
        <v>46631</v>
      </c>
      <c r="U21" s="250">
        <v>46996</v>
      </c>
      <c r="V21" s="44">
        <v>46996</v>
      </c>
      <c r="W21" s="255">
        <f>Table13[[#This Row],[نهاية المشروع المعدلة PMO LIVE]]-Table13[[#This Row],[نهاية المشروع المعدلة EPPM]]</f>
        <v>0</v>
      </c>
      <c r="X21" s="484" t="s">
        <v>682</v>
      </c>
      <c r="Y21" s="253">
        <v>47111</v>
      </c>
      <c r="Z21" s="101">
        <f>_xlfn.XLOOKUP(Table13[[#This Row],[PO]],Table156101114[PO],Table156101114[[النهاية المتوقعة ]],0)</f>
        <v>47117</v>
      </c>
      <c r="AA21" s="721">
        <f>Table13[[#This Row],[النهاية طبقاً للتحديث الاسبوعي الحالي]]-Table13[[#This Row],[النهاية طبقاً للتحديث الاسبوعي السابق]]</f>
        <v>6</v>
      </c>
      <c r="AB21" s="524">
        <v>18078565</v>
      </c>
      <c r="AC21" s="109">
        <v>20790349.75</v>
      </c>
      <c r="AD21" s="258">
        <v>0.16889999999999999</v>
      </c>
      <c r="AE21" s="258">
        <v>0.34499999999999997</v>
      </c>
      <c r="AF21" s="90">
        <f>_xlfn.XLOOKUP(Table13[[#This Row],[PO]],Table156101114[PO],Table156101114[المخطط % 15 اكتوبر2026],0)</f>
        <v>0.16689999999999999</v>
      </c>
      <c r="AG21" s="90">
        <f>_xlfn.XLOOKUP(Table13[[#This Row],[PO]],Table156101114[PO],Table156101114[Act %],0)</f>
        <v>0.34499999999999997</v>
      </c>
      <c r="AH21" s="628">
        <f>Table13[[#This Row],[المخطط % التراكمي]]-Table13[[#This Row],[المخطط % - الإسبوع السابق ]]</f>
        <v>-2.0000000000000018E-3</v>
      </c>
      <c r="AI21" s="631">
        <f>Table13[[#This Row],[المنفذ % التراكمي]]-Table13[[#This Row],[المنفذ % - الإسبوع السابق]]</f>
        <v>0</v>
      </c>
      <c r="AJ21" s="102">
        <f>Table13[[#This Row],[المنفذ % التراكمي]]-Table13[[#This Row],[المخطط % التراكمي]]</f>
        <v>0.17809999999999998</v>
      </c>
      <c r="AK21" s="637"/>
      <c r="AL21" s="637"/>
      <c r="AM21" s="675"/>
      <c r="AN21" s="675"/>
      <c r="AO21" s="675"/>
      <c r="AP21" s="675"/>
      <c r="AQ21" s="91">
        <f>_xlfn.XLOOKUP(Table13[[#This Row],[PO]],Table156101114[PO],Table156101114[TF],0)</f>
        <v>-104</v>
      </c>
      <c r="AR21" s="276">
        <f>Table13[[#This Row],[نسبة الإنجاز المتبقية %]]/(Table13[[#This Row],[مدة المشروع المتبقية بالشهور]])</f>
        <v>2.8618155677143663E-2</v>
      </c>
      <c r="AS21" s="70">
        <v>0.1707987293239259</v>
      </c>
      <c r="AT21" s="70">
        <f>Table13[[#This Row],[نسبة المخطط التراكمي حتى 31 أكتوبر 2026]]-9.9%</f>
        <v>7.1798729323925892E-2</v>
      </c>
      <c r="AU21" s="446">
        <v>0</v>
      </c>
      <c r="AV21" s="70">
        <v>0</v>
      </c>
      <c r="AW21" s="449">
        <v>0</v>
      </c>
      <c r="AX21" s="440">
        <f>100%-Table13[[#This Row],[المنفذ % التراكمي]]</f>
        <v>0.65500000000000003</v>
      </c>
      <c r="AY21" s="440">
        <f>100%-Table13[[#This Row],[نسبة المدة المنقضية %]]</f>
        <v>0.6270566727605118</v>
      </c>
      <c r="AZ21" s="70">
        <f>_xlfn.XLOOKUP(Table13[[#This Row],[PO]],Table156101114[PO],Table156101114[المدة المنقضية],0)</f>
        <v>0.37294332723948814</v>
      </c>
      <c r="BA21" s="70" t="s">
        <v>122</v>
      </c>
      <c r="BB21" s="108" t="s">
        <v>122</v>
      </c>
      <c r="BC21" s="96">
        <f>_xlfn.XLOOKUP(Table13[[#This Row],[PO]],Table156101114[PO],Table156101114[SPI],0)</f>
        <v>2.067106051527861</v>
      </c>
      <c r="BD21" s="359">
        <f>Table13[[#This Row],[نسبة المدة المنقضية %]]*Table13[[#This Row],[مدة المشروع الكلية بالشهور]]</f>
        <v>13.612431444241317</v>
      </c>
      <c r="BE21" s="360">
        <f>Table13[[#This Row],[نسبة المدة المتبقية %]]*Table13[[#This Row],[مدة المشروع الكلية بالشهور]]</f>
        <v>22.88756855575868</v>
      </c>
      <c r="BF21" s="360">
        <f>(Table13[[#This Row],[نهاية المشروع المعدلة PMO LIVE]]-Table13[[#This Row],[بداية المشروع التعاقدية]])</f>
        <v>1095</v>
      </c>
      <c r="BG21" s="361">
        <f>(Table13[[#This Row],[نهاية المشروع المعدلة PMO LIVE]]-Table13[[#This Row],[بداية المشروع التعاقدية]])/30</f>
        <v>36.5</v>
      </c>
      <c r="BH21" s="260">
        <f>1.25*Table13[[#This Row],[مدة المشروع بالايام]]</f>
        <v>1368.75</v>
      </c>
      <c r="BI21" s="621">
        <f>Table13[[#This Row],[125%من مدة المشروع]]+Table13[[#This Row],[بداية المشروع التعاقدية]]</f>
        <v>47269.75</v>
      </c>
      <c r="BJ21" s="648">
        <f>Table13[[#This Row],[قيمة المشروع بالضريبة]]*Table13[[#This Row],[المخطط % التراكمي]]</f>
        <v>3469909.3732749997</v>
      </c>
      <c r="BK21" s="269">
        <f>Table13[[#This Row],[قيمة المشروع بالضريبة]]*Table13[[#This Row],[المنفذ % التراكمي]]</f>
        <v>7172670.6637499994</v>
      </c>
      <c r="BL21" s="316">
        <f>Table13[[#This Row],[نسبة الإنجاز المتبقية %]]*Table13[[#This Row],[قيمة المشروع بالضريبة]]</f>
        <v>13617679.08625</v>
      </c>
      <c r="BM21" s="316">
        <f>Table13[[#This Row],[نسبة الإيقاف%]]*Table13[[#This Row],[قيمة المشروع بالضريبة]]</f>
        <v>0</v>
      </c>
      <c r="BN21" s="317">
        <f>Table13[[#This Row],[Suspended Budget]]/Table13[[#This Row],[Remaining Budget]]</f>
        <v>0</v>
      </c>
      <c r="BQ21" s="903"/>
      <c r="BR21" s="904"/>
      <c r="BS21" s="904"/>
    </row>
    <row r="22" spans="1:71" s="322" customFormat="1" ht="30" hidden="1" customHeight="1">
      <c r="A22" s="79">
        <f>SUBTOTAL(3,$D$3:D22)</f>
        <v>7</v>
      </c>
      <c r="B22" s="85" t="s">
        <v>305</v>
      </c>
      <c r="C22" s="34" t="s">
        <v>231</v>
      </c>
      <c r="D22" s="48">
        <v>901250300</v>
      </c>
      <c r="E22" s="34" t="s">
        <v>170</v>
      </c>
      <c r="F22" s="34" t="s">
        <v>319</v>
      </c>
      <c r="G22" s="34" t="s">
        <v>266</v>
      </c>
      <c r="H22" s="34" t="s">
        <v>269</v>
      </c>
      <c r="I22" s="34" t="s">
        <v>171</v>
      </c>
      <c r="J22" s="34" t="s">
        <v>111</v>
      </c>
      <c r="K22" s="48" t="s">
        <v>116</v>
      </c>
      <c r="L22" s="48">
        <v>0</v>
      </c>
      <c r="M22" s="48" t="s">
        <v>259</v>
      </c>
      <c r="N22" s="594" t="s">
        <v>120</v>
      </c>
      <c r="O22" s="69">
        <v>0</v>
      </c>
      <c r="P22" s="34" t="s">
        <v>72</v>
      </c>
      <c r="Q22" s="93" t="s">
        <v>78</v>
      </c>
      <c r="R22" s="93" t="s">
        <v>78</v>
      </c>
      <c r="S22" s="49">
        <v>45942</v>
      </c>
      <c r="T22" s="249">
        <v>47037</v>
      </c>
      <c r="U22" s="249">
        <v>47286</v>
      </c>
      <c r="V22" s="49">
        <v>47286</v>
      </c>
      <c r="W22" s="254">
        <f>Table13[[#This Row],[نهاية المشروع المعدلة PMO LIVE]]-Table13[[#This Row],[نهاية المشروع المعدلة EPPM]]</f>
        <v>0</v>
      </c>
      <c r="X22" s="254" t="s">
        <v>169</v>
      </c>
      <c r="Y22" s="252">
        <v>47442</v>
      </c>
      <c r="Z22" s="49">
        <f>_xlfn.XLOOKUP(Table13[[#This Row],[PO]],Table156101114[PO],Table156101114[[النهاية المتوقعة ]],0)</f>
        <v>47449</v>
      </c>
      <c r="AA22" s="716">
        <f>Table13[[#This Row],[النهاية طبقاً للتحديث الاسبوعي الحالي]]-Table13[[#This Row],[النهاية طبقاً للتحديث الاسبوعي السابق]]</f>
        <v>7</v>
      </c>
      <c r="AB22" s="523">
        <v>297570000</v>
      </c>
      <c r="AC22" s="110">
        <v>342205500</v>
      </c>
      <c r="AD22" s="257">
        <v>8.4000000000000005E-2</v>
      </c>
      <c r="AE22" s="257">
        <v>0.16209999999999999</v>
      </c>
      <c r="AF22" s="47">
        <f>_xlfn.XLOOKUP(Table13[[#This Row],[PO]],Table156101114[PO],Table156101114[المخطط % 15 اكتوبر2026],0)</f>
        <v>8.4699999999999998E-2</v>
      </c>
      <c r="AG22" s="47">
        <f>_xlfn.XLOOKUP(Table13[[#This Row],[PO]],Table156101114[PO],Table156101114[Act %],0)</f>
        <v>0.16389999999999999</v>
      </c>
      <c r="AH22" s="630">
        <f>Table13[[#This Row],[المخطط % التراكمي]]-Table13[[#This Row],[المخطط % - الإسبوع السابق ]]</f>
        <v>6.999999999999923E-4</v>
      </c>
      <c r="AI22" s="630">
        <f>Table13[[#This Row],[المنفذ % التراكمي]]-Table13[[#This Row],[المنفذ % - الإسبوع السابق]]</f>
        <v>1.799999999999996E-3</v>
      </c>
      <c r="AJ22" s="102">
        <f>Table13[[#This Row],[المنفذ % التراكمي]]-Table13[[#This Row],[المخطط % التراكمي]]</f>
        <v>7.9199999999999993E-2</v>
      </c>
      <c r="AK22" s="634"/>
      <c r="AL22" s="634"/>
      <c r="AM22" s="674"/>
      <c r="AN22" s="674"/>
      <c r="AO22" s="674"/>
      <c r="AP22" s="674"/>
      <c r="AQ22" s="103">
        <f>_xlfn.XLOOKUP(Table13[[#This Row],[PO]],Table156101114[PO],Table156101114[TF],0)</f>
        <v>-140</v>
      </c>
      <c r="AR22" s="277">
        <f>Table13[[#This Row],[نسبة الإنجاز المتبقية %]]/(Table13[[#This Row],[مدة المشروع المتبقية بالشهور]])</f>
        <v>2.5699795081967215E-2</v>
      </c>
      <c r="AS22" s="69">
        <v>8.7609380011425889E-2</v>
      </c>
      <c r="AT22" s="69">
        <v>0</v>
      </c>
      <c r="AU22" s="445">
        <v>0</v>
      </c>
      <c r="AV22" s="69">
        <v>0</v>
      </c>
      <c r="AW22" s="448">
        <v>0</v>
      </c>
      <c r="AX22" s="439">
        <f>100%-Table13[[#This Row],[المنفذ % التراكمي]]</f>
        <v>0.83610000000000007</v>
      </c>
      <c r="AY22" s="439">
        <f>100%-Table13[[#This Row],[نسبة المدة المنقضية %]]</f>
        <v>0.72619047619047616</v>
      </c>
      <c r="AZ22" s="69">
        <f>_xlfn.XLOOKUP(Table13[[#This Row],[PO]],Table156101114[PO],Table156101114[المدة المنقضية],0)</f>
        <v>0.27380952380952384</v>
      </c>
      <c r="BA22" s="69" t="s">
        <v>122</v>
      </c>
      <c r="BB22" s="105" t="s">
        <v>122</v>
      </c>
      <c r="BC22" s="95">
        <f>_xlfn.XLOOKUP(Table13[[#This Row],[PO]],Table156101114[PO],Table156101114[SPI],0)</f>
        <v>1.9350649350649349</v>
      </c>
      <c r="BD22" s="359">
        <f>Table13[[#This Row],[نسبة المدة المنقضية %]]*Table13[[#This Row],[مدة المشروع الكلية بالشهور]]</f>
        <v>12.266666666666667</v>
      </c>
      <c r="BE22" s="360">
        <f>Table13[[#This Row],[نسبة المدة المتبقية %]]*Table13[[#This Row],[مدة المشروع الكلية بالشهور]]</f>
        <v>32.533333333333331</v>
      </c>
      <c r="BF22" s="360">
        <f>(Table13[[#This Row],[نهاية المشروع المعدلة PMO LIVE]]-Table13[[#This Row],[بداية المشروع التعاقدية]])</f>
        <v>1344</v>
      </c>
      <c r="BG22" s="361">
        <f>(Table13[[#This Row],[نهاية المشروع المعدلة PMO LIVE]]-Table13[[#This Row],[بداية المشروع التعاقدية]])/30</f>
        <v>44.8</v>
      </c>
      <c r="BH22" s="260">
        <f>1.25*Table13[[#This Row],[مدة المشروع بالايام]]</f>
        <v>1680</v>
      </c>
      <c r="BI22" s="495">
        <f>Table13[[#This Row],[125%من مدة المشروع]]+Table13[[#This Row],[بداية المشروع التعاقدية]]</f>
        <v>47622</v>
      </c>
      <c r="BJ22" s="648">
        <f>Table13[[#This Row],[قيمة المشروع بالضريبة]]*Table13[[#This Row],[المخطط % التراكمي]]</f>
        <v>28984805.849999998</v>
      </c>
      <c r="BK22" s="269">
        <f>Table13[[#This Row],[قيمة المشروع بالضريبة]]*Table13[[#This Row],[المنفذ % التراكمي]]</f>
        <v>56087481.449999996</v>
      </c>
      <c r="BL22" s="316">
        <f>Table13[[#This Row],[نسبة الإنجاز المتبقية %]]*Table13[[#This Row],[قيمة المشروع بالضريبة]]</f>
        <v>286118018.55000001</v>
      </c>
      <c r="BM22" s="316">
        <f>Table13[[#This Row],[نسبة الإيقاف%]]*Table13[[#This Row],[قيمة المشروع بالضريبة]]</f>
        <v>0</v>
      </c>
      <c r="BN22" s="317">
        <f>Table13[[#This Row],[Suspended Budget]]/Table13[[#This Row],[Remaining Budget]]</f>
        <v>0</v>
      </c>
      <c r="BQ22" s="903"/>
      <c r="BR22" s="904"/>
      <c r="BS22" s="904"/>
    </row>
    <row r="23" spans="1:71" ht="30" hidden="1" customHeight="1">
      <c r="A23" s="79">
        <f>SUBTOTAL(3,$D$3:D23)</f>
        <v>7</v>
      </c>
      <c r="B23" s="85" t="s">
        <v>294</v>
      </c>
      <c r="C23" s="34" t="s">
        <v>214</v>
      </c>
      <c r="D23" s="48">
        <v>901250191</v>
      </c>
      <c r="E23" s="34" t="s">
        <v>142</v>
      </c>
      <c r="F23" s="34" t="s">
        <v>319</v>
      </c>
      <c r="G23" s="34" t="s">
        <v>164</v>
      </c>
      <c r="H23" s="34" t="s">
        <v>237</v>
      </c>
      <c r="I23" s="34" t="s">
        <v>146</v>
      </c>
      <c r="J23" s="98" t="s">
        <v>123</v>
      </c>
      <c r="K23" s="48" t="s">
        <v>116</v>
      </c>
      <c r="L23" s="48">
        <v>0</v>
      </c>
      <c r="M23" s="48" t="s">
        <v>259</v>
      </c>
      <c r="N23" s="594" t="s">
        <v>120</v>
      </c>
      <c r="O23" s="69">
        <v>0</v>
      </c>
      <c r="P23" s="34" t="s">
        <v>72</v>
      </c>
      <c r="Q23" s="93" t="s">
        <v>78</v>
      </c>
      <c r="R23" s="93" t="s">
        <v>78</v>
      </c>
      <c r="S23" s="49">
        <v>45908</v>
      </c>
      <c r="T23" s="249">
        <v>47002</v>
      </c>
      <c r="U23" s="249">
        <v>47239</v>
      </c>
      <c r="V23" s="49">
        <v>47239</v>
      </c>
      <c r="W23" s="254">
        <f>Table13[[#This Row],[نهاية المشروع المعدلة PMO LIVE]]-Table13[[#This Row],[نهاية المشروع المعدلة EPPM]]</f>
        <v>0</v>
      </c>
      <c r="X23" s="254" t="s">
        <v>169</v>
      </c>
      <c r="Y23" s="252">
        <v>47358</v>
      </c>
      <c r="Z23" s="99">
        <f>_xlfn.XLOOKUP(Table13[[#This Row],[PO]],Table156101114[PO],Table156101114[[النهاية المتوقعة ]],0)</f>
        <v>47366</v>
      </c>
      <c r="AA23" s="722">
        <f>Table13[[#This Row],[النهاية طبقاً للتحديث الاسبوعي الحالي]]-Table13[[#This Row],[النهاية طبقاً للتحديث الاسبوعي السابق]]</f>
        <v>8</v>
      </c>
      <c r="AB23" s="525">
        <v>37750000</v>
      </c>
      <c r="AC23" s="110">
        <v>43412500</v>
      </c>
      <c r="AD23" s="257">
        <v>0.14760000000000001</v>
      </c>
      <c r="AE23" s="257">
        <v>0.28349999999999997</v>
      </c>
      <c r="AF23" s="81">
        <f>_xlfn.XLOOKUP(Table13[[#This Row],[PO]],Table156101114[PO],Table156101114[المخطط % 15 اكتوبر2026],0)</f>
        <v>0.14760000000000001</v>
      </c>
      <c r="AG23" s="81">
        <f>_xlfn.XLOOKUP(Table13[[#This Row],[PO]],Table156101114[PO],Table156101114[Act %],0)</f>
        <v>0.28499999999999998</v>
      </c>
      <c r="AH23" s="627">
        <f>Table13[[#This Row],[المخطط % التراكمي]]-Table13[[#This Row],[المخطط % - الإسبوع السابق ]]</f>
        <v>0</v>
      </c>
      <c r="AI23" s="632">
        <f>Table13[[#This Row],[المنفذ % التراكمي]]-Table13[[#This Row],[المنفذ % - الإسبوع السابق]]</f>
        <v>1.5000000000000013E-3</v>
      </c>
      <c r="AJ23" s="102">
        <f>Table13[[#This Row],[المنفذ % التراكمي]]-Table13[[#This Row],[المخطط % التراكمي]]</f>
        <v>0.13739999999999997</v>
      </c>
      <c r="AK23" s="638"/>
      <c r="AL23" s="638"/>
      <c r="AM23" s="676"/>
      <c r="AN23" s="676"/>
      <c r="AO23" s="676"/>
      <c r="AP23" s="676"/>
      <c r="AQ23" s="106">
        <f>_xlfn.XLOOKUP(Table13[[#This Row],[PO]],Table156101114[PO],Table156101114[TF],0)</f>
        <v>-88</v>
      </c>
      <c r="AR23" s="277">
        <f>Table13[[#This Row],[نسبة الإنجاز المتبقية %]]/(Table13[[#This Row],[مدة المشروع المتبقية بالشهور]])</f>
        <v>2.3089343379978474E-2</v>
      </c>
      <c r="AS23" s="69">
        <v>0.1475905692715232</v>
      </c>
      <c r="AT23" s="69">
        <f>Table13[[#This Row],[نسبة المخطط التراكمي حتى 31 أكتوبر 2026]]-9.9%</f>
        <v>4.8590569271523193E-2</v>
      </c>
      <c r="AU23" s="445">
        <v>0</v>
      </c>
      <c r="AV23" s="69">
        <v>0</v>
      </c>
      <c r="AW23" s="448">
        <v>0</v>
      </c>
      <c r="AX23" s="439">
        <f>100%-Table13[[#This Row],[المنفذ % التراكمي]]</f>
        <v>0.71500000000000008</v>
      </c>
      <c r="AY23" s="439">
        <f>100%-Table13[[#This Row],[نسبة المدة المنقضية %]]</f>
        <v>0.69797145003756578</v>
      </c>
      <c r="AZ23" s="69">
        <f>_xlfn.XLOOKUP(Table13[[#This Row],[PO]],Table156101114[PO],Table156101114[المدة المنقضية],0)</f>
        <v>0.30202854996243428</v>
      </c>
      <c r="BA23" s="69" t="s">
        <v>122</v>
      </c>
      <c r="BB23" s="105" t="s">
        <v>122</v>
      </c>
      <c r="BC23" s="95">
        <f>_xlfn.XLOOKUP(Table13[[#This Row],[PO]],Table156101114[PO],Table156101114[SPI],0)</f>
        <v>1.9308943089430892</v>
      </c>
      <c r="BD23" s="359">
        <f>Table13[[#This Row],[نسبة المدة المنقضية %]]*Table13[[#This Row],[مدة المشروع الكلية بالشهور]]</f>
        <v>13.4</v>
      </c>
      <c r="BE23" s="360">
        <f>Table13[[#This Row],[نسبة المدة المتبقية %]]*Table13[[#This Row],[مدة المشروع الكلية بالشهور]]</f>
        <v>30.966666666666669</v>
      </c>
      <c r="BF23" s="360">
        <f>(Table13[[#This Row],[نهاية المشروع المعدلة PMO LIVE]]-Table13[[#This Row],[بداية المشروع التعاقدية]])</f>
        <v>1331</v>
      </c>
      <c r="BG23" s="361">
        <f>(Table13[[#This Row],[نهاية المشروع المعدلة PMO LIVE]]-Table13[[#This Row],[بداية المشروع التعاقدية]])/30</f>
        <v>44.366666666666667</v>
      </c>
      <c r="BH23" s="260">
        <f>1.25*Table13[[#This Row],[مدة المشروع بالايام]]</f>
        <v>1663.75</v>
      </c>
      <c r="BI23" s="495">
        <f>Table13[[#This Row],[125%من مدة المشروع]]+Table13[[#This Row],[بداية المشروع التعاقدية]]</f>
        <v>47571.75</v>
      </c>
      <c r="BJ23" s="648">
        <f>Table13[[#This Row],[قيمة المشروع بالضريبة]]*Table13[[#This Row],[المخطط % التراكمي]]</f>
        <v>6407685</v>
      </c>
      <c r="BK23" s="269">
        <f>Table13[[#This Row],[قيمة المشروع بالضريبة]]*Table13[[#This Row],[المنفذ % التراكمي]]</f>
        <v>12372562.499999998</v>
      </c>
      <c r="BL23" s="316">
        <f>Table13[[#This Row],[نسبة الإنجاز المتبقية %]]*Table13[[#This Row],[قيمة المشروع بالضريبة]]</f>
        <v>31039937.500000004</v>
      </c>
      <c r="BM23" s="316">
        <f>Table13[[#This Row],[نسبة الإيقاف%]]*Table13[[#This Row],[قيمة المشروع بالضريبة]]</f>
        <v>0</v>
      </c>
      <c r="BN23" s="317">
        <f>Table13[[#This Row],[Suspended Budget]]/Table13[[#This Row],[Remaining Budget]]</f>
        <v>0</v>
      </c>
      <c r="BQ23" s="903"/>
      <c r="BR23" s="904"/>
      <c r="BS23" s="918"/>
    </row>
    <row r="24" spans="1:71" s="321" customFormat="1" ht="30" hidden="1" customHeight="1">
      <c r="A24" s="80">
        <f>SUBTOTAL(3,$D$3:D24)</f>
        <v>7</v>
      </c>
      <c r="B24" s="83" t="s">
        <v>313</v>
      </c>
      <c r="C24" s="43" t="s">
        <v>312</v>
      </c>
      <c r="D24" s="42">
        <v>901250341</v>
      </c>
      <c r="E24" s="43" t="s">
        <v>271</v>
      </c>
      <c r="F24" s="43" t="s">
        <v>319</v>
      </c>
      <c r="G24" s="43" t="s">
        <v>266</v>
      </c>
      <c r="H24" s="43" t="s">
        <v>267</v>
      </c>
      <c r="I24" s="43" t="s">
        <v>273</v>
      </c>
      <c r="J24" s="43" t="s">
        <v>123</v>
      </c>
      <c r="K24" s="42" t="s">
        <v>116</v>
      </c>
      <c r="L24" s="42">
        <v>0</v>
      </c>
      <c r="M24" s="42" t="s">
        <v>259</v>
      </c>
      <c r="N24" s="593" t="s">
        <v>120</v>
      </c>
      <c r="O24" s="70">
        <v>0</v>
      </c>
      <c r="P24" s="43" t="s">
        <v>72</v>
      </c>
      <c r="Q24" s="93" t="s">
        <v>78</v>
      </c>
      <c r="R24" s="93" t="s">
        <v>78</v>
      </c>
      <c r="S24" s="44">
        <v>45978</v>
      </c>
      <c r="T24" s="250">
        <v>47073</v>
      </c>
      <c r="U24" s="250">
        <v>47241</v>
      </c>
      <c r="V24" s="44">
        <v>47241</v>
      </c>
      <c r="W24" s="255">
        <f>Table13[[#This Row],[نهاية المشروع المعدلة PMO LIVE]]-Table13[[#This Row],[نهاية المشروع المعدلة EPPM]]</f>
        <v>0</v>
      </c>
      <c r="X24" s="872" t="s">
        <v>671</v>
      </c>
      <c r="Y24" s="253">
        <v>47391</v>
      </c>
      <c r="Z24" s="44">
        <f>_xlfn.XLOOKUP(Table13[[#This Row],[PO]],Table156101114[PO],Table156101114[[النهاية المتوقعة ]],0)</f>
        <v>47398</v>
      </c>
      <c r="AA24" s="719">
        <f>Table13[[#This Row],[النهاية طبقاً للتحديث الاسبوعي الحالي]]-Table13[[#This Row],[النهاية طبقاً للتحديث الاسبوعي السابق]]</f>
        <v>7</v>
      </c>
      <c r="AB24" s="522">
        <v>18957585</v>
      </c>
      <c r="AC24" s="109">
        <v>21801222.75</v>
      </c>
      <c r="AD24" s="258">
        <v>5.57E-2</v>
      </c>
      <c r="AE24" s="258">
        <v>0.17280000000000001</v>
      </c>
      <c r="AF24" s="90">
        <f>_xlfn.XLOOKUP(Table13[[#This Row],[PO]],Table156101114[PO],Table156101114[المخطط % 15 اكتوبر2026],0)</f>
        <v>5.5800000000000002E-2</v>
      </c>
      <c r="AG24" s="90">
        <f>_xlfn.XLOOKUP(Table13[[#This Row],[PO]],Table156101114[PO],Table156101114[Act %],0)</f>
        <v>0.17280000000000001</v>
      </c>
      <c r="AH24" s="628">
        <f>Table13[[#This Row],[المخطط % التراكمي]]-Table13[[#This Row],[المخطط % - الإسبوع السابق ]]</f>
        <v>1.0000000000000286E-4</v>
      </c>
      <c r="AI24" s="629">
        <f>Table13[[#This Row],[المنفذ % التراكمي]]-Table13[[#This Row],[المنفذ % - الإسبوع السابق]]</f>
        <v>0</v>
      </c>
      <c r="AJ24" s="274">
        <f>Table13[[#This Row],[المنفذ % التراكمي]]-Table13[[#This Row],[المخطط % التراكمي]]</f>
        <v>0.11700000000000001</v>
      </c>
      <c r="AK24" s="636"/>
      <c r="AL24" s="636"/>
      <c r="AM24" s="673"/>
      <c r="AN24" s="673"/>
      <c r="AO24" s="673"/>
      <c r="AP24" s="673"/>
      <c r="AQ24" s="107">
        <f>_xlfn.XLOOKUP(Table13[[#This Row],[PO]],Table156101114[PO],Table156101114[TF],0)</f>
        <v>-133</v>
      </c>
      <c r="AR24" s="276">
        <f>Table13[[#This Row],[نسبة الإنجاز المتبقية %]]/(Table13[[#This Row],[مدة المشروع المتبقية بالشهور]])</f>
        <v>2.6655209452201931E-2</v>
      </c>
      <c r="AS24" s="70">
        <v>5.5973430160012473E-2</v>
      </c>
      <c r="AT24" s="70">
        <v>0</v>
      </c>
      <c r="AU24" s="446">
        <v>0</v>
      </c>
      <c r="AV24" s="70">
        <v>0</v>
      </c>
      <c r="AW24" s="449">
        <v>0</v>
      </c>
      <c r="AX24" s="440">
        <f>100%-Table13[[#This Row],[المنفذ % التراكمي]]</f>
        <v>0.82719999999999994</v>
      </c>
      <c r="AY24" s="440">
        <f>100%-Table13[[#This Row],[نسبة المدة المنقضية %]]</f>
        <v>0.73713380839271569</v>
      </c>
      <c r="AZ24" s="70">
        <f>_xlfn.XLOOKUP(Table13[[#This Row],[PO]],Table156101114[PO],Table156101114[المدة المنقضية],0)</f>
        <v>0.26286619160728425</v>
      </c>
      <c r="BA24" s="70" t="s">
        <v>122</v>
      </c>
      <c r="BB24" s="108" t="s">
        <v>122</v>
      </c>
      <c r="BC24" s="96">
        <f>_xlfn.XLOOKUP(Table13[[#This Row],[PO]],Table156101114[PO],Table156101114[SPI],0)</f>
        <v>3.096774193548387</v>
      </c>
      <c r="BD24" s="359">
        <f>Table13[[#This Row],[نسبة المدة المنقضية %]]*Table13[[#This Row],[مدة المشروع الكلية بالشهور]]</f>
        <v>11.066666666666666</v>
      </c>
      <c r="BE24" s="360">
        <f>Table13[[#This Row],[نسبة المدة المتبقية %]]*Table13[[#This Row],[مدة المشروع الكلية بالشهور]]</f>
        <v>31.033333333333331</v>
      </c>
      <c r="BF24" s="360">
        <f>(Table13[[#This Row],[نهاية المشروع المعدلة PMO LIVE]]-Table13[[#This Row],[بداية المشروع التعاقدية]])</f>
        <v>1263</v>
      </c>
      <c r="BG24" s="361">
        <f>(Table13[[#This Row],[نهاية المشروع المعدلة PMO LIVE]]-Table13[[#This Row],[بداية المشروع التعاقدية]])/30</f>
        <v>42.1</v>
      </c>
      <c r="BH24" s="260">
        <f>1.25*Table13[[#This Row],[مدة المشروع بالايام]]</f>
        <v>1578.75</v>
      </c>
      <c r="BI24" s="621">
        <f>Table13[[#This Row],[125%من مدة المشروع]]+Table13[[#This Row],[بداية المشروع التعاقدية]]</f>
        <v>47556.75</v>
      </c>
      <c r="BJ24" s="651">
        <f>Table13[[#This Row],[قيمة المشروع بالضريبة]]*Table13[[#This Row],[المخطط % التراكمي]]</f>
        <v>1216508.22945</v>
      </c>
      <c r="BK24" s="270">
        <f>Table13[[#This Row],[قيمة المشروع بالضريبة]]*Table13[[#This Row],[المنفذ % التراكمي]]</f>
        <v>3767251.2912000003</v>
      </c>
      <c r="BL24" s="318">
        <f>Table13[[#This Row],[نسبة الإنجاز المتبقية %]]*Table13[[#This Row],[قيمة المشروع بالضريبة]]</f>
        <v>18033971.458799999</v>
      </c>
      <c r="BM24" s="318">
        <f>Table13[[#This Row],[نسبة الإيقاف%]]*Table13[[#This Row],[قيمة المشروع بالضريبة]]</f>
        <v>0</v>
      </c>
      <c r="BN24" s="319">
        <f>Table13[[#This Row],[Suspended Budget]]/Table13[[#This Row],[Remaining Budget]]</f>
        <v>0</v>
      </c>
      <c r="BQ24" s="903"/>
      <c r="BR24" s="904"/>
      <c r="BS24" s="904"/>
    </row>
    <row r="25" spans="1:71" s="141" customFormat="1" ht="30" hidden="1" customHeight="1">
      <c r="A25" s="80">
        <f>SUBTOTAL(3,$D$3:D25)</f>
        <v>7</v>
      </c>
      <c r="B25" s="83" t="s">
        <v>291</v>
      </c>
      <c r="C25" s="43" t="s">
        <v>205</v>
      </c>
      <c r="D25" s="42">
        <v>901250059</v>
      </c>
      <c r="E25" s="43" t="s">
        <v>108</v>
      </c>
      <c r="F25" s="43" t="s">
        <v>320</v>
      </c>
      <c r="G25" s="43" t="s">
        <v>164</v>
      </c>
      <c r="H25" s="152" t="s">
        <v>165</v>
      </c>
      <c r="I25" s="43" t="s">
        <v>103</v>
      </c>
      <c r="J25" s="43" t="s">
        <v>123</v>
      </c>
      <c r="K25" s="42" t="s">
        <v>136</v>
      </c>
      <c r="L25" s="42">
        <v>0</v>
      </c>
      <c r="M25" s="42" t="s">
        <v>259</v>
      </c>
      <c r="N25" s="593" t="s">
        <v>120</v>
      </c>
      <c r="O25" s="70">
        <v>0</v>
      </c>
      <c r="P25" s="43" t="s">
        <v>72</v>
      </c>
      <c r="Q25" s="93" t="s">
        <v>78</v>
      </c>
      <c r="R25" s="93" t="s">
        <v>78</v>
      </c>
      <c r="S25" s="44">
        <v>45762</v>
      </c>
      <c r="T25" s="250">
        <v>46492</v>
      </c>
      <c r="U25" s="250">
        <v>46856</v>
      </c>
      <c r="V25" s="44">
        <v>46857</v>
      </c>
      <c r="W25" s="255">
        <f>Table13[[#This Row],[نهاية المشروع المعدلة PMO LIVE]]-Table13[[#This Row],[نهاية المشروع المعدلة EPPM]]</f>
        <v>1</v>
      </c>
      <c r="X25" s="484" t="s">
        <v>169</v>
      </c>
      <c r="Y25" s="250">
        <v>47003</v>
      </c>
      <c r="Z25" s="44">
        <f>_xlfn.XLOOKUP(Table13[[#This Row],[PO]],Table156101114[PO],Table156101114[[النهاية المتوقعة ]],0)</f>
        <v>47006</v>
      </c>
      <c r="AA25" s="719">
        <f>Table13[[#This Row],[النهاية طبقاً للتحديث الاسبوعي الحالي]]-Table13[[#This Row],[النهاية طبقاً للتحديث الاسبوعي السابق]]</f>
        <v>3</v>
      </c>
      <c r="AB25" s="522">
        <v>50627136</v>
      </c>
      <c r="AC25" s="109">
        <v>58221206.399999999</v>
      </c>
      <c r="AD25" s="258">
        <v>0.43509999999999999</v>
      </c>
      <c r="AE25" s="258">
        <v>0.5111</v>
      </c>
      <c r="AF25" s="45">
        <f>_xlfn.XLOOKUP(Table13[[#This Row],[PO]],Table156101114[PO],Table156101114[المخطط % 15 اكتوبر2026],0)</f>
        <v>0.43880000000000002</v>
      </c>
      <c r="AG25" s="45">
        <f>_xlfn.XLOOKUP(Table13[[#This Row],[PO]],Table156101114[PO],Table156101114[Act %],0)</f>
        <v>0.51690000000000003</v>
      </c>
      <c r="AH25" s="629">
        <f>Table13[[#This Row],[المخطط % التراكمي]]-Table13[[#This Row],[المخطط % - الإسبوع السابق ]]</f>
        <v>3.7000000000000366E-3</v>
      </c>
      <c r="AI25" s="629">
        <f>Table13[[#This Row],[المنفذ % التراكمي]]-Table13[[#This Row],[المنفذ % - الإسبوع السابق]]</f>
        <v>5.8000000000000274E-3</v>
      </c>
      <c r="AJ25" s="51">
        <f>Table13[[#This Row],[المنفذ % التراكمي]]-Table13[[#This Row],[المخطط % التراكمي]]</f>
        <v>7.8100000000000003E-2</v>
      </c>
      <c r="AK25" s="636"/>
      <c r="AL25" s="636"/>
      <c r="AM25" s="673"/>
      <c r="AN25" s="673"/>
      <c r="AO25" s="673"/>
      <c r="AP25" s="673"/>
      <c r="AQ25" s="107">
        <f>_xlfn.XLOOKUP(Table13[[#This Row],[PO]],Table156101114[PO],Table156101114[TF],0)</f>
        <v>-128</v>
      </c>
      <c r="AR25" s="276">
        <f>Table13[[#This Row],[نسبة الإنجاز المتبقية %]]/(Table13[[#This Row],[مدة المشروع المتبقية بالشهور]])</f>
        <v>2.6495429616087748E-2</v>
      </c>
      <c r="AS25" s="70">
        <v>0.43999780872455446</v>
      </c>
      <c r="AT25" s="70">
        <f>Table13[[#This Row],[نسبة المخطط التراكمي حتى 31 أكتوبر 2026]]-9.9%</f>
        <v>0.34099780872455443</v>
      </c>
      <c r="AU25" s="446">
        <v>0</v>
      </c>
      <c r="AV25" s="70">
        <f>Table13[[#This Row],[نسبة المخطط التراكمي حتى 31 أكتوبر 2026]]-24.9%</f>
        <v>0.19099780872455446</v>
      </c>
      <c r="AW25" s="449">
        <v>0</v>
      </c>
      <c r="AX25" s="440">
        <f>100%-Table13[[#This Row],[المنفذ % التراكمي]]</f>
        <v>0.48309999999999997</v>
      </c>
      <c r="AY25" s="440">
        <f>100%-Table13[[#This Row],[نسبة المدة المنقضية %]]</f>
        <v>0.49954337899543377</v>
      </c>
      <c r="AZ25" s="70">
        <f>_xlfn.XLOOKUP(Table13[[#This Row],[PO]],Table156101114[PO],Table156101114[المدة المنقضية],0)</f>
        <v>0.50045662100456623</v>
      </c>
      <c r="BA25" s="70" t="s">
        <v>122</v>
      </c>
      <c r="BB25" s="108" t="s">
        <v>122</v>
      </c>
      <c r="BC25" s="96">
        <f>_xlfn.XLOOKUP(Table13[[#This Row],[PO]],Table156101114[PO],Table156101114[SPI],0)</f>
        <v>1.1779854147675479</v>
      </c>
      <c r="BD25" s="359">
        <f>Table13[[#This Row],[نسبة المدة المنقضية %]]*Table13[[#This Row],[مدة المشروع الكلية بالشهور]]</f>
        <v>18.266666666666666</v>
      </c>
      <c r="BE25" s="360">
        <f>Table13[[#This Row],[نسبة المدة المتبقية %]]*Table13[[#This Row],[مدة المشروع الكلية بالشهور]]</f>
        <v>18.233333333333334</v>
      </c>
      <c r="BF25" s="360">
        <f>(Table13[[#This Row],[نهاية المشروع المعدلة PMO LIVE]]-Table13[[#This Row],[بداية المشروع التعاقدية]])</f>
        <v>1095</v>
      </c>
      <c r="BG25" s="361">
        <f>(Table13[[#This Row],[نهاية المشروع المعدلة PMO LIVE]]-Table13[[#This Row],[بداية المشروع التعاقدية]])/30</f>
        <v>36.5</v>
      </c>
      <c r="BH25" s="260">
        <f>1.25*Table13[[#This Row],[مدة المشروع بالايام]]</f>
        <v>1368.75</v>
      </c>
      <c r="BI25" s="621">
        <f>Table13[[#This Row],[125%من مدة المشروع]]+Table13[[#This Row],[بداية المشروع التعاقدية]]</f>
        <v>47130.75</v>
      </c>
      <c r="BJ25" s="648">
        <f>Table13[[#This Row],[قيمة المشروع بالضريبة]]*Table13[[#This Row],[المخطط % التراكمي]]</f>
        <v>25547465.368319999</v>
      </c>
      <c r="BK25" s="269">
        <f>Table13[[#This Row],[قيمة المشروع بالضريبة]]*Table13[[#This Row],[المنفذ % التراكمي]]</f>
        <v>30094541.588160001</v>
      </c>
      <c r="BL25" s="316">
        <f>Table13[[#This Row],[نسبة الإنجاز المتبقية %]]*Table13[[#This Row],[قيمة المشروع بالضريبة]]</f>
        <v>28126664.811839998</v>
      </c>
      <c r="BM25" s="316">
        <f>Table13[[#This Row],[نسبة الإيقاف%]]*Table13[[#This Row],[قيمة المشروع بالضريبة]]</f>
        <v>0</v>
      </c>
      <c r="BN25" s="317">
        <f>Table13[[#This Row],[Suspended Budget]]/Table13[[#This Row],[Remaining Budget]]</f>
        <v>0</v>
      </c>
      <c r="BQ25" s="903"/>
      <c r="BR25" s="904"/>
      <c r="BS25" s="904"/>
    </row>
    <row r="26" spans="1:71" s="322" customFormat="1" ht="30" hidden="1" customHeight="1">
      <c r="A26" s="79">
        <f>SUBTOTAL(3,$D$3:D26)</f>
        <v>7</v>
      </c>
      <c r="B26" s="85" t="s">
        <v>304</v>
      </c>
      <c r="C26" s="34" t="s">
        <v>225</v>
      </c>
      <c r="D26" s="48">
        <v>901240021</v>
      </c>
      <c r="E26" s="34" t="s">
        <v>84</v>
      </c>
      <c r="F26" s="34" t="s">
        <v>318</v>
      </c>
      <c r="G26" s="155" t="s">
        <v>159</v>
      </c>
      <c r="H26" s="154" t="s">
        <v>408</v>
      </c>
      <c r="I26" s="34" t="s">
        <v>260</v>
      </c>
      <c r="J26" s="34" t="s">
        <v>123</v>
      </c>
      <c r="K26" s="48" t="s">
        <v>116</v>
      </c>
      <c r="L26" s="48">
        <v>0</v>
      </c>
      <c r="M26" s="48" t="s">
        <v>259</v>
      </c>
      <c r="N26" s="594" t="s">
        <v>121</v>
      </c>
      <c r="O26" s="69">
        <v>0</v>
      </c>
      <c r="P26" s="34" t="s">
        <v>72</v>
      </c>
      <c r="Q26" s="93" t="s">
        <v>78</v>
      </c>
      <c r="R26" s="93" t="s">
        <v>78</v>
      </c>
      <c r="S26" s="49">
        <v>45404</v>
      </c>
      <c r="T26" s="249">
        <v>46499</v>
      </c>
      <c r="U26" s="249">
        <v>47014</v>
      </c>
      <c r="V26" s="49">
        <v>47014</v>
      </c>
      <c r="W26" s="254">
        <f>Table13[[#This Row],[نهاية المشروع المعدلة PMO LIVE]]-Table13[[#This Row],[نهاية المشروع المعدلة EPPM]]</f>
        <v>0</v>
      </c>
      <c r="X26" s="254" t="s">
        <v>169</v>
      </c>
      <c r="Y26" s="249">
        <v>47147</v>
      </c>
      <c r="Z26" s="49">
        <f>_xlfn.XLOOKUP(Table13[[#This Row],[PO]],Table156101114[PO],Table156101114[[النهاية المتوقعة ]],0)</f>
        <v>47154</v>
      </c>
      <c r="AA26" s="716">
        <f>Table13[[#This Row],[النهاية طبقاً للتحديث الاسبوعي الحالي]]-Table13[[#This Row],[النهاية طبقاً للتحديث الاسبوعي السابق]]</f>
        <v>7</v>
      </c>
      <c r="AB26" s="523">
        <v>97195616</v>
      </c>
      <c r="AC26" s="110">
        <v>111774958.40000001</v>
      </c>
      <c r="AD26" s="257">
        <v>0.50749999999999995</v>
      </c>
      <c r="AE26" s="257">
        <v>0.57809999999999995</v>
      </c>
      <c r="AF26" s="47">
        <f>_xlfn.XLOOKUP(Table13[[#This Row],[PO]],Table156101114[PO],Table156101114[المخطط % 15 اكتوبر2026],0)</f>
        <v>0.50870000000000004</v>
      </c>
      <c r="AG26" s="47">
        <f>_xlfn.XLOOKUP(Table13[[#This Row],[PO]],Table156101114[PO],Table156101114[Act %],0)</f>
        <v>0.57850000000000001</v>
      </c>
      <c r="AH26" s="630">
        <f>Table13[[#This Row],[المخطط % التراكمي]]-Table13[[#This Row],[المخطط % - الإسبوع السابق ]]</f>
        <v>1.2000000000000899E-3</v>
      </c>
      <c r="AI26" s="630">
        <f>Table13[[#This Row],[المنفذ % التراكمي]]-Table13[[#This Row],[المنفذ % - الإسبوع السابق]]</f>
        <v>4.0000000000006697E-4</v>
      </c>
      <c r="AJ26" s="51">
        <f>Table13[[#This Row],[المنفذ % التراكمي]]-Table13[[#This Row],[المخطط % التراكمي]]</f>
        <v>6.9799999999999973E-2</v>
      </c>
      <c r="AK26" s="634"/>
      <c r="AL26" s="634"/>
      <c r="AM26" s="674"/>
      <c r="AN26" s="674"/>
      <c r="AO26" s="674"/>
      <c r="AP26" s="674"/>
      <c r="AQ26" s="103">
        <f>_xlfn.XLOOKUP(Table13[[#This Row],[PO]],Table156101114[PO],Table156101114[TF],0)</f>
        <v>-119</v>
      </c>
      <c r="AR26" s="277">
        <f>Table13[[#This Row],[نسبة الإنجاز المتبقية %]]/(Table13[[#This Row],[مدة المشروع المتبقية بالشهور]])</f>
        <v>1.7961647727272729E-2</v>
      </c>
      <c r="AS26" s="69">
        <v>0.51146309284155378</v>
      </c>
      <c r="AT26" s="69">
        <f>Table13[[#This Row],[نسبة المخطط التراكمي حتى 31 أكتوبر 2026]]-9.9%</f>
        <v>0.4124630928415538</v>
      </c>
      <c r="AU26" s="445">
        <v>0</v>
      </c>
      <c r="AV26" s="69">
        <f>Table13[[#This Row],[نسبة المخطط التراكمي حتى 31 أكتوبر 2026]]-24.9%</f>
        <v>0.26246309284155378</v>
      </c>
      <c r="AW26" s="448">
        <v>0</v>
      </c>
      <c r="AX26" s="439">
        <f>100%-Table13[[#This Row],[المنفذ % التراكمي]]</f>
        <v>0.42149999999999999</v>
      </c>
      <c r="AY26" s="439">
        <f>100%-Table13[[#This Row],[نسبة المدة المنقضية %]]</f>
        <v>0.4372670807453416</v>
      </c>
      <c r="AZ26" s="69">
        <f>_xlfn.XLOOKUP(Table13[[#This Row],[PO]],Table156101114[PO],Table156101114[المدة المنقضية],0)</f>
        <v>0.5627329192546584</v>
      </c>
      <c r="BA26" s="69" t="s">
        <v>122</v>
      </c>
      <c r="BB26" s="105" t="s">
        <v>122</v>
      </c>
      <c r="BC26" s="95">
        <f>_xlfn.XLOOKUP(Table13[[#This Row],[PO]],Table156101114[PO],Table156101114[SPI],0)</f>
        <v>1.1372125024572439</v>
      </c>
      <c r="BD26" s="359">
        <f>Table13[[#This Row],[نسبة المدة المنقضية %]]*Table13[[#This Row],[مدة المشروع الكلية بالشهور]]</f>
        <v>30.2</v>
      </c>
      <c r="BE26" s="360">
        <f>Table13[[#This Row],[نسبة المدة المتبقية %]]*Table13[[#This Row],[مدة المشروع الكلية بالشهور]]</f>
        <v>23.466666666666665</v>
      </c>
      <c r="BF26" s="360">
        <f>(Table13[[#This Row],[نهاية المشروع المعدلة PMO LIVE]]-Table13[[#This Row],[بداية المشروع التعاقدية]])</f>
        <v>1610</v>
      </c>
      <c r="BG26" s="361">
        <f>(Table13[[#This Row],[نهاية المشروع المعدلة PMO LIVE]]-Table13[[#This Row],[بداية المشروع التعاقدية]])/30</f>
        <v>53.666666666666664</v>
      </c>
      <c r="BH26" s="260">
        <f>1.25*Table13[[#This Row],[مدة المشروع بالايام]]</f>
        <v>2012.5</v>
      </c>
      <c r="BI26" s="495">
        <f>Table13[[#This Row],[125%من مدة المشروع]]+Table13[[#This Row],[بداية المشروع التعاقدية]]</f>
        <v>47416.5</v>
      </c>
      <c r="BJ26" s="651">
        <f>Table13[[#This Row],[قيمة المشروع بالضريبة]]*Table13[[#This Row],[المخطط % التراكمي]]</f>
        <v>56859921.338080011</v>
      </c>
      <c r="BK26" s="270">
        <f>Table13[[#This Row],[قيمة المشروع بالضريبة]]*Table13[[#This Row],[المنفذ % التراكمي]]</f>
        <v>64661813.434400007</v>
      </c>
      <c r="BL26" s="318">
        <f>Table13[[#This Row],[نسبة الإنجاز المتبقية %]]*Table13[[#This Row],[قيمة المشروع بالضريبة]]</f>
        <v>47113144.965599999</v>
      </c>
      <c r="BM26" s="318">
        <f>Table13[[#This Row],[نسبة الإيقاف%]]*Table13[[#This Row],[قيمة المشروع بالضريبة]]</f>
        <v>0</v>
      </c>
      <c r="BN26" s="319">
        <f>Table13[[#This Row],[Suspended Budget]]/Table13[[#This Row],[Remaining Budget]]</f>
        <v>0</v>
      </c>
      <c r="BQ26" s="903"/>
      <c r="BR26" s="904"/>
      <c r="BS26" s="904"/>
    </row>
    <row r="27" spans="1:71" s="30" customFormat="1" ht="30" hidden="1" customHeight="1">
      <c r="A27" s="80">
        <f>SUBTOTAL(3,$D$3:D27)</f>
        <v>7</v>
      </c>
      <c r="B27" s="83" t="s">
        <v>307</v>
      </c>
      <c r="C27" s="43" t="s">
        <v>243</v>
      </c>
      <c r="D27" s="42">
        <v>901250206</v>
      </c>
      <c r="E27" s="43" t="s">
        <v>240</v>
      </c>
      <c r="F27" s="43" t="s">
        <v>319</v>
      </c>
      <c r="G27" s="43" t="s">
        <v>266</v>
      </c>
      <c r="H27" s="43" t="s">
        <v>237</v>
      </c>
      <c r="I27" s="43" t="s">
        <v>241</v>
      </c>
      <c r="J27" s="43" t="s">
        <v>123</v>
      </c>
      <c r="K27" s="42" t="s">
        <v>116</v>
      </c>
      <c r="L27" s="42">
        <v>0</v>
      </c>
      <c r="M27" s="42" t="s">
        <v>259</v>
      </c>
      <c r="N27" s="593" t="s">
        <v>120</v>
      </c>
      <c r="O27" s="70">
        <v>0</v>
      </c>
      <c r="P27" s="43" t="s">
        <v>72</v>
      </c>
      <c r="Q27" s="93" t="s">
        <v>78</v>
      </c>
      <c r="R27" s="93" t="s">
        <v>78</v>
      </c>
      <c r="S27" s="44">
        <v>45952</v>
      </c>
      <c r="T27" s="250">
        <v>46682</v>
      </c>
      <c r="U27" s="250">
        <v>47003</v>
      </c>
      <c r="V27" s="44">
        <v>47004</v>
      </c>
      <c r="W27" s="255">
        <f>Table13[[#This Row],[نهاية المشروع المعدلة PMO LIVE]]-Table13[[#This Row],[نهاية المشروع المعدلة EPPM]]</f>
        <v>1</v>
      </c>
      <c r="X27" s="872" t="s">
        <v>672</v>
      </c>
      <c r="Y27" s="253">
        <v>47115</v>
      </c>
      <c r="Z27" s="44">
        <f>_xlfn.XLOOKUP(Table13[[#This Row],[PO]],Table156101114[PO],Table156101114[[النهاية المتوقعة ]],0)</f>
        <v>47122</v>
      </c>
      <c r="AA27" s="719">
        <f>Table13[[#This Row],[النهاية طبقاً للتحديث الاسبوعي الحالي]]-Table13[[#This Row],[النهاية طبقاً للتحديث الاسبوعي السابق]]</f>
        <v>7</v>
      </c>
      <c r="AB27" s="522">
        <v>26462318</v>
      </c>
      <c r="AC27" s="109">
        <v>30431665.699999999</v>
      </c>
      <c r="AD27" s="258">
        <v>0.20899999999999999</v>
      </c>
      <c r="AE27" s="258">
        <v>0.30249999999999999</v>
      </c>
      <c r="AF27" s="90">
        <f>_xlfn.XLOOKUP(Table13[[#This Row],[PO]],Table156101114[PO],Table156101114[المخطط % 15 اكتوبر2026],0)</f>
        <v>0.19839999999999999</v>
      </c>
      <c r="AG27" s="90">
        <f>_xlfn.XLOOKUP(Table13[[#This Row],[PO]],Table156101114[PO],Table156101114[Act %],0)</f>
        <v>0.31190000000000001</v>
      </c>
      <c r="AH27" s="628">
        <f>Table13[[#This Row],[المخطط % التراكمي]]-Table13[[#This Row],[المخطط % - الإسبوع السابق ]]</f>
        <v>-1.0599999999999998E-2</v>
      </c>
      <c r="AI27" s="629">
        <f>Table13[[#This Row],[المنفذ % التراكمي]]-Table13[[#This Row],[المنفذ % - الإسبوع السابق]]</f>
        <v>9.4000000000000195E-3</v>
      </c>
      <c r="AJ27" s="274">
        <f>Table13[[#This Row],[المنفذ % التراكمي]]-Table13[[#This Row],[المخطط % التراكمي]]</f>
        <v>0.11350000000000002</v>
      </c>
      <c r="AK27" s="636"/>
      <c r="AL27" s="636"/>
      <c r="AM27" s="673"/>
      <c r="AN27" s="673"/>
      <c r="AO27" s="673"/>
      <c r="AP27" s="673"/>
      <c r="AQ27" s="107">
        <f>_xlfn.XLOOKUP(Table13[[#This Row],[PO]],Table156101114[PO],Table156101114[TF],0)</f>
        <v>-101</v>
      </c>
      <c r="AR27" s="276">
        <f>Table13[[#This Row],[نسبة الإنجاز المتبقية %]]/(Table13[[#This Row],[مدة المشروع المتبقية بالشهور]])</f>
        <v>2.9744956772334286E-2</v>
      </c>
      <c r="AS27" s="70">
        <v>0.20960553531251491</v>
      </c>
      <c r="AT27" s="70">
        <f>Table13[[#This Row],[نسبة المخطط التراكمي حتى 31 أكتوبر 2026]]-9.9%</f>
        <v>0.11060553531251491</v>
      </c>
      <c r="AU27" s="446">
        <v>0</v>
      </c>
      <c r="AV27" s="70">
        <v>0</v>
      </c>
      <c r="AW27" s="449">
        <v>0</v>
      </c>
      <c r="AX27" s="440">
        <f>100%-Table13[[#This Row],[المنفذ % التراكمي]]</f>
        <v>0.68809999999999993</v>
      </c>
      <c r="AY27" s="440">
        <f>100%-Table13[[#This Row],[نسبة المدة المنقضية %]]</f>
        <v>0.65969581749049433</v>
      </c>
      <c r="AZ27" s="70">
        <f>_xlfn.XLOOKUP(Table13[[#This Row],[PO]],Table156101114[PO],Table156101114[المدة المنقضية],0)</f>
        <v>0.34030418250950573</v>
      </c>
      <c r="BA27" s="70" t="s">
        <v>122</v>
      </c>
      <c r="BB27" s="108" t="s">
        <v>122</v>
      </c>
      <c r="BC27" s="96">
        <f>_xlfn.XLOOKUP(Table13[[#This Row],[PO]],Table156101114[PO],Table156101114[SPI],0)</f>
        <v>1.572076612903226</v>
      </c>
      <c r="BD27" s="356">
        <f>Table13[[#This Row],[نسبة المدة المنقضية %]]*Table13[[#This Row],[مدة المشروع الكلية بالشهور]]</f>
        <v>11.933333333333335</v>
      </c>
      <c r="BE27" s="357">
        <f>Table13[[#This Row],[نسبة المدة المتبقية %]]*Table13[[#This Row],[مدة المشروع الكلية بالشهور]]</f>
        <v>23.133333333333336</v>
      </c>
      <c r="BF27" s="357">
        <f>(Table13[[#This Row],[نهاية المشروع المعدلة PMO LIVE]]-Table13[[#This Row],[بداية المشروع التعاقدية]])</f>
        <v>1052</v>
      </c>
      <c r="BG27" s="358">
        <f>(Table13[[#This Row],[نهاية المشروع المعدلة PMO LIVE]]-Table13[[#This Row],[بداية المشروع التعاقدية]])/30</f>
        <v>35.06666666666667</v>
      </c>
      <c r="BH27" s="261">
        <f>1.25*Table13[[#This Row],[مدة المشروع بالايام]]</f>
        <v>1315</v>
      </c>
      <c r="BI27" s="621">
        <f>Table13[[#This Row],[125%من مدة المشروع]]+Table13[[#This Row],[بداية المشروع التعاقدية]]</f>
        <v>47267</v>
      </c>
      <c r="BJ27" s="651">
        <f>Table13[[#This Row],[قيمة المشروع بالضريبة]]*Table13[[#This Row],[المخطط % التراكمي]]</f>
        <v>6037642.4748799996</v>
      </c>
      <c r="BK27" s="270">
        <f>Table13[[#This Row],[قيمة المشروع بالضريبة]]*Table13[[#This Row],[المنفذ % التراكمي]]</f>
        <v>9491636.5318299998</v>
      </c>
      <c r="BL27" s="318">
        <f>Table13[[#This Row],[نسبة الإنجاز المتبقية %]]*Table13[[#This Row],[قيمة المشروع بالضريبة]]</f>
        <v>20940029.168169998</v>
      </c>
      <c r="BM27" s="318">
        <f>Table13[[#This Row],[نسبة الإيقاف%]]*Table13[[#This Row],[قيمة المشروع بالضريبة]]</f>
        <v>0</v>
      </c>
      <c r="BN27" s="319">
        <f>Table13[[#This Row],[Suspended Budget]]/Table13[[#This Row],[Remaining Budget]]</f>
        <v>0</v>
      </c>
      <c r="BQ27" s="903"/>
      <c r="BR27" s="904"/>
      <c r="BS27" s="904"/>
    </row>
    <row r="28" spans="1:71" s="320" customFormat="1" ht="30" hidden="1" customHeight="1">
      <c r="A28" s="80">
        <f>SUBTOTAL(3,$D$3:D28)</f>
        <v>7</v>
      </c>
      <c r="B28" s="83" t="s">
        <v>290</v>
      </c>
      <c r="C28" s="43" t="s">
        <v>204</v>
      </c>
      <c r="D28" s="42">
        <v>901250210</v>
      </c>
      <c r="E28" s="43" t="s">
        <v>133</v>
      </c>
      <c r="F28" s="43" t="s">
        <v>318</v>
      </c>
      <c r="G28" s="152" t="s">
        <v>159</v>
      </c>
      <c r="H28" s="43" t="s">
        <v>161</v>
      </c>
      <c r="I28" s="663" t="s">
        <v>134</v>
      </c>
      <c r="J28" s="43" t="s">
        <v>111</v>
      </c>
      <c r="K28" s="42" t="s">
        <v>116</v>
      </c>
      <c r="L28" s="42">
        <v>0</v>
      </c>
      <c r="M28" s="42" t="s">
        <v>259</v>
      </c>
      <c r="N28" s="593" t="s">
        <v>121</v>
      </c>
      <c r="O28" s="70">
        <v>0</v>
      </c>
      <c r="P28" s="43" t="s">
        <v>72</v>
      </c>
      <c r="Q28" s="93" t="s">
        <v>78</v>
      </c>
      <c r="R28" s="93" t="s">
        <v>78</v>
      </c>
      <c r="S28" s="44">
        <v>45868</v>
      </c>
      <c r="T28" s="250">
        <v>46962</v>
      </c>
      <c r="U28" s="250">
        <v>47303</v>
      </c>
      <c r="V28" s="44">
        <v>47302</v>
      </c>
      <c r="W28" s="255">
        <f>Table13[[#This Row],[نهاية المشروع المعدلة PMO LIVE]]-Table13[[#This Row],[نهاية المشروع المعدلة EPPM]]</f>
        <v>-1</v>
      </c>
      <c r="X28" s="255" t="s">
        <v>169</v>
      </c>
      <c r="Y28" s="253">
        <v>47451</v>
      </c>
      <c r="Z28" s="89">
        <f>_xlfn.XLOOKUP(Table13[[#This Row],[PO]],Table156101114[PO],Table156101114[[النهاية المتوقعة ]],0)</f>
        <v>47451</v>
      </c>
      <c r="AA28" s="715">
        <f>Table13[[#This Row],[النهاية طبقاً للتحديث الاسبوعي الحالي]]-Table13[[#This Row],[النهاية طبقاً للتحديث الاسبوعي السابق]]</f>
        <v>0</v>
      </c>
      <c r="AB28" s="522">
        <v>101528690</v>
      </c>
      <c r="AC28" s="109">
        <v>116757993.5</v>
      </c>
      <c r="AD28" s="258">
        <v>8.7099999999999997E-2</v>
      </c>
      <c r="AE28" s="258">
        <v>0.1305</v>
      </c>
      <c r="AF28" s="90">
        <f>_xlfn.XLOOKUP(Table13[[#This Row],[PO]],Table156101114[PO],Table156101114[المخطط % 15 اكتوبر2026],0)</f>
        <v>8.7099999999999997E-2</v>
      </c>
      <c r="AG28" s="90">
        <f>_xlfn.XLOOKUP(Table13[[#This Row],[PO]],Table156101114[PO],Table156101114[Act %],0)</f>
        <v>0.13519999999999999</v>
      </c>
      <c r="AH28" s="627">
        <f>Table13[[#This Row],[المخطط % التراكمي]]-Table13[[#This Row],[المخطط % - الإسبوع السابق ]]</f>
        <v>0</v>
      </c>
      <c r="AI28" s="627">
        <f>Table13[[#This Row],[المنفذ % التراكمي]]-Table13[[#This Row],[المنفذ % - الإسبوع السابق]]</f>
        <v>4.699999999999982E-3</v>
      </c>
      <c r="AJ28" s="274">
        <f>Table13[[#This Row],[المنفذ % التراكمي]]-Table13[[#This Row],[المخطط % التراكمي]]</f>
        <v>4.809999999999999E-2</v>
      </c>
      <c r="AK28" s="635"/>
      <c r="AL28" s="635"/>
      <c r="AM28" s="258"/>
      <c r="AN28" s="258"/>
      <c r="AO28" s="258"/>
      <c r="AP28" s="258"/>
      <c r="AQ28" s="91">
        <f>_xlfn.XLOOKUP(Table13[[#This Row],[PO]],Table156101114[PO],Table156101114[TF],0)</f>
        <v>-126</v>
      </c>
      <c r="AR28" s="276">
        <f>Table13[[#This Row],[نسبة الإنجاز المتبقية %]]/(Table13[[#This Row],[مدة المشروع المتبقية بالشهور]])</f>
        <v>2.6153225806451616E-2</v>
      </c>
      <c r="AS28" s="70">
        <v>9.0943119407055448E-2</v>
      </c>
      <c r="AT28" s="70">
        <v>0</v>
      </c>
      <c r="AU28" s="446">
        <v>0</v>
      </c>
      <c r="AV28" s="70">
        <v>0</v>
      </c>
      <c r="AW28" s="449">
        <v>0</v>
      </c>
      <c r="AX28" s="440">
        <f>100%-Table13[[#This Row],[المنفذ % التراكمي]]</f>
        <v>0.86480000000000001</v>
      </c>
      <c r="AY28" s="440">
        <f>100%-Table13[[#This Row],[نسبة المدة المنقضية %]]</f>
        <v>0.69177126917712695</v>
      </c>
      <c r="AZ28" s="70">
        <f>_xlfn.XLOOKUP(Table13[[#This Row],[PO]],Table156101114[PO],Table156101114[المدة المنقضية],0)</f>
        <v>0.30822873082287311</v>
      </c>
      <c r="BA28" s="70" t="s">
        <v>122</v>
      </c>
      <c r="BB28" s="108" t="s">
        <v>122</v>
      </c>
      <c r="BC28" s="96">
        <f>_xlfn.XLOOKUP(Table13[[#This Row],[PO]],Table156101114[PO],Table156101114[SPI],0)</f>
        <v>1.5522388059701491</v>
      </c>
      <c r="BD28" s="356">
        <f>Table13[[#This Row],[نسبة المدة المنقضية %]]*Table13[[#This Row],[مدة المشروع الكلية بالشهور]]</f>
        <v>14.733333333333334</v>
      </c>
      <c r="BE28" s="357">
        <f>Table13[[#This Row],[نسبة المدة المتبقية %]]*Table13[[#This Row],[مدة المشروع الكلية بالشهور]]</f>
        <v>33.066666666666663</v>
      </c>
      <c r="BF28" s="357">
        <f>(Table13[[#This Row],[نهاية المشروع المعدلة PMO LIVE]]-Table13[[#This Row],[بداية المشروع التعاقدية]])</f>
        <v>1434</v>
      </c>
      <c r="BG28" s="358">
        <f>(Table13[[#This Row],[نهاية المشروع المعدلة PMO LIVE]]-Table13[[#This Row],[بداية المشروع التعاقدية]])/30</f>
        <v>47.8</v>
      </c>
      <c r="BH28" s="261">
        <f>1.25*Table13[[#This Row],[مدة المشروع بالايام]]</f>
        <v>1792.5</v>
      </c>
      <c r="BI28" s="621">
        <f>Table13[[#This Row],[125%من مدة المشروع]]+Table13[[#This Row],[بداية المشروع التعاقدية]]</f>
        <v>47660.5</v>
      </c>
      <c r="BJ28" s="651">
        <f>Table13[[#This Row],[قيمة المشروع بالضريبة]]*Table13[[#This Row],[المخطط % التراكمي]]</f>
        <v>10169621.23385</v>
      </c>
      <c r="BK28" s="270">
        <f>Table13[[#This Row],[قيمة المشروع بالضريبة]]*Table13[[#This Row],[المنفذ % التراكمي]]</f>
        <v>15785680.721199999</v>
      </c>
      <c r="BL28" s="318">
        <f>Table13[[#This Row],[نسبة الإنجاز المتبقية %]]*Table13[[#This Row],[قيمة المشروع بالضريبة]]</f>
        <v>100972312.7788</v>
      </c>
      <c r="BM28" s="318">
        <f>Table13[[#This Row],[نسبة الإيقاف%]]*Table13[[#This Row],[قيمة المشروع بالضريبة]]</f>
        <v>0</v>
      </c>
      <c r="BN28" s="319">
        <f>Table13[[#This Row],[Suspended Budget]]/Table13[[#This Row],[Remaining Budget]]</f>
        <v>0</v>
      </c>
      <c r="BQ28" s="903"/>
      <c r="BR28" s="904"/>
      <c r="BS28" s="904"/>
    </row>
    <row r="29" spans="1:71" ht="30" hidden="1" customHeight="1">
      <c r="A29" s="79">
        <f>SUBTOTAL(3,$D$3:D29)</f>
        <v>7</v>
      </c>
      <c r="B29" s="85" t="s">
        <v>306</v>
      </c>
      <c r="C29" s="34" t="s">
        <v>232</v>
      </c>
      <c r="D29" s="48">
        <v>901250290</v>
      </c>
      <c r="E29" s="34" t="s">
        <v>190</v>
      </c>
      <c r="F29" s="34" t="s">
        <v>321</v>
      </c>
      <c r="G29" s="34" t="s">
        <v>151</v>
      </c>
      <c r="H29" s="34" t="s">
        <v>156</v>
      </c>
      <c r="I29" s="34" t="s">
        <v>191</v>
      </c>
      <c r="J29" s="34" t="s">
        <v>123</v>
      </c>
      <c r="K29" s="48" t="s">
        <v>73</v>
      </c>
      <c r="L29" s="48">
        <v>0</v>
      </c>
      <c r="M29" s="48" t="s">
        <v>259</v>
      </c>
      <c r="N29" s="594" t="s">
        <v>120</v>
      </c>
      <c r="O29" s="69">
        <v>0</v>
      </c>
      <c r="P29" s="34" t="s">
        <v>72</v>
      </c>
      <c r="Q29" s="93" t="s">
        <v>78</v>
      </c>
      <c r="R29" s="93" t="s">
        <v>78</v>
      </c>
      <c r="S29" s="49">
        <v>45939</v>
      </c>
      <c r="T29" s="249">
        <v>47034</v>
      </c>
      <c r="U29" s="249">
        <v>47309</v>
      </c>
      <c r="V29" s="49">
        <v>47309</v>
      </c>
      <c r="W29" s="254">
        <f>Table13[[#This Row],[نهاية المشروع المعدلة PMO LIVE]]-Table13[[#This Row],[نهاية المشروع المعدلة EPPM]]</f>
        <v>0</v>
      </c>
      <c r="X29" s="254" t="s">
        <v>169</v>
      </c>
      <c r="Y29" s="252">
        <v>47482</v>
      </c>
      <c r="Z29" s="49">
        <f>_xlfn.XLOOKUP(Table13[[#This Row],[PO]],Table156101114[PO],Table156101114[[النهاية المتوقعة ]],0)</f>
        <v>47486</v>
      </c>
      <c r="AA29" s="716">
        <f>Table13[[#This Row],[النهاية طبقاً للتحديث الاسبوعي الحالي]]-Table13[[#This Row],[النهاية طبقاً للتحديث الاسبوعي السابق]]</f>
        <v>4</v>
      </c>
      <c r="AB29" s="523">
        <v>62999999</v>
      </c>
      <c r="AC29" s="110">
        <v>72449998.849999994</v>
      </c>
      <c r="AD29" s="257">
        <v>4.9099999999999998E-2</v>
      </c>
      <c r="AE29" s="257">
        <v>9.1600000000000001E-2</v>
      </c>
      <c r="AF29" s="47">
        <f>_xlfn.XLOOKUP(Table13[[#This Row],[PO]],Table156101114[PO],Table156101114[المخطط % 15 اكتوبر2026],0)</f>
        <v>5.0599999999999999E-2</v>
      </c>
      <c r="AG29" s="47">
        <f>_xlfn.XLOOKUP(Table13[[#This Row],[PO]],Table156101114[PO],Table156101114[Act %],0)</f>
        <v>9.64E-2</v>
      </c>
      <c r="AH29" s="630">
        <f>Table13[[#This Row],[المخطط % التراكمي]]-Table13[[#This Row],[المخطط % - الإسبوع السابق ]]</f>
        <v>1.5000000000000013E-3</v>
      </c>
      <c r="AI29" s="630">
        <f>Table13[[#This Row],[المنفذ % التراكمي]]-Table13[[#This Row],[المنفذ % - الإسبوع السابق]]</f>
        <v>4.7999999999999987E-3</v>
      </c>
      <c r="AJ29" s="102">
        <f>Table13[[#This Row],[المنفذ % التراكمي]]-Table13[[#This Row],[المخطط % التراكمي]]</f>
        <v>4.58E-2</v>
      </c>
      <c r="AK29" s="634"/>
      <c r="AL29" s="634"/>
      <c r="AM29" s="674"/>
      <c r="AN29" s="674"/>
      <c r="AO29" s="674"/>
      <c r="AP29" s="674"/>
      <c r="AQ29" s="103">
        <f>_xlfn.XLOOKUP(Table13[[#This Row],[PO]],Table156101114[PO],Table156101114[TF],0)</f>
        <v>-152</v>
      </c>
      <c r="AR29" s="277">
        <f>Table13[[#This Row],[نسبة الإنجاز المتبقية %]]/(Table13[[#This Row],[مدة المشروع المتبقية بالشهور]])</f>
        <v>2.7135135135135137E-2</v>
      </c>
      <c r="AS29" s="69">
        <v>5.369956339205656E-2</v>
      </c>
      <c r="AT29" s="69">
        <v>0</v>
      </c>
      <c r="AU29" s="445">
        <v>0</v>
      </c>
      <c r="AV29" s="69">
        <v>0</v>
      </c>
      <c r="AW29" s="448">
        <v>0</v>
      </c>
      <c r="AX29" s="439">
        <f>100%-Table13[[#This Row],[المنفذ % التراكمي]]</f>
        <v>0.90359999999999996</v>
      </c>
      <c r="AY29" s="439">
        <f>100%-Table13[[#This Row],[نسبة المدة المنقضية %]]</f>
        <v>0.72919708029197072</v>
      </c>
      <c r="AZ29" s="69">
        <f>_xlfn.XLOOKUP(Table13[[#This Row],[PO]],Table156101114[PO],Table156101114[المدة المنقضية],0)</f>
        <v>0.27080291970802922</v>
      </c>
      <c r="BA29" s="69" t="s">
        <v>122</v>
      </c>
      <c r="BB29" s="105" t="s">
        <v>122</v>
      </c>
      <c r="BC29" s="95">
        <f>_xlfn.XLOOKUP(Table13[[#This Row],[PO]],Table156101114[PO],Table156101114[SPI],0)</f>
        <v>1.9051383399209487</v>
      </c>
      <c r="BD29" s="359">
        <f>Table13[[#This Row],[نسبة المدة المنقضية %]]*Table13[[#This Row],[مدة المشروع الكلية بالشهور]]</f>
        <v>12.366666666666667</v>
      </c>
      <c r="BE29" s="360">
        <f>Table13[[#This Row],[نسبة المدة المتبقية %]]*Table13[[#This Row],[مدة المشروع الكلية بالشهور]]</f>
        <v>33.299999999999997</v>
      </c>
      <c r="BF29" s="360">
        <f>(Table13[[#This Row],[نهاية المشروع المعدلة PMO LIVE]]-Table13[[#This Row],[بداية المشروع التعاقدية]])</f>
        <v>1370</v>
      </c>
      <c r="BG29" s="361">
        <f>(Table13[[#This Row],[نهاية المشروع المعدلة PMO LIVE]]-Table13[[#This Row],[بداية المشروع التعاقدية]])/30</f>
        <v>45.666666666666664</v>
      </c>
      <c r="BH29" s="260">
        <f>1.25*Table13[[#This Row],[مدة المشروع بالايام]]</f>
        <v>1712.5</v>
      </c>
      <c r="BI29" s="495">
        <f>Table13[[#This Row],[125%من مدة المشروع]]+Table13[[#This Row],[بداية المشروع التعاقدية]]</f>
        <v>47651.5</v>
      </c>
      <c r="BJ29" s="648">
        <f>Table13[[#This Row],[قيمة المشروع بالضريبة]]*Table13[[#This Row],[المخطط % التراكمي]]</f>
        <v>3665969.9418099998</v>
      </c>
      <c r="BK29" s="269">
        <f>Table13[[#This Row],[قيمة المشروع بالضريبة]]*Table13[[#This Row],[المنفذ % التراكمي]]</f>
        <v>6984179.8891399996</v>
      </c>
      <c r="BL29" s="316">
        <f>Table13[[#This Row],[نسبة الإنجاز المتبقية %]]*Table13[[#This Row],[قيمة المشروع بالضريبة]]</f>
        <v>65465818.960859992</v>
      </c>
      <c r="BM29" s="316">
        <f>Table13[[#This Row],[نسبة الإيقاف%]]*Table13[[#This Row],[قيمة المشروع بالضريبة]]</f>
        <v>0</v>
      </c>
      <c r="BN29" s="317">
        <f>Table13[[#This Row],[Suspended Budget]]/Table13[[#This Row],[Remaining Budget]]</f>
        <v>0</v>
      </c>
      <c r="BQ29" s="903"/>
      <c r="BR29" s="904"/>
      <c r="BS29" s="918"/>
    </row>
    <row r="30" spans="1:71" s="322" customFormat="1" ht="30" hidden="1" customHeight="1">
      <c r="A30" s="80">
        <f>SUBTOTAL(3,$D$3:D30)</f>
        <v>7</v>
      </c>
      <c r="B30" s="83" t="s">
        <v>293</v>
      </c>
      <c r="C30" s="43" t="s">
        <v>209</v>
      </c>
      <c r="D30" s="42">
        <v>901250150</v>
      </c>
      <c r="E30" s="43" t="s">
        <v>131</v>
      </c>
      <c r="F30" s="43" t="s">
        <v>321</v>
      </c>
      <c r="G30" s="152" t="s">
        <v>151</v>
      </c>
      <c r="H30" s="152" t="s">
        <v>158</v>
      </c>
      <c r="I30" s="43" t="s">
        <v>132</v>
      </c>
      <c r="J30" s="100" t="s">
        <v>123</v>
      </c>
      <c r="K30" s="42" t="s">
        <v>73</v>
      </c>
      <c r="L30" s="42">
        <v>0</v>
      </c>
      <c r="M30" s="42" t="s">
        <v>259</v>
      </c>
      <c r="N30" s="593" t="s">
        <v>120</v>
      </c>
      <c r="O30" s="70">
        <v>0</v>
      </c>
      <c r="P30" s="43" t="s">
        <v>72</v>
      </c>
      <c r="Q30" s="93" t="s">
        <v>78</v>
      </c>
      <c r="R30" s="93" t="s">
        <v>78</v>
      </c>
      <c r="S30" s="44">
        <v>45868</v>
      </c>
      <c r="T30" s="250">
        <v>46962</v>
      </c>
      <c r="U30" s="250">
        <v>47300</v>
      </c>
      <c r="V30" s="44">
        <v>47299</v>
      </c>
      <c r="W30" s="255">
        <f>Table13[[#This Row],[نهاية المشروع المعدلة PMO LIVE]]-Table13[[#This Row],[نهاية المشروع المعدلة EPPM]]</f>
        <v>-1</v>
      </c>
      <c r="X30" s="255" t="s">
        <v>169</v>
      </c>
      <c r="Y30" s="253">
        <v>47331</v>
      </c>
      <c r="Z30" s="101">
        <f>_xlfn.XLOOKUP(Table13[[#This Row],[PO]],Table156101114[PO],Table156101114[[النهاية المتوقعة ]],0)</f>
        <v>47338</v>
      </c>
      <c r="AA30" s="721">
        <f>Table13[[#This Row],[النهاية طبقاً للتحديث الاسبوعي الحالي]]-Table13[[#This Row],[النهاية طبقاً للتحديث الاسبوعي السابق]]</f>
        <v>7</v>
      </c>
      <c r="AB30" s="524">
        <v>40892454.780000001</v>
      </c>
      <c r="AC30" s="109">
        <v>47026323</v>
      </c>
      <c r="AD30" s="258">
        <v>0.1051</v>
      </c>
      <c r="AE30" s="258">
        <v>0.15409999999999999</v>
      </c>
      <c r="AF30" s="45">
        <f>_xlfn.XLOOKUP(Table13[[#This Row],[PO]],Table156101114[PO],Table156101114[المخطط % 15 اكتوبر2026],0)</f>
        <v>0.10539999999999999</v>
      </c>
      <c r="AG30" s="45">
        <f>_xlfn.XLOOKUP(Table13[[#This Row],[PO]],Table156101114[PO],Table156101114[Act %],0)</f>
        <v>0.15540000000000001</v>
      </c>
      <c r="AH30" s="629">
        <f>Table13[[#This Row],[المخطط % التراكمي]]-Table13[[#This Row],[المخطط % - الإسبوع السابق ]]</f>
        <v>2.9999999999999472E-4</v>
      </c>
      <c r="AI30" s="631">
        <f>Table13[[#This Row],[المنفذ % التراكمي]]-Table13[[#This Row],[المنفذ % - الإسبوع السابق]]</f>
        <v>1.3000000000000234E-3</v>
      </c>
      <c r="AJ30" s="274">
        <f>Table13[[#This Row],[المنفذ % التراكمي]]-Table13[[#This Row],[المخطط % التراكمي]]</f>
        <v>5.0000000000000017E-2</v>
      </c>
      <c r="AK30" s="637"/>
      <c r="AL30" s="637"/>
      <c r="AM30" s="675"/>
      <c r="AN30" s="675"/>
      <c r="AO30" s="675"/>
      <c r="AP30" s="675"/>
      <c r="AQ30" s="486">
        <f>_xlfn.XLOOKUP(Table13[[#This Row],[PO]],Table156101114[PO],Table156101114[TF],0)</f>
        <v>-33</v>
      </c>
      <c r="AR30" s="487">
        <f>Table13[[#This Row],[نسبة الإنجاز المتبقية %]]/(Table13[[#This Row],[مدة المشروع المتبقية بالشهور]])</f>
        <v>2.5619817997977756E-2</v>
      </c>
      <c r="AS30" s="488">
        <v>0.10619649495828264</v>
      </c>
      <c r="AT30" s="488">
        <f>Table13[[#This Row],[نسبة المخطط التراكمي حتى 31 أكتوبر 2026]]-9.9%</f>
        <v>7.1964949582826315E-3</v>
      </c>
      <c r="AU30" s="489">
        <v>0</v>
      </c>
      <c r="AV30" s="488">
        <v>0</v>
      </c>
      <c r="AW30" s="490">
        <v>0</v>
      </c>
      <c r="AX30" s="491">
        <f>100%-Table13[[#This Row],[المنفذ % التراكمي]]</f>
        <v>0.84460000000000002</v>
      </c>
      <c r="AY30" s="491">
        <f>100%-Table13[[#This Row],[نسبة المدة المنقضية %]]</f>
        <v>0.69112508735150247</v>
      </c>
      <c r="AZ30" s="70">
        <f>_xlfn.XLOOKUP(Table13[[#This Row],[PO]],Table156101114[PO],Table156101114[المدة المنقضية],0)</f>
        <v>0.30887491264849753</v>
      </c>
      <c r="BA30" s="70" t="s">
        <v>122</v>
      </c>
      <c r="BB30" s="108" t="s">
        <v>122</v>
      </c>
      <c r="BC30" s="96">
        <f>_xlfn.XLOOKUP(Table13[[#This Row],[PO]],Table156101114[PO],Table156101114[SPI],0)</f>
        <v>1.4743833017077801</v>
      </c>
      <c r="BD30" s="359">
        <f>Table13[[#This Row],[نسبة المدة المنقضية %]]*Table13[[#This Row],[مدة المشروع الكلية بالشهور]]</f>
        <v>14.733333333333333</v>
      </c>
      <c r="BE30" s="360">
        <f>Table13[[#This Row],[نسبة المدة المتبقية %]]*Table13[[#This Row],[مدة المشروع الكلية بالشهور]]</f>
        <v>32.966666666666669</v>
      </c>
      <c r="BF30" s="360">
        <f>(Table13[[#This Row],[نهاية المشروع المعدلة PMO LIVE]]-Table13[[#This Row],[بداية المشروع التعاقدية]])</f>
        <v>1431</v>
      </c>
      <c r="BG30" s="361">
        <f>(Table13[[#This Row],[نهاية المشروع المعدلة PMO LIVE]]-Table13[[#This Row],[بداية المشروع التعاقدية]])/30</f>
        <v>47.7</v>
      </c>
      <c r="BH30" s="260">
        <f>1.25*Table13[[#This Row],[مدة المشروع بالايام]]</f>
        <v>1788.75</v>
      </c>
      <c r="BI30" s="621">
        <f>Table13[[#This Row],[125%من مدة المشروع]]+Table13[[#This Row],[بداية المشروع التعاقدية]]</f>
        <v>47656.75</v>
      </c>
      <c r="BJ30" s="651">
        <f>Table13[[#This Row],[قيمة المشروع بالضريبة]]*Table13[[#This Row],[المخطط % التراكمي]]</f>
        <v>4956574.4441999998</v>
      </c>
      <c r="BK30" s="270">
        <f>Table13[[#This Row],[قيمة المشروع بالضريبة]]*Table13[[#This Row],[المنفذ % التراكمي]]</f>
        <v>7307890.5942000002</v>
      </c>
      <c r="BL30" s="318">
        <f>Table13[[#This Row],[نسبة الإنجاز المتبقية %]]*Table13[[#This Row],[قيمة المشروع بالضريبة]]</f>
        <v>39718432.4058</v>
      </c>
      <c r="BM30" s="318">
        <f>Table13[[#This Row],[نسبة الإيقاف%]]*Table13[[#This Row],[قيمة المشروع بالضريبة]]</f>
        <v>0</v>
      </c>
      <c r="BN30" s="319">
        <f>Table13[[#This Row],[Suspended Budget]]/Table13[[#This Row],[Remaining Budget]]</f>
        <v>0</v>
      </c>
      <c r="BQ30" s="903"/>
      <c r="BR30" s="904"/>
      <c r="BS30" s="904"/>
    </row>
    <row r="31" spans="1:71" ht="30" hidden="1" customHeight="1">
      <c r="A31" s="79">
        <f>SUBTOTAL(3,$D$3:D31)</f>
        <v>7</v>
      </c>
      <c r="B31" s="85" t="s">
        <v>299</v>
      </c>
      <c r="C31" s="34" t="s">
        <v>215</v>
      </c>
      <c r="D31" s="48">
        <v>901250291</v>
      </c>
      <c r="E31" s="34" t="s">
        <v>143</v>
      </c>
      <c r="F31" s="34" t="s">
        <v>321</v>
      </c>
      <c r="G31" s="34" t="s">
        <v>151</v>
      </c>
      <c r="H31" s="34" t="s">
        <v>153</v>
      </c>
      <c r="I31" s="34" t="s">
        <v>147</v>
      </c>
      <c r="J31" s="98" t="s">
        <v>123</v>
      </c>
      <c r="K31" s="48" t="s">
        <v>73</v>
      </c>
      <c r="L31" s="48">
        <v>0</v>
      </c>
      <c r="M31" s="48" t="s">
        <v>259</v>
      </c>
      <c r="N31" s="594" t="s">
        <v>120</v>
      </c>
      <c r="O31" s="69">
        <v>0</v>
      </c>
      <c r="P31" s="34" t="s">
        <v>72</v>
      </c>
      <c r="Q31" s="93" t="s">
        <v>78</v>
      </c>
      <c r="R31" s="93" t="s">
        <v>78</v>
      </c>
      <c r="S31" s="49">
        <v>45902</v>
      </c>
      <c r="T31" s="249">
        <v>46996</v>
      </c>
      <c r="U31" s="249">
        <v>47252</v>
      </c>
      <c r="V31" s="49">
        <v>47252</v>
      </c>
      <c r="W31" s="254">
        <f>Table13[[#This Row],[نهاية المشروع المعدلة PMO LIVE]]-Table13[[#This Row],[نهاية المشروع المعدلة EPPM]]</f>
        <v>0</v>
      </c>
      <c r="X31" s="254" t="s">
        <v>169</v>
      </c>
      <c r="Y31" s="252">
        <v>47407</v>
      </c>
      <c r="Z31" s="99">
        <f>_xlfn.XLOOKUP(Table13[[#This Row],[PO]],Table156101114[PO],Table156101114[[النهاية المتوقعة ]],0)</f>
        <v>47412</v>
      </c>
      <c r="AA31" s="722">
        <f>Table13[[#This Row],[النهاية طبقاً للتحديث الاسبوعي الحالي]]-Table13[[#This Row],[النهاية طبقاً للتحديث الاسبوعي السابق]]</f>
        <v>5</v>
      </c>
      <c r="AB31" s="525">
        <v>72054220</v>
      </c>
      <c r="AC31" s="110">
        <v>82862353</v>
      </c>
      <c r="AD31" s="257">
        <v>8.9800000000000005E-2</v>
      </c>
      <c r="AE31" s="257">
        <v>0.12540000000000001</v>
      </c>
      <c r="AF31" s="81">
        <f>_xlfn.XLOOKUP(Table13[[#This Row],[PO]],Table156101114[PO],Table156101114[المخطط % 15 اكتوبر2026],0)</f>
        <v>9.1300000000000006E-2</v>
      </c>
      <c r="AG31" s="81">
        <f>_xlfn.XLOOKUP(Table13[[#This Row],[PO]],Table156101114[PO],Table156101114[Act %],0)</f>
        <v>0.1263</v>
      </c>
      <c r="AH31" s="627">
        <f>Table13[[#This Row],[المخطط % التراكمي]]-Table13[[#This Row],[المخطط % - الإسبوع السابق ]]</f>
        <v>1.5000000000000013E-3</v>
      </c>
      <c r="AI31" s="632">
        <f>Table13[[#This Row],[المنفذ % التراكمي]]-Table13[[#This Row],[المنفذ % - الإسبوع السابق]]</f>
        <v>8.9999999999998415E-4</v>
      </c>
      <c r="AJ31" s="102">
        <f>Table13[[#This Row],[المنفذ % التراكمي]]-Table13[[#This Row],[المخطط % التراكمي]]</f>
        <v>3.4999999999999989E-2</v>
      </c>
      <c r="AK31" s="638"/>
      <c r="AL31" s="638"/>
      <c r="AM31" s="676"/>
      <c r="AN31" s="676"/>
      <c r="AO31" s="676"/>
      <c r="AP31" s="676"/>
      <c r="AQ31" s="106">
        <f>_xlfn.XLOOKUP(Table13[[#This Row],[PO]],Table156101114[PO],Table156101114[TF],0)</f>
        <v>-137</v>
      </c>
      <c r="AR31" s="277">
        <f>Table13[[#This Row],[نسبة الإنجاز المتبقية %]]/(Table13[[#This Row],[مدة المشروع المتبقية بالشهور]])</f>
        <v>2.7824840764331209E-2</v>
      </c>
      <c r="AS31" s="69">
        <v>9.4324178388763932E-2</v>
      </c>
      <c r="AT31" s="69">
        <v>0</v>
      </c>
      <c r="AU31" s="445">
        <v>0</v>
      </c>
      <c r="AV31" s="69">
        <v>0</v>
      </c>
      <c r="AW31" s="448">
        <v>0</v>
      </c>
      <c r="AX31" s="439">
        <f>100%-Table13[[#This Row],[المنفذ % التراكمي]]</f>
        <v>0.87370000000000003</v>
      </c>
      <c r="AY31" s="439">
        <f>100%-Table13[[#This Row],[نسبة المدة المنقضية %]]</f>
        <v>0.69777777777777783</v>
      </c>
      <c r="AZ31" s="69">
        <f>_xlfn.XLOOKUP(Table13[[#This Row],[PO]],Table156101114[PO],Table156101114[المدة المنقضية],0)</f>
        <v>0.30222222222222223</v>
      </c>
      <c r="BA31" s="69" t="s">
        <v>122</v>
      </c>
      <c r="BB31" s="105" t="s">
        <v>122</v>
      </c>
      <c r="BC31" s="95">
        <f>_xlfn.XLOOKUP(Table13[[#This Row],[PO]],Table156101114[PO],Table156101114[SPI],0)</f>
        <v>1.3833515881708651</v>
      </c>
      <c r="BD31" s="359">
        <f>Table13[[#This Row],[نسبة المدة المنقضية %]]*Table13[[#This Row],[مدة المشروع الكلية بالشهور]]</f>
        <v>13.6</v>
      </c>
      <c r="BE31" s="360">
        <f>Table13[[#This Row],[نسبة المدة المتبقية %]]*Table13[[#This Row],[مدة المشروع الكلية بالشهور]]</f>
        <v>31.400000000000002</v>
      </c>
      <c r="BF31" s="360">
        <f>(Table13[[#This Row],[نهاية المشروع المعدلة PMO LIVE]]-Table13[[#This Row],[بداية المشروع التعاقدية]])</f>
        <v>1350</v>
      </c>
      <c r="BG31" s="361">
        <f>(Table13[[#This Row],[نهاية المشروع المعدلة PMO LIVE]]-Table13[[#This Row],[بداية المشروع التعاقدية]])/30</f>
        <v>45</v>
      </c>
      <c r="BH31" s="260">
        <f>1.25*Table13[[#This Row],[مدة المشروع بالايام]]</f>
        <v>1687.5</v>
      </c>
      <c r="BI31" s="495">
        <f>Table13[[#This Row],[125%من مدة المشروع]]+Table13[[#This Row],[بداية المشروع التعاقدية]]</f>
        <v>47589.5</v>
      </c>
      <c r="BJ31" s="648">
        <f>Table13[[#This Row],[قيمة المشروع بالضريبة]]*Table13[[#This Row],[المخطط % التراكمي]]</f>
        <v>7565332.8289000001</v>
      </c>
      <c r="BK31" s="269">
        <f>Table13[[#This Row],[قيمة المشروع بالضريبة]]*Table13[[#This Row],[المنفذ % التراكمي]]</f>
        <v>10465515.183900001</v>
      </c>
      <c r="BL31" s="316">
        <f>Table13[[#This Row],[نسبة الإنجاز المتبقية %]]*Table13[[#This Row],[قيمة المشروع بالضريبة]]</f>
        <v>72396837.816100001</v>
      </c>
      <c r="BM31" s="316">
        <f>Table13[[#This Row],[نسبة الإيقاف%]]*Table13[[#This Row],[قيمة المشروع بالضريبة]]</f>
        <v>0</v>
      </c>
      <c r="BN31" s="317">
        <f>Table13[[#This Row],[Suspended Budget]]/Table13[[#This Row],[Remaining Budget]]</f>
        <v>0</v>
      </c>
      <c r="BQ31" s="903"/>
      <c r="BR31" s="904"/>
      <c r="BS31" s="904"/>
    </row>
    <row r="32" spans="1:71" ht="30" hidden="1" customHeight="1">
      <c r="A32" s="80">
        <f>SUBTOTAL(3,$D$3:D32)</f>
        <v>7</v>
      </c>
      <c r="B32" s="83">
        <v>10203</v>
      </c>
      <c r="C32" s="43" t="s">
        <v>207</v>
      </c>
      <c r="D32" s="42">
        <v>901230202</v>
      </c>
      <c r="E32" s="43" t="s">
        <v>64</v>
      </c>
      <c r="F32" s="43" t="s">
        <v>321</v>
      </c>
      <c r="G32" s="152" t="s">
        <v>151</v>
      </c>
      <c r="H32" s="152" t="s">
        <v>155</v>
      </c>
      <c r="I32" s="43" t="s">
        <v>13</v>
      </c>
      <c r="J32" s="43" t="s">
        <v>123</v>
      </c>
      <c r="K32" s="42" t="s">
        <v>73</v>
      </c>
      <c r="L32" s="42">
        <v>0</v>
      </c>
      <c r="M32" s="42" t="s">
        <v>259</v>
      </c>
      <c r="N32" s="593" t="s">
        <v>121</v>
      </c>
      <c r="O32" s="70">
        <v>0</v>
      </c>
      <c r="P32" s="43" t="s">
        <v>72</v>
      </c>
      <c r="Q32" s="93" t="s">
        <v>78</v>
      </c>
      <c r="R32" s="93" t="s">
        <v>78</v>
      </c>
      <c r="S32" s="44">
        <v>45288</v>
      </c>
      <c r="T32" s="250">
        <v>46384</v>
      </c>
      <c r="U32" s="250">
        <v>46741</v>
      </c>
      <c r="V32" s="44">
        <v>46741</v>
      </c>
      <c r="W32" s="255">
        <f>Table13[[#This Row],[نهاية المشروع المعدلة PMO LIVE]]-Table13[[#This Row],[نهاية المشروع المعدلة EPPM]]</f>
        <v>0</v>
      </c>
      <c r="X32" s="255" t="s">
        <v>169</v>
      </c>
      <c r="Y32" s="250">
        <v>46916</v>
      </c>
      <c r="Z32" s="44">
        <f>_xlfn.XLOOKUP(Table13[[#This Row],[PO]],Table156101114[PO],Table156101114[[النهاية المتوقعة ]],0)</f>
        <v>46923</v>
      </c>
      <c r="AA32" s="719">
        <f>Table13[[#This Row],[النهاية طبقاً للتحديث الاسبوعي الحالي]]-Table13[[#This Row],[النهاية طبقاً للتحديث الاسبوعي السابق]]</f>
        <v>7</v>
      </c>
      <c r="AB32" s="522">
        <v>101925144.40000001</v>
      </c>
      <c r="AC32" s="109">
        <v>117213916.06</v>
      </c>
      <c r="AD32" s="258">
        <v>0.50600000000000001</v>
      </c>
      <c r="AE32" s="258">
        <v>0.53610000000000002</v>
      </c>
      <c r="AF32" s="45">
        <f>_xlfn.XLOOKUP(Table13[[#This Row],[PO]],Table156101114[PO],Table156101114[المخطط % 15 اكتوبر2026],0)</f>
        <v>0.50649999999999995</v>
      </c>
      <c r="AG32" s="45">
        <f>_xlfn.XLOOKUP(Table13[[#This Row],[PO]],Table156101114[PO],Table156101114[Act %],0)</f>
        <v>0.53890000000000005</v>
      </c>
      <c r="AH32" s="629">
        <f>Table13[[#This Row],[المخطط % التراكمي]]-Table13[[#This Row],[المخطط % - الإسبوع السابق ]]</f>
        <v>4.9999999999994493E-4</v>
      </c>
      <c r="AI32" s="629">
        <f>Table13[[#This Row],[المنفذ % التراكمي]]-Table13[[#This Row],[المنفذ % - الإسبوع السابق]]</f>
        <v>2.8000000000000247E-3</v>
      </c>
      <c r="AJ32" s="51">
        <f>Table13[[#This Row],[المنفذ % التراكمي]]-Table13[[#This Row],[المخطط % التراكمي]]</f>
        <v>3.2400000000000095E-2</v>
      </c>
      <c r="AK32" s="636"/>
      <c r="AL32" s="636"/>
      <c r="AM32" s="673"/>
      <c r="AN32" s="673"/>
      <c r="AO32" s="673"/>
      <c r="AP32" s="673"/>
      <c r="AQ32" s="107">
        <f>_xlfn.XLOOKUP(Table13[[#This Row],[PO]],Table156101114[PO],Table156101114[TF],0)</f>
        <v>156</v>
      </c>
      <c r="AR32" s="276">
        <f>Table13[[#This Row],[نسبة الإنجاز المتبقية %]]/(Table13[[#This Row],[مدة المشروع المتبقية بالشهور]])</f>
        <v>3.2095127610208815E-2</v>
      </c>
      <c r="AS32" s="70">
        <v>0.50874486379180095</v>
      </c>
      <c r="AT32" s="70">
        <f>Table13[[#This Row],[نسبة المخطط التراكمي حتى 31 أكتوبر 2026]]-9.9%</f>
        <v>0.40974486379180097</v>
      </c>
      <c r="AU32" s="446">
        <v>0</v>
      </c>
      <c r="AV32" s="70">
        <f>Table13[[#This Row],[نسبة المخطط التراكمي حتى 31 أكتوبر 2026]]-24.9%</f>
        <v>0.25974486379180095</v>
      </c>
      <c r="AW32" s="449">
        <v>0</v>
      </c>
      <c r="AX32" s="440">
        <f>100%-Table13[[#This Row],[المنفذ % التراكمي]]</f>
        <v>0.46109999999999995</v>
      </c>
      <c r="AY32" s="440">
        <f>100%-Table13[[#This Row],[نسبة المدة المنقضية %]]</f>
        <v>0.29662766689607711</v>
      </c>
      <c r="AZ32" s="70">
        <f>_xlfn.XLOOKUP(Table13[[#This Row],[PO]],Table156101114[PO],Table156101114[المدة المنقضية],0)</f>
        <v>0.70337233310392289</v>
      </c>
      <c r="BA32" s="70" t="s">
        <v>122</v>
      </c>
      <c r="BB32" s="108" t="s">
        <v>122</v>
      </c>
      <c r="BC32" s="96">
        <f>_xlfn.XLOOKUP(Table13[[#This Row],[PO]],Table156101114[PO],Table156101114[SPI],0)</f>
        <v>1.063968410661402</v>
      </c>
      <c r="BD32" s="359">
        <f>Table13[[#This Row],[نسبة المدة المنقضية %]]*Table13[[#This Row],[مدة المشروع الكلية بالشهور]]</f>
        <v>34.066666666666663</v>
      </c>
      <c r="BE32" s="360">
        <f>Table13[[#This Row],[نسبة المدة المتبقية %]]*Table13[[#This Row],[مدة المشروع الكلية بالشهور]]</f>
        <v>14.366666666666667</v>
      </c>
      <c r="BF32" s="360">
        <f>(Table13[[#This Row],[نهاية المشروع المعدلة PMO LIVE]]-Table13[[#This Row],[بداية المشروع التعاقدية]])</f>
        <v>1453</v>
      </c>
      <c r="BG32" s="361">
        <f>(Table13[[#This Row],[نهاية المشروع المعدلة PMO LIVE]]-Table13[[#This Row],[بداية المشروع التعاقدية]])/30</f>
        <v>48.43333333333333</v>
      </c>
      <c r="BH32" s="260">
        <f>1.25*Table13[[#This Row],[مدة المشروع بالايام]]</f>
        <v>1816.25</v>
      </c>
      <c r="BI32" s="621">
        <f>Table13[[#This Row],[125%من مدة المشروع]]+Table13[[#This Row],[بداية المشروع التعاقدية]]</f>
        <v>47104.25</v>
      </c>
      <c r="BJ32" s="648">
        <f>Table13[[#This Row],[قيمة المشروع بالضريبة]]*Table13[[#This Row],[المخطط % التراكمي]]</f>
        <v>59368848.484389998</v>
      </c>
      <c r="BK32" s="269">
        <f>Table13[[#This Row],[قيمة المشروع بالضريبة]]*Table13[[#This Row],[المنفذ % التراكمي]]</f>
        <v>63166579.364734009</v>
      </c>
      <c r="BL32" s="316">
        <f>Table13[[#This Row],[نسبة الإنجاز المتبقية %]]*Table13[[#This Row],[قيمة المشروع بالضريبة]]</f>
        <v>54047336.695265993</v>
      </c>
      <c r="BM32" s="316">
        <f>Table13[[#This Row],[نسبة الإيقاف%]]*Table13[[#This Row],[قيمة المشروع بالضريبة]]</f>
        <v>0</v>
      </c>
      <c r="BN32" s="317">
        <f>Table13[[#This Row],[Suspended Budget]]/Table13[[#This Row],[Remaining Budget]]</f>
        <v>0</v>
      </c>
      <c r="BQ32" s="903"/>
      <c r="BR32" s="904"/>
      <c r="BS32" s="904"/>
    </row>
    <row r="33" spans="1:71" s="321" customFormat="1" ht="30" hidden="1" customHeight="1">
      <c r="A33" s="79">
        <f>SUBTOTAL(3,$D$3:D33)</f>
        <v>7</v>
      </c>
      <c r="B33" s="85" t="s">
        <v>282</v>
      </c>
      <c r="C33" s="34" t="s">
        <v>195</v>
      </c>
      <c r="D33" s="48">
        <v>901240137</v>
      </c>
      <c r="E33" s="34" t="s">
        <v>3</v>
      </c>
      <c r="F33" s="34" t="s">
        <v>318</v>
      </c>
      <c r="G33" s="154" t="s">
        <v>159</v>
      </c>
      <c r="H33" s="154" t="s">
        <v>163</v>
      </c>
      <c r="I33" s="34" t="s">
        <v>29</v>
      </c>
      <c r="J33" s="34" t="s">
        <v>123</v>
      </c>
      <c r="K33" s="48" t="s">
        <v>116</v>
      </c>
      <c r="L33" s="48">
        <v>6</v>
      </c>
      <c r="M33" s="48" t="s">
        <v>259</v>
      </c>
      <c r="N33" s="594" t="s">
        <v>120</v>
      </c>
      <c r="O33" s="69">
        <v>0</v>
      </c>
      <c r="P33" s="34" t="s">
        <v>72</v>
      </c>
      <c r="Q33" s="93" t="s">
        <v>78</v>
      </c>
      <c r="R33" s="93" t="s">
        <v>78</v>
      </c>
      <c r="S33" s="49">
        <v>45565</v>
      </c>
      <c r="T33" s="249">
        <v>46660</v>
      </c>
      <c r="U33" s="249">
        <v>47057</v>
      </c>
      <c r="V33" s="49">
        <v>47057</v>
      </c>
      <c r="W33" s="254">
        <f>Table13[[#This Row],[نهاية المشروع المعدلة PMO LIVE]]-Table13[[#This Row],[نهاية المشروع المعدلة EPPM]]</f>
        <v>0</v>
      </c>
      <c r="X33" s="254" t="s">
        <v>169</v>
      </c>
      <c r="Y33" s="249">
        <v>47241</v>
      </c>
      <c r="Z33" s="49">
        <f>_xlfn.XLOOKUP(Table13[[#This Row],[PO]],Table156101114[PO],Table156101114[[النهاية المتوقعة ]],0)</f>
        <v>47248</v>
      </c>
      <c r="AA33" s="716">
        <f>Table13[[#This Row],[النهاية طبقاً للتحديث الاسبوعي الحالي]]-Table13[[#This Row],[النهاية طبقاً للتحديث الاسبوعي السابق]]</f>
        <v>7</v>
      </c>
      <c r="AB33" s="523">
        <v>25173950</v>
      </c>
      <c r="AC33" s="110">
        <v>28950042.5</v>
      </c>
      <c r="AD33" s="257">
        <v>0.14360000000000001</v>
      </c>
      <c r="AE33" s="257">
        <v>0.151</v>
      </c>
      <c r="AF33" s="47">
        <f>_xlfn.XLOOKUP(Table13[[#This Row],[PO]],Table156101114[PO],Table156101114[المخطط % 15 اكتوبر2026],0)</f>
        <v>0.14369999999999999</v>
      </c>
      <c r="AG33" s="47">
        <f>_xlfn.XLOOKUP(Table13[[#This Row],[PO]],Table156101114[PO],Table156101114[Act %],0)</f>
        <v>0.151</v>
      </c>
      <c r="AH33" s="630">
        <f>Table13[[#This Row],[المخطط % التراكمي]]-Table13[[#This Row],[المخطط % - الإسبوع السابق ]]</f>
        <v>9.9999999999988987E-5</v>
      </c>
      <c r="AI33" s="630">
        <f>Table13[[#This Row],[المنفذ % التراكمي]]-Table13[[#This Row],[المنفذ % - الإسبوع السابق]]</f>
        <v>0</v>
      </c>
      <c r="AJ33" s="51">
        <f>Table13[[#This Row],[المنفذ % التراكمي]]-Table13[[#This Row],[المخطط % التراكمي]]</f>
        <v>7.3000000000000009E-3</v>
      </c>
      <c r="AK33" s="634"/>
      <c r="AL33" s="634"/>
      <c r="AM33" s="674"/>
      <c r="AN33" s="674"/>
      <c r="AO33" s="674"/>
      <c r="AP33" s="674"/>
      <c r="AQ33" s="103">
        <f>_xlfn.XLOOKUP(Table13[[#This Row],[PO]],Table156101114[PO],Table156101114[TF],0)</f>
        <v>-164</v>
      </c>
      <c r="AR33" s="277">
        <f>Table13[[#This Row],[نسبة الإنجاز المتبقية %]]/(Table13[[#This Row],[مدة المشروع المتبقية بالشهور]])</f>
        <v>3.4096385542168671E-2</v>
      </c>
      <c r="AS33" s="69">
        <v>0.15011225135507142</v>
      </c>
      <c r="AT33" s="69">
        <f>Table13[[#This Row],[نسبة المخطط التراكمي حتى 31 أكتوبر 2026]]-9.9%</f>
        <v>5.1112251355071414E-2</v>
      </c>
      <c r="AU33" s="445">
        <v>0</v>
      </c>
      <c r="AV33" s="69">
        <v>0</v>
      </c>
      <c r="AW33" s="448">
        <v>0</v>
      </c>
      <c r="AX33" s="439">
        <f>100%-Table13[[#This Row],[المنفذ % التراكمي]]</f>
        <v>0.84899999999999998</v>
      </c>
      <c r="AY33" s="439">
        <f>100%-Table13[[#This Row],[نسبة المدة المنقضية %]]</f>
        <v>0.50067024128686333</v>
      </c>
      <c r="AZ33" s="69">
        <f>_xlfn.XLOOKUP(Table13[[#This Row],[PO]],Table156101114[PO],Table156101114[المدة المنقضية],0)</f>
        <v>0.49932975871313673</v>
      </c>
      <c r="BA33" s="69" t="s">
        <v>122</v>
      </c>
      <c r="BB33" s="105" t="s">
        <v>122</v>
      </c>
      <c r="BC33" s="95">
        <f>_xlfn.XLOOKUP(Table13[[#This Row],[PO]],Table156101114[PO],Table156101114[SPI],0)</f>
        <v>1.0508002783576897</v>
      </c>
      <c r="BD33" s="359">
        <f>Table13[[#This Row],[نسبة المدة المنقضية %]]*Table13[[#This Row],[مدة المشروع الكلية بالشهور]]</f>
        <v>24.833333333333332</v>
      </c>
      <c r="BE33" s="360">
        <f>Table13[[#This Row],[نسبة المدة المتبقية %]]*Table13[[#This Row],[مدة المشروع الكلية بالشهور]]</f>
        <v>24.900000000000002</v>
      </c>
      <c r="BF33" s="360">
        <f>(Table13[[#This Row],[نهاية المشروع المعدلة PMO LIVE]]-Table13[[#This Row],[بداية المشروع التعاقدية]])</f>
        <v>1492</v>
      </c>
      <c r="BG33" s="361">
        <f>(Table13[[#This Row],[نهاية المشروع المعدلة PMO LIVE]]-Table13[[#This Row],[بداية المشروع التعاقدية]])/30</f>
        <v>49.733333333333334</v>
      </c>
      <c r="BH33" s="260">
        <f>1.25*Table13[[#This Row],[مدة المشروع بالايام]]</f>
        <v>1865</v>
      </c>
      <c r="BI33" s="495">
        <f>Table13[[#This Row],[125%من مدة المشروع]]+Table13[[#This Row],[بداية المشروع التعاقدية]]</f>
        <v>47430</v>
      </c>
      <c r="BJ33" s="648">
        <f>Table13[[#This Row],[قيمة المشروع بالضريبة]]*Table13[[#This Row],[المخطط % التراكمي]]</f>
        <v>4160121.1072499999</v>
      </c>
      <c r="BK33" s="269">
        <f>Table13[[#This Row],[قيمة المشروع بالضريبة]]*Table13[[#This Row],[المنفذ % التراكمي]]</f>
        <v>4371456.4174999995</v>
      </c>
      <c r="BL33" s="316">
        <f>Table13[[#This Row],[نسبة الإنجاز المتبقية %]]*Table13[[#This Row],[قيمة المشروع بالضريبة]]</f>
        <v>24578586.0825</v>
      </c>
      <c r="BM33" s="316">
        <f>Table13[[#This Row],[نسبة الإيقاف%]]*Table13[[#This Row],[قيمة المشروع بالضريبة]]</f>
        <v>0</v>
      </c>
      <c r="BN33" s="317">
        <f>Table13[[#This Row],[Suspended Budget]]/Table13[[#This Row],[Remaining Budget]]</f>
        <v>0</v>
      </c>
      <c r="BQ33" s="903"/>
      <c r="BR33" s="904"/>
      <c r="BS33" s="904"/>
    </row>
    <row r="34" spans="1:71" ht="30" hidden="1" customHeight="1">
      <c r="A34" s="80">
        <f>SUBTOTAL(3,$D$3:D34)</f>
        <v>7</v>
      </c>
      <c r="B34" s="83" t="s">
        <v>284</v>
      </c>
      <c r="C34" s="43" t="s">
        <v>203</v>
      </c>
      <c r="D34" s="42">
        <v>901240090</v>
      </c>
      <c r="E34" s="43" t="s">
        <v>59</v>
      </c>
      <c r="F34" s="43" t="s">
        <v>318</v>
      </c>
      <c r="G34" s="152" t="s">
        <v>159</v>
      </c>
      <c r="H34" s="153" t="s">
        <v>161</v>
      </c>
      <c r="I34" s="43" t="s">
        <v>32</v>
      </c>
      <c r="J34" s="43" t="s">
        <v>111</v>
      </c>
      <c r="K34" s="42" t="s">
        <v>116</v>
      </c>
      <c r="L34" s="42">
        <v>0</v>
      </c>
      <c r="M34" s="42" t="s">
        <v>259</v>
      </c>
      <c r="N34" s="593" t="s">
        <v>121</v>
      </c>
      <c r="O34" s="70">
        <v>0</v>
      </c>
      <c r="P34" s="43" t="s">
        <v>72</v>
      </c>
      <c r="Q34" s="93" t="s">
        <v>78</v>
      </c>
      <c r="R34" s="93" t="s">
        <v>78</v>
      </c>
      <c r="S34" s="44">
        <v>45447</v>
      </c>
      <c r="T34" s="250">
        <v>46542</v>
      </c>
      <c r="U34" s="250">
        <v>46936</v>
      </c>
      <c r="V34" s="44">
        <v>46936</v>
      </c>
      <c r="W34" s="255">
        <f>Table13[[#This Row],[نهاية المشروع المعدلة PMO LIVE]]-Table13[[#This Row],[نهاية المشروع المعدلة EPPM]]</f>
        <v>0</v>
      </c>
      <c r="X34" s="255" t="s">
        <v>169</v>
      </c>
      <c r="Y34" s="253">
        <v>47096</v>
      </c>
      <c r="Z34" s="89">
        <f>_xlfn.XLOOKUP(Table13[[#This Row],[PO]],Table156101114[PO],Table156101114[[النهاية المتوقعة ]],0)</f>
        <v>47103</v>
      </c>
      <c r="AA34" s="715">
        <f>Table13[[#This Row],[النهاية طبقاً للتحديث الاسبوعي الحالي]]-Table13[[#This Row],[النهاية طبقاً للتحديث الاسبوعي السابق]]</f>
        <v>7</v>
      </c>
      <c r="AB34" s="522">
        <v>21591420</v>
      </c>
      <c r="AC34" s="109">
        <v>24830133</v>
      </c>
      <c r="AD34" s="258">
        <v>0.2079</v>
      </c>
      <c r="AE34" s="258">
        <v>0.28670000000000001</v>
      </c>
      <c r="AF34" s="90">
        <f>_xlfn.XLOOKUP(Table13[[#This Row],[PO]],Table156101114[PO],Table156101114[المخطط % 15 اكتوبر2026],0)</f>
        <v>0.2094</v>
      </c>
      <c r="AG34" s="90">
        <f>_xlfn.XLOOKUP(Table13[[#This Row],[PO]],Table156101114[PO],Table156101114[Act %],0)</f>
        <v>0.28789999999999999</v>
      </c>
      <c r="AH34" s="628">
        <f>Table13[[#This Row],[المخطط % التراكمي]]-Table13[[#This Row],[المخطط % - الإسبوع السابق ]]</f>
        <v>1.5000000000000013E-3</v>
      </c>
      <c r="AI34" s="628">
        <f>Table13[[#This Row],[المنفذ % التراكمي]]-Table13[[#This Row],[المنفذ % - الإسبوع السابق]]</f>
        <v>1.1999999999999789E-3</v>
      </c>
      <c r="AJ34" s="274">
        <f>Table13[[#This Row],[المنفذ % التراكمي]]-Table13[[#This Row],[المخطط % التراكمي]]</f>
        <v>7.8499999999999986E-2</v>
      </c>
      <c r="AK34" s="635"/>
      <c r="AL34" s="635"/>
      <c r="AM34" s="258"/>
      <c r="AN34" s="258"/>
      <c r="AO34" s="258"/>
      <c r="AP34" s="258"/>
      <c r="AQ34" s="91">
        <f>_xlfn.XLOOKUP(Table13[[#This Row],[PO]],Table156101114[PO],Table156101114[TF],0)</f>
        <v>-143</v>
      </c>
      <c r="AR34" s="276">
        <f>Table13[[#This Row],[نسبة الإنجاز المتبقية %]]/(Table13[[#This Row],[مدة المشروع المتبقية بالشهور]])</f>
        <v>3.4126198083067091E-2</v>
      </c>
      <c r="AS34" s="70">
        <v>0.21490891150280991</v>
      </c>
      <c r="AT34" s="70">
        <f>Table13[[#This Row],[نسبة المخطط التراكمي حتى 31 أكتوبر 2026]]-9.9%</f>
        <v>0.11590891150280991</v>
      </c>
      <c r="AU34" s="446">
        <v>0</v>
      </c>
      <c r="AV34" s="70">
        <v>0</v>
      </c>
      <c r="AW34" s="449">
        <v>0</v>
      </c>
      <c r="AX34" s="440">
        <f>100%-Table13[[#This Row],[المنفذ % التراكمي]]</f>
        <v>0.71209999999999996</v>
      </c>
      <c r="AY34" s="440">
        <f>100%-Table13[[#This Row],[نسبة المدة المنقضية %]]</f>
        <v>0.42041638683680327</v>
      </c>
      <c r="AZ34" s="70">
        <f>_xlfn.XLOOKUP(Table13[[#This Row],[PO]],Table156101114[PO],Table156101114[المدة المنقضية],0)</f>
        <v>0.57958361316319673</v>
      </c>
      <c r="BA34" s="70" t="s">
        <v>122</v>
      </c>
      <c r="BB34" s="108" t="s">
        <v>122</v>
      </c>
      <c r="BC34" s="96">
        <f>_xlfn.XLOOKUP(Table13[[#This Row],[PO]],Table156101114[PO],Table156101114[SPI],0)</f>
        <v>1.374880611270296</v>
      </c>
      <c r="BD34" s="356">
        <f>Table13[[#This Row],[نسبة المدة المنقضية %]]*Table13[[#This Row],[مدة المشروع الكلية بالشهور]]</f>
        <v>28.766666666666666</v>
      </c>
      <c r="BE34" s="357">
        <f>Table13[[#This Row],[نسبة المدة المتبقية %]]*Table13[[#This Row],[مدة المشروع الكلية بالشهور]]</f>
        <v>20.866666666666667</v>
      </c>
      <c r="BF34" s="357">
        <f>(Table13[[#This Row],[نهاية المشروع المعدلة PMO LIVE]]-Table13[[#This Row],[بداية المشروع التعاقدية]])</f>
        <v>1489</v>
      </c>
      <c r="BG34" s="358">
        <f>(Table13[[#This Row],[نهاية المشروع المعدلة PMO LIVE]]-Table13[[#This Row],[بداية المشروع التعاقدية]])/30</f>
        <v>49.633333333333333</v>
      </c>
      <c r="BH34" s="261">
        <f>1.25*Table13[[#This Row],[مدة المشروع بالايام]]</f>
        <v>1861.25</v>
      </c>
      <c r="BI34" s="621">
        <f>Table13[[#This Row],[125%من مدة المشروع]]+Table13[[#This Row],[بداية المشروع التعاقدية]]</f>
        <v>47308.25</v>
      </c>
      <c r="BJ34" s="651">
        <f>Table13[[#This Row],[قيمة المشروع بالضريبة]]*Table13[[#This Row],[المخطط % التراكمي]]</f>
        <v>5199429.8502000002</v>
      </c>
      <c r="BK34" s="270">
        <f>Table13[[#This Row],[قيمة المشروع بالضريبة]]*Table13[[#This Row],[المنفذ % التراكمي]]</f>
        <v>7148595.2906999998</v>
      </c>
      <c r="BL34" s="318">
        <f>Table13[[#This Row],[نسبة الإنجاز المتبقية %]]*Table13[[#This Row],[قيمة المشروع بالضريبة]]</f>
        <v>17681537.7093</v>
      </c>
      <c r="BM34" s="318">
        <f>Table13[[#This Row],[نسبة الإيقاف%]]*Table13[[#This Row],[قيمة المشروع بالضريبة]]</f>
        <v>0</v>
      </c>
      <c r="BN34" s="319">
        <f>Table13[[#This Row],[Suspended Budget]]/Table13[[#This Row],[Remaining Budget]]</f>
        <v>0</v>
      </c>
      <c r="BQ34" s="903"/>
      <c r="BR34" s="904"/>
      <c r="BS34" s="918"/>
    </row>
    <row r="35" spans="1:71" s="322" customFormat="1" ht="30" hidden="1" customHeight="1">
      <c r="A35" s="80">
        <f>SUBTOTAL(3,$D$3:D35)</f>
        <v>7</v>
      </c>
      <c r="B35" s="83" t="s">
        <v>308</v>
      </c>
      <c r="C35" s="43" t="s">
        <v>245</v>
      </c>
      <c r="D35" s="42">
        <v>901250199</v>
      </c>
      <c r="E35" s="43" t="s">
        <v>244</v>
      </c>
      <c r="F35" s="43" t="s">
        <v>318</v>
      </c>
      <c r="G35" s="43" t="s">
        <v>159</v>
      </c>
      <c r="H35" s="43" t="s">
        <v>408</v>
      </c>
      <c r="I35" s="43" t="s">
        <v>241</v>
      </c>
      <c r="J35" s="43" t="s">
        <v>123</v>
      </c>
      <c r="K35" s="42" t="s">
        <v>116</v>
      </c>
      <c r="L35" s="42">
        <v>0</v>
      </c>
      <c r="M35" s="42" t="s">
        <v>259</v>
      </c>
      <c r="N35" s="593" t="s">
        <v>120</v>
      </c>
      <c r="O35" s="70">
        <v>0</v>
      </c>
      <c r="P35" s="43" t="s">
        <v>72</v>
      </c>
      <c r="Q35" s="93" t="s">
        <v>78</v>
      </c>
      <c r="R35" s="93" t="s">
        <v>78</v>
      </c>
      <c r="S35" s="44">
        <v>45949</v>
      </c>
      <c r="T35" s="250">
        <v>47044</v>
      </c>
      <c r="U35" s="250">
        <v>47301</v>
      </c>
      <c r="V35" s="44">
        <v>47301</v>
      </c>
      <c r="W35" s="255">
        <f>Table13[[#This Row],[نهاية المشروع المعدلة PMO LIVE]]-Table13[[#This Row],[نهاية المشروع المعدلة EPPM]]</f>
        <v>0</v>
      </c>
      <c r="X35" s="255" t="s">
        <v>169</v>
      </c>
      <c r="Y35" s="253">
        <v>47440</v>
      </c>
      <c r="Z35" s="44">
        <f>_xlfn.XLOOKUP(Table13[[#This Row],[PO]],Table156101114[PO],Table156101114[[النهاية المتوقعة ]],0)</f>
        <v>47447</v>
      </c>
      <c r="AA35" s="719">
        <f>Table13[[#This Row],[النهاية طبقاً للتحديث الاسبوعي الحالي]]-Table13[[#This Row],[النهاية طبقاً للتحديث الاسبوعي السابق]]</f>
        <v>7</v>
      </c>
      <c r="AB35" s="522">
        <v>32985994</v>
      </c>
      <c r="AC35" s="109">
        <v>37933893.100000001</v>
      </c>
      <c r="AD35" s="258">
        <v>6.7199999999999996E-2</v>
      </c>
      <c r="AE35" s="258">
        <v>8.4699999999999998E-2</v>
      </c>
      <c r="AF35" s="90">
        <f>_xlfn.XLOOKUP(Table13[[#This Row],[PO]],Table156101114[PO],Table156101114[المخطط % 15 اكتوبر2026],0)</f>
        <v>7.0599999999999996E-2</v>
      </c>
      <c r="AG35" s="90">
        <f>_xlfn.XLOOKUP(Table13[[#This Row],[PO]],Table156101114[PO],Table156101114[Act %],0)</f>
        <v>8.4699999999999998E-2</v>
      </c>
      <c r="AH35" s="628">
        <f>Table13[[#This Row],[المخطط % التراكمي]]-Table13[[#This Row],[المخطط % - الإسبوع السابق ]]</f>
        <v>3.4000000000000002E-3</v>
      </c>
      <c r="AI35" s="629">
        <f>Table13[[#This Row],[المنفذ % التراكمي]]-Table13[[#This Row],[المنفذ % - الإسبوع السابق]]</f>
        <v>0</v>
      </c>
      <c r="AJ35" s="102">
        <f>Table13[[#This Row],[المنفذ % التراكمي]]-Table13[[#This Row],[المخطط % التراكمي]]</f>
        <v>1.4100000000000001E-2</v>
      </c>
      <c r="AK35" s="636"/>
      <c r="AL35" s="636"/>
      <c r="AM35" s="673"/>
      <c r="AN35" s="673"/>
      <c r="AO35" s="673"/>
      <c r="AP35" s="673"/>
      <c r="AQ35" s="107">
        <f>_xlfn.XLOOKUP(Table13[[#This Row],[PO]],Table156101114[PO],Table156101114[TF],0)</f>
        <v>-125</v>
      </c>
      <c r="AR35" s="276">
        <f>Table13[[#This Row],[نسبة الإنجاز المتبقية %]]/(Table13[[#This Row],[مدة المشروع المتبقية بالشهور]])</f>
        <v>2.7708375378405651E-2</v>
      </c>
      <c r="AS35" s="70">
        <v>7.4861445509831079E-2</v>
      </c>
      <c r="AT35" s="70">
        <v>0</v>
      </c>
      <c r="AU35" s="446">
        <v>0</v>
      </c>
      <c r="AV35" s="70">
        <v>0</v>
      </c>
      <c r="AW35" s="449">
        <v>0</v>
      </c>
      <c r="AX35" s="440">
        <f>100%-Table13[[#This Row],[المنفذ % التراكمي]]</f>
        <v>0.9153</v>
      </c>
      <c r="AY35" s="440">
        <f>100%-Table13[[#This Row],[نسبة المدة المنقضية %]]</f>
        <v>0.73298816568047331</v>
      </c>
      <c r="AZ35" s="70">
        <f>_xlfn.XLOOKUP(Table13[[#This Row],[PO]],Table156101114[PO],Table156101114[المدة المنقضية],0)</f>
        <v>0.26701183431952663</v>
      </c>
      <c r="BA35" s="70" t="s">
        <v>122</v>
      </c>
      <c r="BB35" s="108" t="s">
        <v>122</v>
      </c>
      <c r="BC35" s="96">
        <f>_xlfn.XLOOKUP(Table13[[#This Row],[PO]],Table156101114[PO],Table156101114[SPI],0)</f>
        <v>1.1997167138810199</v>
      </c>
      <c r="BD35" s="359">
        <f>Table13[[#This Row],[نسبة المدة المنقضية %]]*Table13[[#This Row],[مدة المشروع الكلية بالشهور]]</f>
        <v>12.033333333333335</v>
      </c>
      <c r="BE35" s="360">
        <f>Table13[[#This Row],[نسبة المدة المتبقية %]]*Table13[[#This Row],[مدة المشروع الكلية بالشهور]]</f>
        <v>33.033333333333331</v>
      </c>
      <c r="BF35" s="360">
        <f>(Table13[[#This Row],[نهاية المشروع المعدلة PMO LIVE]]-Table13[[#This Row],[بداية المشروع التعاقدية]])</f>
        <v>1352</v>
      </c>
      <c r="BG35" s="361">
        <f>(Table13[[#This Row],[نهاية المشروع المعدلة PMO LIVE]]-Table13[[#This Row],[بداية المشروع التعاقدية]])/30</f>
        <v>45.06666666666667</v>
      </c>
      <c r="BH35" s="260">
        <f>1.25*Table13[[#This Row],[مدة المشروع بالايام]]</f>
        <v>1690</v>
      </c>
      <c r="BI35" s="621">
        <f>Table13[[#This Row],[125%من مدة المشروع]]+Table13[[#This Row],[بداية المشروع التعاقدية]]</f>
        <v>47639</v>
      </c>
      <c r="BJ35" s="648">
        <f>Table13[[#This Row],[قيمة المشروع بالضريبة]]*Table13[[#This Row],[المخطط % التراكمي]]</f>
        <v>2678132.85286</v>
      </c>
      <c r="BK35" s="269">
        <f>Table13[[#This Row],[قيمة المشروع بالضريبة]]*Table13[[#This Row],[المنفذ % التراكمي]]</f>
        <v>3213000.7455700003</v>
      </c>
      <c r="BL35" s="316">
        <f>Table13[[#This Row],[نسبة الإنجاز المتبقية %]]*Table13[[#This Row],[قيمة المشروع بالضريبة]]</f>
        <v>34720892.354430005</v>
      </c>
      <c r="BM35" s="316">
        <f>Table13[[#This Row],[نسبة الإيقاف%]]*Table13[[#This Row],[قيمة المشروع بالضريبة]]</f>
        <v>0</v>
      </c>
      <c r="BN35" s="317">
        <f>Table13[[#This Row],[Suspended Budget]]/Table13[[#This Row],[Remaining Budget]]</f>
        <v>0</v>
      </c>
      <c r="BQ35" s="903"/>
      <c r="BR35" s="904"/>
      <c r="BS35" s="904"/>
    </row>
    <row r="36" spans="1:71" s="141" customFormat="1" ht="30" hidden="1" customHeight="1">
      <c r="A36" s="79">
        <f>SUBTOTAL(3,$D$3:D36)</f>
        <v>7</v>
      </c>
      <c r="B36" s="85" t="s">
        <v>286</v>
      </c>
      <c r="C36" s="34" t="s">
        <v>226</v>
      </c>
      <c r="D36" s="48">
        <v>901230273</v>
      </c>
      <c r="E36" s="34" t="s">
        <v>57</v>
      </c>
      <c r="F36" s="34" t="s">
        <v>318</v>
      </c>
      <c r="G36" s="602" t="s">
        <v>159</v>
      </c>
      <c r="H36" s="34" t="s">
        <v>160</v>
      </c>
      <c r="I36" s="34" t="s">
        <v>26</v>
      </c>
      <c r="J36" s="34" t="s">
        <v>123</v>
      </c>
      <c r="K36" s="48" t="s">
        <v>116</v>
      </c>
      <c r="L36" s="48">
        <v>0</v>
      </c>
      <c r="M36" s="48" t="s">
        <v>259</v>
      </c>
      <c r="N36" s="594" t="s">
        <v>121</v>
      </c>
      <c r="O36" s="69">
        <v>0</v>
      </c>
      <c r="P36" s="34" t="s">
        <v>72</v>
      </c>
      <c r="Q36" s="93" t="s">
        <v>78</v>
      </c>
      <c r="R36" s="93" t="s">
        <v>78</v>
      </c>
      <c r="S36" s="49">
        <v>45340</v>
      </c>
      <c r="T36" s="249">
        <v>46071</v>
      </c>
      <c r="U36" s="249">
        <v>46532</v>
      </c>
      <c r="V36" s="49">
        <v>46581</v>
      </c>
      <c r="W36" s="254">
        <f>Table13[[#This Row],[نهاية المشروع المعدلة PMO LIVE]]-Table13[[#This Row],[نهاية المشروع المعدلة EPPM]]</f>
        <v>49</v>
      </c>
      <c r="X36" s="529" t="s">
        <v>656</v>
      </c>
      <c r="Y36" s="249">
        <v>46723</v>
      </c>
      <c r="Z36" s="49">
        <f>_xlfn.XLOOKUP(Table13[[#This Row],[PO]],Table156101114[PO],Table156101114[[النهاية المتوقعة ]],0)</f>
        <v>46730</v>
      </c>
      <c r="AA36" s="716">
        <f>Table13[[#This Row],[النهاية طبقاً للتحديث الاسبوعي الحالي]]-Table13[[#This Row],[النهاية طبقاً للتحديث الاسبوعي السابق]]</f>
        <v>7</v>
      </c>
      <c r="AB36" s="523">
        <v>22736763</v>
      </c>
      <c r="AC36" s="110">
        <v>26147277.449999999</v>
      </c>
      <c r="AD36" s="257">
        <v>0.5958</v>
      </c>
      <c r="AE36" s="257">
        <v>0.62</v>
      </c>
      <c r="AF36" s="47">
        <f>_xlfn.XLOOKUP(Table13[[#This Row],[PO]],Table156101114[PO],Table156101114[المخطط % 15 اكتوبر2026],0)</f>
        <v>0.59909999999999997</v>
      </c>
      <c r="AG36" s="47">
        <f>_xlfn.XLOOKUP(Table13[[#This Row],[PO]],Table156101114[PO],Table156101114[Act %],0)</f>
        <v>0.62</v>
      </c>
      <c r="AH36" s="630">
        <f>Table13[[#This Row],[المخطط % التراكمي]]-Table13[[#This Row],[المخطط % - الإسبوع السابق ]]</f>
        <v>3.2999999999999696E-3</v>
      </c>
      <c r="AI36" s="630">
        <f>Table13[[#This Row],[المنفذ % التراكمي]]-Table13[[#This Row],[المنفذ % - الإسبوع السابق]]</f>
        <v>0</v>
      </c>
      <c r="AJ36" s="275">
        <f>Table13[[#This Row],[المنفذ % التراكمي]]-Table13[[#This Row],[المخطط % التراكمي]]</f>
        <v>2.090000000000003E-2</v>
      </c>
      <c r="AK36" s="662"/>
      <c r="AL36" s="662"/>
      <c r="AM36" s="47"/>
      <c r="AN36" s="47"/>
      <c r="AO36" s="47"/>
      <c r="AP36" s="47"/>
      <c r="AQ36" s="103">
        <f>_xlfn.XLOOKUP(Table13[[#This Row],[PO]],Table156101114[PO],Table156101114[TF],0)</f>
        <v>-163</v>
      </c>
      <c r="AR36" s="277">
        <f>Table13[[#This Row],[نسبة الإنجاز المتبقية %]]/(Table13[[#This Row],[مدة المشروع المتبقية بالشهور]])</f>
        <v>4.2066420664206641E-2</v>
      </c>
      <c r="AS36" s="69">
        <v>0.60081442222042214</v>
      </c>
      <c r="AT36" s="69">
        <f>Table13[[#This Row],[نسبة المخطط التراكمي حتى 31 أكتوبر 2026]]-9.9%</f>
        <v>0.50181442222042216</v>
      </c>
      <c r="AU36" s="445">
        <v>0</v>
      </c>
      <c r="AV36" s="69">
        <f>Table13[[#This Row],[نسبة المخطط التراكمي حتى 31 أكتوبر 2026]]-24.9%</f>
        <v>0.35181442222042214</v>
      </c>
      <c r="AW36" s="448">
        <v>0</v>
      </c>
      <c r="AX36" s="439">
        <f>100%-Table13[[#This Row],[المنفذ % التراكمي]]</f>
        <v>0.38</v>
      </c>
      <c r="AY36" s="439">
        <f>100%-Table13[[#This Row],[نسبة المدة المنقضية %]]</f>
        <v>0.21837228041901691</v>
      </c>
      <c r="AZ36" s="69">
        <f>_xlfn.XLOOKUP(Table13[[#This Row],[PO]],Table156101114[PO],Table156101114[المدة المنقضية],0)</f>
        <v>0.78162771958098309</v>
      </c>
      <c r="BA36" s="69" t="s">
        <v>122</v>
      </c>
      <c r="BB36" s="105" t="s">
        <v>122</v>
      </c>
      <c r="BC36" s="95">
        <f>_xlfn.XLOOKUP(Table13[[#This Row],[PO]],Table156101114[PO],Table156101114[SPI],0)</f>
        <v>1.0348856618260724</v>
      </c>
      <c r="BD36" s="359">
        <f>Table13[[#This Row],[نسبة المدة المنقضية %]]*Table13[[#This Row],[مدة المشروع الكلية بالشهور]]</f>
        <v>32.333333333333336</v>
      </c>
      <c r="BE36" s="360">
        <f>Table13[[#This Row],[نسبة المدة المتبقية %]]*Table13[[#This Row],[مدة المشروع الكلية بالشهور]]</f>
        <v>9.0333333333333332</v>
      </c>
      <c r="BF36" s="360">
        <f>(Table13[[#This Row],[نهاية المشروع المعدلة PMO LIVE]]-Table13[[#This Row],[بداية المشروع التعاقدية]])</f>
        <v>1241</v>
      </c>
      <c r="BG36" s="361">
        <f>(Table13[[#This Row],[نهاية المشروع المعدلة PMO LIVE]]-Table13[[#This Row],[بداية المشروع التعاقدية]])/30</f>
        <v>41.366666666666667</v>
      </c>
      <c r="BH36" s="260">
        <f>1.25*Table13[[#This Row],[مدة المشروع بالايام]]</f>
        <v>1551.25</v>
      </c>
      <c r="BI36" s="495">
        <f>Table13[[#This Row],[125%من مدة المشروع]]+Table13[[#This Row],[بداية المشروع التعاقدية]]</f>
        <v>46891.25</v>
      </c>
      <c r="BJ36" s="650">
        <f>Table13[[#This Row],[قيمة المشروع بالضريبة]]*Table13[[#This Row],[المخطط % التراكمي]]</f>
        <v>15664833.920294998</v>
      </c>
      <c r="BK36" s="268">
        <f>Table13[[#This Row],[قيمة المشروع بالضريبة]]*Table13[[#This Row],[المنفذ % التراكمي]]</f>
        <v>16211312.018999999</v>
      </c>
      <c r="BL36" s="318">
        <f>Table13[[#This Row],[نسبة الإنجاز المتبقية %]]*Table13[[#This Row],[قيمة المشروع بالضريبة]]</f>
        <v>9935965.4309999999</v>
      </c>
      <c r="BM36" s="318">
        <f>Table13[[#This Row],[نسبة الإيقاف%]]*Table13[[#This Row],[قيمة المشروع بالضريبة]]</f>
        <v>0</v>
      </c>
      <c r="BN36" s="319">
        <f>Table13[[#This Row],[Suspended Budget]]/Table13[[#This Row],[Remaining Budget]]</f>
        <v>0</v>
      </c>
      <c r="BQ36" s="903"/>
      <c r="BR36" s="904"/>
      <c r="BS36" s="904"/>
    </row>
    <row r="37" spans="1:71" s="322" customFormat="1" ht="30" hidden="1" customHeight="1">
      <c r="A37" s="79">
        <f>SUBTOTAL(3,$D$3:D37)</f>
        <v>7</v>
      </c>
      <c r="B37" s="85" t="s">
        <v>302</v>
      </c>
      <c r="C37" s="34" t="s">
        <v>220</v>
      </c>
      <c r="D37" s="48">
        <v>901240072</v>
      </c>
      <c r="E37" s="34" t="s">
        <v>71</v>
      </c>
      <c r="F37" s="34" t="s">
        <v>321</v>
      </c>
      <c r="G37" s="154" t="s">
        <v>151</v>
      </c>
      <c r="H37" s="155" t="s">
        <v>154</v>
      </c>
      <c r="I37" s="34" t="s">
        <v>10</v>
      </c>
      <c r="J37" s="34" t="s">
        <v>123</v>
      </c>
      <c r="K37" s="48" t="s">
        <v>73</v>
      </c>
      <c r="L37" s="48">
        <v>0</v>
      </c>
      <c r="M37" s="48" t="s">
        <v>259</v>
      </c>
      <c r="N37" s="594" t="s">
        <v>120</v>
      </c>
      <c r="O37" s="69">
        <v>0</v>
      </c>
      <c r="P37" s="34" t="s">
        <v>72</v>
      </c>
      <c r="Q37" s="93" t="s">
        <v>78</v>
      </c>
      <c r="R37" s="93" t="s">
        <v>78</v>
      </c>
      <c r="S37" s="49">
        <v>45565</v>
      </c>
      <c r="T37" s="249">
        <v>46295</v>
      </c>
      <c r="U37" s="249">
        <v>46685</v>
      </c>
      <c r="V37" s="49">
        <v>46685</v>
      </c>
      <c r="W37" s="254">
        <f>Table13[[#This Row],[نهاية المشروع المعدلة PMO LIVE]]-Table13[[#This Row],[نهاية المشروع المعدلة EPPM]]</f>
        <v>0</v>
      </c>
      <c r="X37" s="254" t="s">
        <v>169</v>
      </c>
      <c r="Y37" s="249">
        <v>46830</v>
      </c>
      <c r="Z37" s="49">
        <f>_xlfn.XLOOKUP(Table13[[#This Row],[PO]],Table156101114[PO],Table156101114[[النهاية المتوقعة ]],0)</f>
        <v>46837</v>
      </c>
      <c r="AA37" s="716">
        <f>Table13[[#This Row],[النهاية طبقاً للتحديث الاسبوعي الحالي]]-Table13[[#This Row],[النهاية طبقاً للتحديث الاسبوعي السابق]]</f>
        <v>7</v>
      </c>
      <c r="AB37" s="523">
        <v>43666400</v>
      </c>
      <c r="AC37" s="110">
        <v>50216360</v>
      </c>
      <c r="AD37" s="257">
        <v>0.25850000000000001</v>
      </c>
      <c r="AE37" s="257">
        <v>0.32100000000000001</v>
      </c>
      <c r="AF37" s="47">
        <f>_xlfn.XLOOKUP(Table13[[#This Row],[PO]],Table156101114[PO],Table156101114[المخطط % 15 اكتوبر2026],0)</f>
        <v>0.25869999999999999</v>
      </c>
      <c r="AG37" s="47">
        <f>_xlfn.XLOOKUP(Table13[[#This Row],[PO]],Table156101114[PO],Table156101114[Act %],0)</f>
        <v>0.32400000000000001</v>
      </c>
      <c r="AH37" s="630">
        <f>Table13[[#This Row],[المخطط % التراكمي]]-Table13[[#This Row],[المخطط % - الإسبوع السابق ]]</f>
        <v>1.9999999999997797E-4</v>
      </c>
      <c r="AI37" s="630">
        <f>Table13[[#This Row],[المنفذ % التراكمي]]-Table13[[#This Row],[المنفذ % - الإسبوع السابق]]</f>
        <v>3.0000000000000027E-3</v>
      </c>
      <c r="AJ37" s="51">
        <f>Table13[[#This Row],[المنفذ % التراكمي]]-Table13[[#This Row],[المخطط % التراكمي]]</f>
        <v>6.5300000000000025E-2</v>
      </c>
      <c r="AK37" s="634"/>
      <c r="AL37" s="634"/>
      <c r="AM37" s="674"/>
      <c r="AN37" s="674"/>
      <c r="AO37" s="674"/>
      <c r="AP37" s="674"/>
      <c r="AQ37" s="103">
        <f>_xlfn.XLOOKUP(Table13[[#This Row],[PO]],Table156101114[PO],Table156101114[TF],0)</f>
        <v>-130</v>
      </c>
      <c r="AR37" s="277">
        <f>Table13[[#This Row],[نسبة الإنجاز المتبقية %]]/(Table13[[#This Row],[مدة المشروع المتبقية بالشهور]])</f>
        <v>5.4079999999999989E-2</v>
      </c>
      <c r="AS37" s="69">
        <v>0.26230913379623688</v>
      </c>
      <c r="AT37" s="69">
        <f>Table13[[#This Row],[نسبة المخطط التراكمي حتى 31 أكتوبر 2026]]-9.9%</f>
        <v>0.16330913379623688</v>
      </c>
      <c r="AU37" s="445">
        <v>0</v>
      </c>
      <c r="AV37" s="69">
        <f>Table13[[#This Row],[نسبة المخطط التراكمي حتى 31 أكتوبر 2026]]-24.9%</f>
        <v>1.3309133796236883E-2</v>
      </c>
      <c r="AW37" s="448">
        <v>0</v>
      </c>
      <c r="AX37" s="439">
        <f>100%-Table13[[#This Row],[المنفذ % التراكمي]]</f>
        <v>0.67599999999999993</v>
      </c>
      <c r="AY37" s="439">
        <f>100%-Table13[[#This Row],[نسبة المدة المنقضية %]]</f>
        <v>0.3348214285714286</v>
      </c>
      <c r="AZ37" s="69">
        <f>_xlfn.XLOOKUP(Table13[[#This Row],[PO]],Table156101114[PO],Table156101114[المدة المنقضية],0)</f>
        <v>0.6651785714285714</v>
      </c>
      <c r="BA37" s="69" t="s">
        <v>122</v>
      </c>
      <c r="BB37" s="105" t="s">
        <v>122</v>
      </c>
      <c r="BC37" s="95">
        <f>_xlfn.XLOOKUP(Table13[[#This Row],[PO]],Table156101114[PO],Table156101114[SPI],0)</f>
        <v>1.2524159257827601</v>
      </c>
      <c r="BD37" s="359">
        <f>Table13[[#This Row],[نسبة المدة المنقضية %]]*Table13[[#This Row],[مدة المشروع الكلية بالشهور]]</f>
        <v>24.833333333333332</v>
      </c>
      <c r="BE37" s="360">
        <f>Table13[[#This Row],[نسبة المدة المتبقية %]]*Table13[[#This Row],[مدة المشروع الكلية بالشهور]]</f>
        <v>12.500000000000002</v>
      </c>
      <c r="BF37" s="360">
        <f>(Table13[[#This Row],[نهاية المشروع المعدلة PMO LIVE]]-Table13[[#This Row],[بداية المشروع التعاقدية]])</f>
        <v>1120</v>
      </c>
      <c r="BG37" s="361">
        <f>(Table13[[#This Row],[نهاية المشروع المعدلة PMO LIVE]]-Table13[[#This Row],[بداية المشروع التعاقدية]])/30</f>
        <v>37.333333333333336</v>
      </c>
      <c r="BH37" s="260">
        <f>1.25*Table13[[#This Row],[مدة المشروع بالايام]]</f>
        <v>1400</v>
      </c>
      <c r="BI37" s="495">
        <f>Table13[[#This Row],[125%من مدة المشروع]]+Table13[[#This Row],[بداية المشروع التعاقدية]]</f>
        <v>46965</v>
      </c>
      <c r="BJ37" s="651">
        <f>Table13[[#This Row],[قيمة المشروع بالضريبة]]*Table13[[#This Row],[المخطط % التراكمي]]</f>
        <v>12990972.331999999</v>
      </c>
      <c r="BK37" s="270">
        <f>Table13[[#This Row],[قيمة المشروع بالضريبة]]*Table13[[#This Row],[المنفذ % التراكمي]]</f>
        <v>16270100.640000001</v>
      </c>
      <c r="BL37" s="318">
        <f>Table13[[#This Row],[نسبة الإنجاز المتبقية %]]*Table13[[#This Row],[قيمة المشروع بالضريبة]]</f>
        <v>33946259.359999999</v>
      </c>
      <c r="BM37" s="318">
        <f>Table13[[#This Row],[نسبة الإيقاف%]]*Table13[[#This Row],[قيمة المشروع بالضريبة]]</f>
        <v>0</v>
      </c>
      <c r="BN37" s="319">
        <f>Table13[[#This Row],[Suspended Budget]]/Table13[[#This Row],[Remaining Budget]]</f>
        <v>0</v>
      </c>
      <c r="BQ37" s="903"/>
      <c r="BR37" s="904"/>
      <c r="BS37" s="904"/>
    </row>
    <row r="38" spans="1:71" ht="30" hidden="1" customHeight="1">
      <c r="A38" s="79">
        <f>SUBTOTAL(3,$D$3:D38)</f>
        <v>7</v>
      </c>
      <c r="B38" s="85" t="s">
        <v>289</v>
      </c>
      <c r="C38" s="34" t="s">
        <v>199</v>
      </c>
      <c r="D38" s="48">
        <v>901240210</v>
      </c>
      <c r="E38" s="34" t="s">
        <v>60</v>
      </c>
      <c r="F38" s="34" t="s">
        <v>319</v>
      </c>
      <c r="G38" s="154" t="s">
        <v>164</v>
      </c>
      <c r="H38" s="155" t="s">
        <v>364</v>
      </c>
      <c r="I38" s="34" t="s">
        <v>35</v>
      </c>
      <c r="J38" s="34" t="s">
        <v>123</v>
      </c>
      <c r="K38" s="48" t="s">
        <v>116</v>
      </c>
      <c r="L38" s="48">
        <v>0</v>
      </c>
      <c r="M38" s="48" t="s">
        <v>259</v>
      </c>
      <c r="N38" s="594" t="s">
        <v>121</v>
      </c>
      <c r="O38" s="69">
        <v>0</v>
      </c>
      <c r="P38" s="34" t="s">
        <v>72</v>
      </c>
      <c r="Q38" s="93" t="s">
        <v>78</v>
      </c>
      <c r="R38" s="94" t="s">
        <v>77</v>
      </c>
      <c r="S38" s="49">
        <v>45582</v>
      </c>
      <c r="T38" s="249">
        <v>46312</v>
      </c>
      <c r="U38" s="249">
        <v>46737</v>
      </c>
      <c r="V38" s="49">
        <v>46737</v>
      </c>
      <c r="W38" s="254">
        <f>Table13[[#This Row],[نهاية المشروع المعدلة PMO LIVE]]-Table13[[#This Row],[نهاية المشروع المعدلة EPPM]]</f>
        <v>0</v>
      </c>
      <c r="X38" s="254" t="s">
        <v>169</v>
      </c>
      <c r="Y38" s="249">
        <v>46803</v>
      </c>
      <c r="Z38" s="49">
        <f>_xlfn.XLOOKUP(Table13[[#This Row],[PO]],Table156101114[PO],Table156101114[[النهاية المتوقعة ]],0)</f>
        <v>46805</v>
      </c>
      <c r="AA38" s="716">
        <f>Table13[[#This Row],[النهاية طبقاً للتحديث الاسبوعي الحالي]]-Table13[[#This Row],[النهاية طبقاً للتحديث الاسبوعي السابق]]</f>
        <v>2</v>
      </c>
      <c r="AB38" s="523">
        <v>27897360</v>
      </c>
      <c r="AC38" s="110">
        <v>32081964</v>
      </c>
      <c r="AD38" s="257">
        <v>0.4254</v>
      </c>
      <c r="AE38" s="257">
        <v>0.42549999999999999</v>
      </c>
      <c r="AF38" s="47">
        <f>_xlfn.XLOOKUP(Table13[[#This Row],[PO]],Table156101114[PO],Table156101114[المخطط % 15 اكتوبر2026],0)</f>
        <v>0.43369999999999997</v>
      </c>
      <c r="AG38" s="47">
        <f>_xlfn.XLOOKUP(Table13[[#This Row],[PO]],Table156101114[PO],Table156101114[Act %],0)</f>
        <v>0.43259999999999998</v>
      </c>
      <c r="AH38" s="630">
        <f>Table13[[#This Row],[المخطط % التراكمي]]-Table13[[#This Row],[المخطط % - الإسبوع السابق ]]</f>
        <v>8.2999999999999741E-3</v>
      </c>
      <c r="AI38" s="630">
        <f>Table13[[#This Row],[المنفذ % التراكمي]]-Table13[[#This Row],[المنفذ % - الإسبوع السابق]]</f>
        <v>7.0999999999999952E-3</v>
      </c>
      <c r="AJ38" s="51">
        <f>Table13[[#This Row],[المنفذ % التراكمي]]-Table13[[#This Row],[المخطط % التراكمي]]</f>
        <v>-1.0999999999999899E-3</v>
      </c>
      <c r="AK38" s="634"/>
      <c r="AL38" s="634"/>
      <c r="AM38" s="674"/>
      <c r="AN38" s="674"/>
      <c r="AO38" s="674"/>
      <c r="AP38" s="674"/>
      <c r="AQ38" s="103">
        <f>_xlfn.XLOOKUP(Table13[[#This Row],[PO]],Table156101114[PO],Table156101114[TF],0)</f>
        <v>-58</v>
      </c>
      <c r="AR38" s="277">
        <f>Table13[[#This Row],[نسبة الإنجاز المتبقية %]]/(Table13[[#This Row],[مدة المشروع المتبقية بالشهور]])</f>
        <v>3.9864168618266971E-2</v>
      </c>
      <c r="AS38" s="69">
        <v>0.43667457530031517</v>
      </c>
      <c r="AT38" s="69">
        <f>Table13[[#This Row],[نسبة المخطط التراكمي حتى 31 أكتوبر 2026]]-9.9%</f>
        <v>0.33767457530031519</v>
      </c>
      <c r="AU38" s="445">
        <v>0</v>
      </c>
      <c r="AV38" s="69">
        <f>Table13[[#This Row],[نسبة المخطط التراكمي حتى 31 أكتوبر 2026]]-24.9%</f>
        <v>0.18767457530031517</v>
      </c>
      <c r="AW38" s="448">
        <v>0</v>
      </c>
      <c r="AX38" s="439">
        <f>100%-Table13[[#This Row],[المنفذ % التراكمي]]</f>
        <v>0.56740000000000002</v>
      </c>
      <c r="AY38" s="439">
        <f>100%-Table13[[#This Row],[نسبة المدة المنقضية %]]</f>
        <v>0.36969696969696975</v>
      </c>
      <c r="AZ38" s="69">
        <f>_xlfn.XLOOKUP(Table13[[#This Row],[PO]],Table156101114[PO],Table156101114[المدة المنقضية],0)</f>
        <v>0.63030303030303025</v>
      </c>
      <c r="BA38" s="69" t="s">
        <v>122</v>
      </c>
      <c r="BB38" s="105" t="s">
        <v>122</v>
      </c>
      <c r="BC38" s="95">
        <f>_xlfn.XLOOKUP(Table13[[#This Row],[PO]],Table156101114[PO],Table156101114[SPI],0)</f>
        <v>0.99746368457459078</v>
      </c>
      <c r="BD38" s="359">
        <f>Table13[[#This Row],[نسبة المدة المنقضية %]]*Table13[[#This Row],[مدة المشروع الكلية بالشهور]]</f>
        <v>24.266666666666666</v>
      </c>
      <c r="BE38" s="360">
        <f>Table13[[#This Row],[نسبة المدة المتبقية %]]*Table13[[#This Row],[مدة المشروع الكلية بالشهور]]</f>
        <v>14.233333333333336</v>
      </c>
      <c r="BF38" s="360">
        <f>(Table13[[#This Row],[نهاية المشروع المعدلة PMO LIVE]]-Table13[[#This Row],[بداية المشروع التعاقدية]])</f>
        <v>1155</v>
      </c>
      <c r="BG38" s="361">
        <f>(Table13[[#This Row],[نهاية المشروع المعدلة PMO LIVE]]-Table13[[#This Row],[بداية المشروع التعاقدية]])/30</f>
        <v>38.5</v>
      </c>
      <c r="BH38" s="260">
        <f>1.25*Table13[[#This Row],[مدة المشروع بالايام]]</f>
        <v>1443.75</v>
      </c>
      <c r="BI38" s="495">
        <f>Table13[[#This Row],[125%من مدة المشروع]]+Table13[[#This Row],[بداية المشروع التعاقدية]]</f>
        <v>47025.75</v>
      </c>
      <c r="BJ38" s="651">
        <f>Table13[[#This Row],[قيمة المشروع بالضريبة]]*Table13[[#This Row],[المخطط % التراكمي]]</f>
        <v>13913947.786799999</v>
      </c>
      <c r="BK38" s="270">
        <f>Table13[[#This Row],[قيمة المشروع بالضريبة]]*Table13[[#This Row],[المنفذ % التراكمي]]</f>
        <v>13878657.626399999</v>
      </c>
      <c r="BL38" s="318">
        <f>Table13[[#This Row],[نسبة الإنجاز المتبقية %]]*Table13[[#This Row],[قيمة المشروع بالضريبة]]</f>
        <v>18203306.373599999</v>
      </c>
      <c r="BM38" s="318">
        <f>Table13[[#This Row],[نسبة الإيقاف%]]*Table13[[#This Row],[قيمة المشروع بالضريبة]]</f>
        <v>0</v>
      </c>
      <c r="BN38" s="319">
        <f>Table13[[#This Row],[Suspended Budget]]/Table13[[#This Row],[Remaining Budget]]</f>
        <v>0</v>
      </c>
      <c r="BQ38" s="903"/>
      <c r="BR38" s="904"/>
      <c r="BS38" s="917"/>
    </row>
    <row r="39" spans="1:71" s="322" customFormat="1" ht="30" hidden="1" customHeight="1">
      <c r="A39" s="79">
        <f>SUBTOTAL(3,$D$3:D39)</f>
        <v>7</v>
      </c>
      <c r="B39" s="85" t="s">
        <v>285</v>
      </c>
      <c r="C39" s="34" t="s">
        <v>218</v>
      </c>
      <c r="D39" s="48">
        <v>901240391</v>
      </c>
      <c r="E39" s="34" t="s">
        <v>92</v>
      </c>
      <c r="F39" s="34" t="s">
        <v>321</v>
      </c>
      <c r="G39" s="154" t="s">
        <v>151</v>
      </c>
      <c r="H39" s="154" t="s">
        <v>157</v>
      </c>
      <c r="I39" s="34" t="s">
        <v>93</v>
      </c>
      <c r="J39" s="34" t="s">
        <v>123</v>
      </c>
      <c r="K39" s="48" t="s">
        <v>73</v>
      </c>
      <c r="L39" s="48">
        <v>0</v>
      </c>
      <c r="M39" s="48" t="s">
        <v>259</v>
      </c>
      <c r="N39" s="594" t="s">
        <v>120</v>
      </c>
      <c r="O39" s="69">
        <v>0</v>
      </c>
      <c r="P39" s="34" t="s">
        <v>72</v>
      </c>
      <c r="Q39" s="94" t="s">
        <v>77</v>
      </c>
      <c r="R39" s="94" t="s">
        <v>77</v>
      </c>
      <c r="S39" s="49">
        <v>45732</v>
      </c>
      <c r="T39" s="249">
        <v>46461</v>
      </c>
      <c r="U39" s="249">
        <v>46841</v>
      </c>
      <c r="V39" s="49">
        <v>46841</v>
      </c>
      <c r="W39" s="254">
        <f>Table13[[#This Row],[نهاية المشروع المعدلة PMO LIVE]]-Table13[[#This Row],[نهاية المشروع المعدلة EPPM]]</f>
        <v>0</v>
      </c>
      <c r="X39" s="254" t="s">
        <v>169</v>
      </c>
      <c r="Y39" s="249">
        <v>46880</v>
      </c>
      <c r="Z39" s="49">
        <f>_xlfn.XLOOKUP(Table13[[#This Row],[PO]],Table156101114[PO],Table156101114[[النهاية المتوقعة ]],0)</f>
        <v>46886</v>
      </c>
      <c r="AA39" s="716">
        <f>Table13[[#This Row],[النهاية طبقاً للتحديث الاسبوعي الحالي]]-Table13[[#This Row],[النهاية طبقاً للتحديث الاسبوعي السابق]]</f>
        <v>6</v>
      </c>
      <c r="AB39" s="523">
        <v>12264700</v>
      </c>
      <c r="AC39" s="110">
        <v>14104405</v>
      </c>
      <c r="AD39" s="257">
        <v>0.2162</v>
      </c>
      <c r="AE39" s="257">
        <v>0.215</v>
      </c>
      <c r="AF39" s="47">
        <f>_xlfn.XLOOKUP(Table13[[#This Row],[PO]],Table156101114[PO],Table156101114[المخطط % 15 اكتوبر2026],0)</f>
        <v>0.21679999999999999</v>
      </c>
      <c r="AG39" s="47">
        <f>_xlfn.XLOOKUP(Table13[[#This Row],[PO]],Table156101114[PO],Table156101114[Act %],0)</f>
        <v>0.215</v>
      </c>
      <c r="AH39" s="630">
        <f>Table13[[#This Row],[المخطط % التراكمي]]-Table13[[#This Row],[المخطط % - الإسبوع السابق ]]</f>
        <v>5.9999999999998943E-4</v>
      </c>
      <c r="AI39" s="630">
        <f>Table13[[#This Row],[المنفذ % التراكمي]]-Table13[[#This Row],[المنفذ % - الإسبوع السابق]]</f>
        <v>0</v>
      </c>
      <c r="AJ39" s="51">
        <f>Table13[[#This Row],[المنفذ % التراكمي]]-Table13[[#This Row],[المخطط % التراكمي]]</f>
        <v>-1.799999999999996E-3</v>
      </c>
      <c r="AK39" s="634"/>
      <c r="AL39" s="634"/>
      <c r="AM39" s="674"/>
      <c r="AN39" s="674"/>
      <c r="AO39" s="674"/>
      <c r="AP39" s="674"/>
      <c r="AQ39" s="103">
        <f>_xlfn.XLOOKUP(Table13[[#This Row],[PO]],Table156101114[PO],Table156101114[TF],0)</f>
        <v>-13</v>
      </c>
      <c r="AR39" s="277">
        <f>Table13[[#This Row],[نسبة الإنجاز المتبقية %]]/(Table13[[#This Row],[مدة المشروع المتبقية بالشهور]])</f>
        <v>4.4350282485875699E-2</v>
      </c>
      <c r="AS39" s="69">
        <v>0.21916362370190287</v>
      </c>
      <c r="AT39" s="69">
        <f>Table13[[#This Row],[نسبة المخطط التراكمي حتى 31 أكتوبر 2026]]-9.9%</f>
        <v>0.12016362370190287</v>
      </c>
      <c r="AU39" s="445">
        <v>0</v>
      </c>
      <c r="AV39" s="69">
        <v>0</v>
      </c>
      <c r="AW39" s="448">
        <v>0</v>
      </c>
      <c r="AX39" s="439">
        <f>100%-Table13[[#This Row],[المنفذ % التراكمي]]</f>
        <v>0.78500000000000003</v>
      </c>
      <c r="AY39" s="439">
        <f>100%-Table13[[#This Row],[نسبة المدة المنقضية %]]</f>
        <v>0.478809738503156</v>
      </c>
      <c r="AZ39" s="69">
        <f>_xlfn.XLOOKUP(Table13[[#This Row],[PO]],Table156101114[PO],Table156101114[المدة المنقضية],0)</f>
        <v>0.521190261496844</v>
      </c>
      <c r="BA39" s="69" t="s">
        <v>122</v>
      </c>
      <c r="BB39" s="105" t="s">
        <v>122</v>
      </c>
      <c r="BC39" s="95">
        <f>_xlfn.XLOOKUP(Table13[[#This Row],[PO]],Table156101114[PO],Table156101114[SPI],0)</f>
        <v>0.9916974169741698</v>
      </c>
      <c r="BD39" s="359">
        <f>Table13[[#This Row],[نسبة المدة المنقضية %]]*Table13[[#This Row],[مدة المشروع الكلية بالشهور]]</f>
        <v>19.266666666666666</v>
      </c>
      <c r="BE39" s="360">
        <f>Table13[[#This Row],[نسبة المدة المتبقية %]]*Table13[[#This Row],[مدة المشروع الكلية بالشهور]]</f>
        <v>17.700000000000003</v>
      </c>
      <c r="BF39" s="360">
        <f>(Table13[[#This Row],[نهاية المشروع المعدلة PMO LIVE]]-Table13[[#This Row],[بداية المشروع التعاقدية]])</f>
        <v>1109</v>
      </c>
      <c r="BG39" s="361">
        <f>(Table13[[#This Row],[نهاية المشروع المعدلة PMO LIVE]]-Table13[[#This Row],[بداية المشروع التعاقدية]])/30</f>
        <v>36.966666666666669</v>
      </c>
      <c r="BH39" s="260">
        <f>1.25*Table13[[#This Row],[مدة المشروع بالايام]]</f>
        <v>1386.25</v>
      </c>
      <c r="BI39" s="495">
        <f>Table13[[#This Row],[125%من مدة المشروع]]+Table13[[#This Row],[بداية المشروع التعاقدية]]</f>
        <v>47118.25</v>
      </c>
      <c r="BJ39" s="651">
        <f>Table13[[#This Row],[قيمة المشروع بالضريبة]]*Table13[[#This Row],[المخطط % التراكمي]]</f>
        <v>3057835.0039999997</v>
      </c>
      <c r="BK39" s="270">
        <f>Table13[[#This Row],[قيمة المشروع بالضريبة]]*Table13[[#This Row],[المنفذ % التراكمي]]</f>
        <v>3032447.0749999997</v>
      </c>
      <c r="BL39" s="318">
        <f>Table13[[#This Row],[نسبة الإنجاز المتبقية %]]*Table13[[#This Row],[قيمة المشروع بالضريبة]]</f>
        <v>11071957.925000001</v>
      </c>
      <c r="BM39" s="318">
        <f>Table13[[#This Row],[نسبة الإيقاف%]]*Table13[[#This Row],[قيمة المشروع بالضريبة]]</f>
        <v>0</v>
      </c>
      <c r="BN39" s="319">
        <f>Table13[[#This Row],[Suspended Budget]]/Table13[[#This Row],[Remaining Budget]]</f>
        <v>0</v>
      </c>
      <c r="BQ39" s="903"/>
      <c r="BR39" s="904"/>
      <c r="BS39" s="904"/>
    </row>
    <row r="40" spans="1:71" ht="30" hidden="1" customHeight="1">
      <c r="A40" s="241">
        <f>SUBTOTAL(3,$D$3:D40)</f>
        <v>7</v>
      </c>
      <c r="B40" s="242">
        <v>10128</v>
      </c>
      <c r="C40" s="243" t="s">
        <v>208</v>
      </c>
      <c r="D40" s="244">
        <v>901230173</v>
      </c>
      <c r="E40" s="243" t="s">
        <v>63</v>
      </c>
      <c r="F40" s="243" t="s">
        <v>321</v>
      </c>
      <c r="G40" s="492" t="s">
        <v>151</v>
      </c>
      <c r="H40" s="492" t="s">
        <v>153</v>
      </c>
      <c r="I40" s="243" t="s">
        <v>311</v>
      </c>
      <c r="J40" s="243" t="s">
        <v>123</v>
      </c>
      <c r="K40" s="244" t="s">
        <v>73</v>
      </c>
      <c r="L40" s="244">
        <v>0</v>
      </c>
      <c r="M40" s="244" t="s">
        <v>259</v>
      </c>
      <c r="N40" s="594" t="s">
        <v>120</v>
      </c>
      <c r="O40" s="104">
        <v>0</v>
      </c>
      <c r="P40" s="243" t="s">
        <v>72</v>
      </c>
      <c r="Q40" s="94" t="s">
        <v>77</v>
      </c>
      <c r="R40" s="94" t="s">
        <v>77</v>
      </c>
      <c r="S40" s="86">
        <v>45215</v>
      </c>
      <c r="T40" s="249">
        <v>46311</v>
      </c>
      <c r="U40" s="249">
        <v>46310</v>
      </c>
      <c r="V40" s="86">
        <v>46311</v>
      </c>
      <c r="W40" s="254">
        <f>Table13[[#This Row],[نهاية المشروع المعدلة PMO LIVE]]-Table13[[#This Row],[نهاية المشروع المعدلة EPPM]]</f>
        <v>1</v>
      </c>
      <c r="X40" s="254" t="s">
        <v>169</v>
      </c>
      <c r="Y40" s="249">
        <v>46568</v>
      </c>
      <c r="Z40" s="86">
        <f>_xlfn.XLOOKUP(Table13[[#This Row],[PO]],Table156101114[PO],Table156101114[[النهاية المتوقعة ]],0)</f>
        <v>46568</v>
      </c>
      <c r="AA40" s="718">
        <f>Table13[[#This Row],[النهاية طبقاً للتحديث الاسبوعي الحالي]]-Table13[[#This Row],[النهاية طبقاً للتحديث الاسبوعي السابق]]</f>
        <v>0</v>
      </c>
      <c r="AB40" s="523">
        <v>38500000</v>
      </c>
      <c r="AC40" s="245">
        <v>44275000</v>
      </c>
      <c r="AD40" s="257">
        <v>1</v>
      </c>
      <c r="AE40" s="257">
        <v>0.97160000000000002</v>
      </c>
      <c r="AF40" s="246">
        <f>_xlfn.XLOOKUP(Table13[[#This Row],[PO]],Table156101114[PO],Table156101114[المخطط % 15 اكتوبر2026],0)</f>
        <v>1</v>
      </c>
      <c r="AG40" s="246">
        <f>_xlfn.XLOOKUP(Table13[[#This Row],[PO]],Table156101114[PO],Table156101114[Act %],0)</f>
        <v>0.97160000000000002</v>
      </c>
      <c r="AH40" s="630">
        <f>Table13[[#This Row],[المخطط % التراكمي]]-Table13[[#This Row],[المخطط % - الإسبوع السابق ]]</f>
        <v>0</v>
      </c>
      <c r="AI40" s="630">
        <f>Table13[[#This Row],[المنفذ % التراكمي]]-Table13[[#This Row],[المنفذ % - الإسبوع السابق]]</f>
        <v>0</v>
      </c>
      <c r="AJ40" s="275">
        <f>Table13[[#This Row],[المنفذ % التراكمي]]-Table13[[#This Row],[المخطط % التراكمي]]</f>
        <v>-2.8399999999999981E-2</v>
      </c>
      <c r="AK40" s="634"/>
      <c r="AL40" s="634"/>
      <c r="AM40" s="674"/>
      <c r="AN40" s="674"/>
      <c r="AO40" s="674"/>
      <c r="AP40" s="674"/>
      <c r="AQ40" s="87">
        <f>_xlfn.XLOOKUP(Table13[[#This Row],[PO]],Table156101114[PO],Table156101114[TF],0)</f>
        <v>-96</v>
      </c>
      <c r="AR40" s="277">
        <f>Table13[[#This Row],[نسبة الإنجاز المتبقية %]]/(Table13[[#This Row],[مدة المشروع المتبقية بالشهور]])</f>
        <v>0.85199999999996168</v>
      </c>
      <c r="AS40" s="69">
        <v>1.0000000000000002</v>
      </c>
      <c r="AT40" s="69">
        <f>Table13[[#This Row],[نسبة المخطط التراكمي حتى 31 أكتوبر 2026]]-9.9%</f>
        <v>0.90100000000000025</v>
      </c>
      <c r="AU40" s="445">
        <v>0</v>
      </c>
      <c r="AV40" s="69">
        <f>Table13[[#This Row],[نسبة المخطط التراكمي حتى 31 أكتوبر 2026]]-24.9%</f>
        <v>0.75100000000000022</v>
      </c>
      <c r="AW40" s="448">
        <v>0</v>
      </c>
      <c r="AX40" s="439">
        <f>100%-Table13[[#This Row],[المنفذ % التراكمي]]</f>
        <v>2.8399999999999981E-2</v>
      </c>
      <c r="AY40" s="439">
        <f>100%-Table13[[#This Row],[نسبة المدة المنقضية %]]</f>
        <v>9.1240875912412811E-4</v>
      </c>
      <c r="AZ40" s="104">
        <f>_xlfn.XLOOKUP(Table13[[#This Row],[PO]],Table156101114[PO],Table156101114[المدة المنقضية],0)</f>
        <v>0.99908759124087587</v>
      </c>
      <c r="BA40" s="104" t="s">
        <v>122</v>
      </c>
      <c r="BB40" s="247" t="s">
        <v>122</v>
      </c>
      <c r="BC40" s="97">
        <f>_xlfn.XLOOKUP(Table13[[#This Row],[PO]],Table156101114[PO],Table156101114[SPI],0)</f>
        <v>0.97160000000000002</v>
      </c>
      <c r="BD40" s="359">
        <f>Table13[[#This Row],[نسبة المدة المنقضية %]]*Table13[[#This Row],[مدة المشروع الكلية بالشهور]]</f>
        <v>36.5</v>
      </c>
      <c r="BE40" s="360">
        <f>Table13[[#This Row],[نسبة المدة المتبقية %]]*Table13[[#This Row],[مدة المشروع الكلية بالشهور]]</f>
        <v>3.3333333333334811E-2</v>
      </c>
      <c r="BF40" s="360">
        <f>(Table13[[#This Row],[نهاية المشروع المعدلة PMO LIVE]]-Table13[[#This Row],[بداية المشروع التعاقدية]])</f>
        <v>1096</v>
      </c>
      <c r="BG40" s="361">
        <f>(Table13[[#This Row],[نهاية المشروع المعدلة PMO LIVE]]-Table13[[#This Row],[بداية المشروع التعاقدية]])/30</f>
        <v>36.533333333333331</v>
      </c>
      <c r="BH40" s="260">
        <f>1.25*Table13[[#This Row],[مدة المشروع بالايام]]</f>
        <v>1370</v>
      </c>
      <c r="BI40" s="661">
        <f>Table13[[#This Row],[125%من مدة المشروع]]+Table13[[#This Row],[بداية المشروع التعاقدية]]</f>
        <v>46585</v>
      </c>
      <c r="BJ40" s="649">
        <f>Table13[[#This Row],[قيمة المشروع بالضريبة]]*Table13[[#This Row],[المخطط % التراكمي]]</f>
        <v>44275000</v>
      </c>
      <c r="BK40" s="267">
        <f>Table13[[#This Row],[قيمة المشروع بالضريبة]]*Table13[[#This Row],[المنفذ % التراكمي]]</f>
        <v>43017590</v>
      </c>
      <c r="BL40" s="316">
        <f>Table13[[#This Row],[نسبة الإنجاز المتبقية %]]*Table13[[#This Row],[قيمة المشروع بالضريبة]]</f>
        <v>1257409.9999999991</v>
      </c>
      <c r="BM40" s="316">
        <f>Table13[[#This Row],[نسبة الإيقاف%]]*Table13[[#This Row],[قيمة المشروع بالضريبة]]</f>
        <v>0</v>
      </c>
      <c r="BN40" s="317">
        <f>Table13[[#This Row],[Suspended Budget]]/Table13[[#This Row],[Remaining Budget]]</f>
        <v>0</v>
      </c>
      <c r="BQ40" s="903"/>
      <c r="BR40" s="904"/>
      <c r="BS40" s="904"/>
    </row>
    <row r="41" spans="1:71" s="322" customFormat="1" ht="30" hidden="1" customHeight="1">
      <c r="A41" s="80">
        <f>SUBTOTAL(3,$D$3:D41)</f>
        <v>7</v>
      </c>
      <c r="B41" s="83" t="s">
        <v>298</v>
      </c>
      <c r="C41" s="43" t="s">
        <v>213</v>
      </c>
      <c r="D41" s="42">
        <v>901250200</v>
      </c>
      <c r="E41" s="43" t="s">
        <v>141</v>
      </c>
      <c r="F41" s="43" t="s">
        <v>320</v>
      </c>
      <c r="G41" s="43" t="s">
        <v>164</v>
      </c>
      <c r="H41" s="43" t="s">
        <v>264</v>
      </c>
      <c r="I41" s="43" t="s">
        <v>145</v>
      </c>
      <c r="J41" s="100" t="s">
        <v>123</v>
      </c>
      <c r="K41" s="42" t="s">
        <v>136</v>
      </c>
      <c r="L41" s="42">
        <v>0</v>
      </c>
      <c r="M41" s="42" t="s">
        <v>259</v>
      </c>
      <c r="N41" s="593" t="s">
        <v>120</v>
      </c>
      <c r="O41" s="70">
        <v>0</v>
      </c>
      <c r="P41" s="43" t="s">
        <v>72</v>
      </c>
      <c r="Q41" s="94" t="s">
        <v>77</v>
      </c>
      <c r="R41" s="94" t="s">
        <v>77</v>
      </c>
      <c r="S41" s="44">
        <v>45910</v>
      </c>
      <c r="T41" s="250">
        <v>47004</v>
      </c>
      <c r="U41" s="250">
        <v>47304</v>
      </c>
      <c r="V41" s="44">
        <v>47305</v>
      </c>
      <c r="W41" s="255">
        <f>Table13[[#This Row],[نهاية المشروع المعدلة PMO LIVE]]-Table13[[#This Row],[نهاية المشروع المعدلة EPPM]]</f>
        <v>1</v>
      </c>
      <c r="X41" s="255" t="s">
        <v>169</v>
      </c>
      <c r="Y41" s="253">
        <v>47362</v>
      </c>
      <c r="Z41" s="101">
        <f>_xlfn.XLOOKUP(Table13[[#This Row],[PO]],Table156101114[PO],Table156101114[[النهاية المتوقعة ]],0)</f>
        <v>47369</v>
      </c>
      <c r="AA41" s="721">
        <f>Table13[[#This Row],[النهاية طبقاً للتحديث الاسبوعي الحالي]]-Table13[[#This Row],[النهاية طبقاً للتحديث الاسبوعي السابق]]</f>
        <v>7</v>
      </c>
      <c r="AB41" s="524">
        <v>22395000</v>
      </c>
      <c r="AC41" s="109">
        <v>25754250</v>
      </c>
      <c r="AD41" s="258">
        <v>6.3399999999999998E-2</v>
      </c>
      <c r="AE41" s="258">
        <v>5.2499999999999998E-2</v>
      </c>
      <c r="AF41" s="90">
        <f>_xlfn.XLOOKUP(Table13[[#This Row],[PO]],Table156101114[PO],Table156101114[المخطط % 15 اكتوبر2026],0)</f>
        <v>6.5000000000000002E-2</v>
      </c>
      <c r="AG41" s="90">
        <f>_xlfn.XLOOKUP(Table13[[#This Row],[PO]],Table156101114[PO],Table156101114[Act %],0)</f>
        <v>5.2499999999999998E-2</v>
      </c>
      <c r="AH41" s="627">
        <f>Table13[[#This Row],[المخطط % التراكمي]]-Table13[[#This Row],[المخطط % - الإسبوع السابق ]]</f>
        <v>1.6000000000000042E-3</v>
      </c>
      <c r="AI41" s="632">
        <f>Table13[[#This Row],[المنفذ % التراكمي]]-Table13[[#This Row],[المنفذ % - الإسبوع السابق]]</f>
        <v>0</v>
      </c>
      <c r="AJ41" s="102">
        <f>Table13[[#This Row],[المنفذ % التراكمي]]-Table13[[#This Row],[المخطط % التراكمي]]</f>
        <v>-1.2500000000000004E-2</v>
      </c>
      <c r="AK41" s="637"/>
      <c r="AL41" s="637"/>
      <c r="AM41" s="675"/>
      <c r="AN41" s="675"/>
      <c r="AO41" s="675"/>
      <c r="AP41" s="675"/>
      <c r="AQ41" s="91">
        <f>_xlfn.XLOOKUP(Table13[[#This Row],[PO]],Table156101114[PO],Table156101114[TF],0)</f>
        <v>-55</v>
      </c>
      <c r="AR41" s="276">
        <f>Table13[[#This Row],[نسبة الإنجاز المتبقية %]]/(Table13[[#This Row],[مدة المشروع المتبقية بالشهور]])</f>
        <v>2.85678391959799E-2</v>
      </c>
      <c r="AS41" s="70">
        <v>6.7962348738557721E-2</v>
      </c>
      <c r="AT41" s="70">
        <v>0</v>
      </c>
      <c r="AU41" s="446">
        <v>0</v>
      </c>
      <c r="AV41" s="70">
        <v>0</v>
      </c>
      <c r="AW41" s="449">
        <v>0</v>
      </c>
      <c r="AX41" s="440">
        <f>100%-Table13[[#This Row],[المنفذ % التراكمي]]</f>
        <v>0.94750000000000001</v>
      </c>
      <c r="AY41" s="440">
        <f>100%-Table13[[#This Row],[نسبة المدة المنقضية %]]</f>
        <v>0.71326164874551967</v>
      </c>
      <c r="AZ41" s="70">
        <f>_xlfn.XLOOKUP(Table13[[#This Row],[PO]],Table156101114[PO],Table156101114[المدة المنقضية],0)</f>
        <v>0.28673835125448027</v>
      </c>
      <c r="BA41" s="70" t="s">
        <v>122</v>
      </c>
      <c r="BB41" s="108" t="s">
        <v>122</v>
      </c>
      <c r="BC41" s="96">
        <f>_xlfn.XLOOKUP(Table13[[#This Row],[PO]],Table156101114[PO],Table156101114[SPI],0)</f>
        <v>0.8076923076923076</v>
      </c>
      <c r="BD41" s="359">
        <f>Table13[[#This Row],[نسبة المدة المنقضية %]]*Table13[[#This Row],[مدة المشروع الكلية بالشهور]]</f>
        <v>13.333333333333332</v>
      </c>
      <c r="BE41" s="360">
        <f>Table13[[#This Row],[نسبة المدة المتبقية %]]*Table13[[#This Row],[مدة المشروع الكلية بالشهور]]</f>
        <v>33.166666666666664</v>
      </c>
      <c r="BF41" s="360">
        <f>(Table13[[#This Row],[نهاية المشروع المعدلة PMO LIVE]]-Table13[[#This Row],[بداية المشروع التعاقدية]])</f>
        <v>1395</v>
      </c>
      <c r="BG41" s="361">
        <f>(Table13[[#This Row],[نهاية المشروع المعدلة PMO LIVE]]-Table13[[#This Row],[بداية المشروع التعاقدية]])/30</f>
        <v>46.5</v>
      </c>
      <c r="BH41" s="260">
        <f>1.25*Table13[[#This Row],[مدة المشروع بالايام]]</f>
        <v>1743.75</v>
      </c>
      <c r="BI41" s="621">
        <f>Table13[[#This Row],[125%من مدة المشروع]]+Table13[[#This Row],[بداية المشروع التعاقدية]]</f>
        <v>47653.75</v>
      </c>
      <c r="BJ41" s="648">
        <f>Table13[[#This Row],[قيمة المشروع بالضريبة]]*Table13[[#This Row],[المخطط % التراكمي]]</f>
        <v>1674026.25</v>
      </c>
      <c r="BK41" s="269">
        <f>Table13[[#This Row],[قيمة المشروع بالضريبة]]*Table13[[#This Row],[المنفذ % التراكمي]]</f>
        <v>1352098.125</v>
      </c>
      <c r="BL41" s="316">
        <f>Table13[[#This Row],[نسبة الإنجاز المتبقية %]]*Table13[[#This Row],[قيمة المشروع بالضريبة]]</f>
        <v>24402151.875</v>
      </c>
      <c r="BM41" s="316">
        <f>Table13[[#This Row],[نسبة الإيقاف%]]*Table13[[#This Row],[قيمة المشروع بالضريبة]]</f>
        <v>0</v>
      </c>
      <c r="BN41" s="317">
        <f>Table13[[#This Row],[Suspended Budget]]/Table13[[#This Row],[Remaining Budget]]</f>
        <v>0</v>
      </c>
      <c r="BQ41" s="903"/>
      <c r="BR41" s="904"/>
      <c r="BS41" s="904"/>
    </row>
    <row r="42" spans="1:71" ht="30" hidden="1" customHeight="1">
      <c r="A42" s="79">
        <f>SUBTOTAL(3,$D$3:D42)</f>
        <v>7</v>
      </c>
      <c r="B42" s="485">
        <v>10278</v>
      </c>
      <c r="C42" s="143" t="s">
        <v>222</v>
      </c>
      <c r="D42" s="144">
        <v>901240105</v>
      </c>
      <c r="E42" s="143" t="s">
        <v>68</v>
      </c>
      <c r="F42" s="143" t="s">
        <v>321</v>
      </c>
      <c r="G42" s="553" t="s">
        <v>151</v>
      </c>
      <c r="H42" s="553" t="s">
        <v>155</v>
      </c>
      <c r="I42" s="143" t="s">
        <v>75</v>
      </c>
      <c r="J42" s="143" t="s">
        <v>111</v>
      </c>
      <c r="K42" s="144" t="s">
        <v>73</v>
      </c>
      <c r="L42" s="144">
        <v>0</v>
      </c>
      <c r="M42" s="144" t="s">
        <v>259</v>
      </c>
      <c r="N42" s="595" t="s">
        <v>120</v>
      </c>
      <c r="O42" s="149">
        <v>0</v>
      </c>
      <c r="P42" s="143" t="s">
        <v>72</v>
      </c>
      <c r="Q42" s="94" t="s">
        <v>77</v>
      </c>
      <c r="R42" s="94" t="s">
        <v>77</v>
      </c>
      <c r="S42" s="145">
        <v>45490</v>
      </c>
      <c r="T42" s="251">
        <v>46585</v>
      </c>
      <c r="U42" s="251">
        <v>47003</v>
      </c>
      <c r="V42" s="145">
        <v>47004</v>
      </c>
      <c r="W42" s="256">
        <f>Table13[[#This Row],[نهاية المشروع المعدلة PMO LIVE]]-Table13[[#This Row],[نهاية المشروع المعدلة EPPM]]</f>
        <v>1</v>
      </c>
      <c r="X42" s="256" t="s">
        <v>169</v>
      </c>
      <c r="Y42" s="251">
        <v>47191</v>
      </c>
      <c r="Z42" s="145">
        <f>_xlfn.XLOOKUP(Table13[[#This Row],[PO]],Table156101114[PO],Table156101114[[النهاية المتوقعة ]],0)</f>
        <v>47198</v>
      </c>
      <c r="AA42" s="724">
        <f>Table13[[#This Row],[النهاية طبقاً للتحديث الاسبوعي الحالي]]-Table13[[#This Row],[النهاية طبقاً للتحديث الاسبوعي السابق]]</f>
        <v>7</v>
      </c>
      <c r="AB42" s="526">
        <v>55361550</v>
      </c>
      <c r="AC42" s="146">
        <v>63665782.5</v>
      </c>
      <c r="AD42" s="259">
        <v>0.16120000000000001</v>
      </c>
      <c r="AE42" s="259">
        <v>0.15540000000000001</v>
      </c>
      <c r="AF42" s="147">
        <f>_xlfn.XLOOKUP(Table13[[#This Row],[PO]],Table156101114[PO],Table156101114[المخطط % 15 اكتوبر2026],0)</f>
        <v>0.16259999999999999</v>
      </c>
      <c r="AG42" s="147">
        <f>_xlfn.XLOOKUP(Table13[[#This Row],[PO]],Table156101114[PO],Table156101114[Act %],0)</f>
        <v>0.15620000000000001</v>
      </c>
      <c r="AH42" s="633">
        <f>Table13[[#This Row],[المخطط % التراكمي]]-Table13[[#This Row],[المخطط % - الإسبوع السابق ]]</f>
        <v>1.3999999999999846E-3</v>
      </c>
      <c r="AI42" s="633">
        <f>Table13[[#This Row],[المنفذ % التراكمي]]-Table13[[#This Row],[المنفذ % - الإسبوع السابق]]</f>
        <v>7.9999999999999516E-4</v>
      </c>
      <c r="AJ42" s="551">
        <f>Table13[[#This Row],[المنفذ % التراكمي]]-Table13[[#This Row],[المخطط % التراكمي]]</f>
        <v>-6.399999999999989E-3</v>
      </c>
      <c r="AK42" s="640"/>
      <c r="AL42" s="640"/>
      <c r="AM42" s="678"/>
      <c r="AN42" s="678"/>
      <c r="AO42" s="678"/>
      <c r="AP42" s="678"/>
      <c r="AQ42" s="148">
        <f>_xlfn.XLOOKUP(Table13[[#This Row],[PO]],Table156101114[PO],Table156101114[TF],0)</f>
        <v>-166</v>
      </c>
      <c r="AR42" s="278">
        <f>Table13[[#This Row],[نسبة الإنجاز المتبقية %]]/(Table13[[#This Row],[مدة المشروع المتبقية بالشهور]])</f>
        <v>3.6475504322766562E-2</v>
      </c>
      <c r="AS42" s="149">
        <v>0.16633175913607909</v>
      </c>
      <c r="AT42" s="149">
        <f>Table13[[#This Row],[نسبة المخطط التراكمي حتى 31 أكتوبر 2026]]-9.9%</f>
        <v>6.7331759136079083E-2</v>
      </c>
      <c r="AU42" s="493">
        <v>0</v>
      </c>
      <c r="AV42" s="149">
        <v>0</v>
      </c>
      <c r="AW42" s="494">
        <v>0</v>
      </c>
      <c r="AX42" s="442">
        <f>100%-Table13[[#This Row],[المنفذ % التراكمي]]</f>
        <v>0.84379999999999999</v>
      </c>
      <c r="AY42" s="442">
        <f>100%-Table13[[#This Row],[نسبة المدة المنقضية %]]</f>
        <v>0.45838837516512554</v>
      </c>
      <c r="AZ42" s="149">
        <f>_xlfn.XLOOKUP(Table13[[#This Row],[PO]],Table156101114[PO],Table156101114[المدة المنقضية],0)</f>
        <v>0.54161162483487446</v>
      </c>
      <c r="BA42" s="149" t="s">
        <v>122</v>
      </c>
      <c r="BB42" s="150" t="s">
        <v>122</v>
      </c>
      <c r="BC42" s="151">
        <f>_xlfn.XLOOKUP(Table13[[#This Row],[PO]],Table156101114[PO],Table156101114[SPI],0)</f>
        <v>0.96063960639606405</v>
      </c>
      <c r="BD42" s="362">
        <f>Table13[[#This Row],[نسبة المدة المنقضية %]]*Table13[[#This Row],[مدة المشروع الكلية بالشهور]]</f>
        <v>27.333333333333332</v>
      </c>
      <c r="BE42" s="363">
        <f>Table13[[#This Row],[نسبة المدة المتبقية %]]*Table13[[#This Row],[مدة المشروع الكلية بالشهور]]</f>
        <v>23.133333333333336</v>
      </c>
      <c r="BF42" s="363">
        <f>(Table13[[#This Row],[نهاية المشروع المعدلة PMO LIVE]]-Table13[[#This Row],[بداية المشروع التعاقدية]])</f>
        <v>1514</v>
      </c>
      <c r="BG42" s="364">
        <f>(Table13[[#This Row],[نهاية المشروع المعدلة PMO LIVE]]-Table13[[#This Row],[بداية المشروع التعاقدية]])/30</f>
        <v>50.466666666666669</v>
      </c>
      <c r="BH42" s="262">
        <f>1.25*Table13[[#This Row],[مدة المشروع بالايام]]</f>
        <v>1892.5</v>
      </c>
      <c r="BI42" s="561">
        <f>Table13[[#This Row],[125%من مدة المشروع]]+Table13[[#This Row],[بداية المشروع التعاقدية]]</f>
        <v>47382.5</v>
      </c>
      <c r="BJ42" s="652">
        <f>Table13[[#This Row],[قيمة المشروع بالضريبة]]*Table13[[#This Row],[المخطط % التراكمي]]</f>
        <v>10352056.2345</v>
      </c>
      <c r="BK42" s="271">
        <f>Table13[[#This Row],[قيمة المشروع بالضريبة]]*Table13[[#This Row],[المنفذ % التراكمي]]</f>
        <v>9944595.2265000008</v>
      </c>
      <c r="BL42" s="318">
        <f>Table13[[#This Row],[نسبة الإنجاز المتبقية %]]*Table13[[#This Row],[قيمة المشروع بالضريبة]]</f>
        <v>53721187.273500003</v>
      </c>
      <c r="BM42" s="318">
        <f>Table13[[#This Row],[نسبة الإيقاف%]]*Table13[[#This Row],[قيمة المشروع بالضريبة]]</f>
        <v>0</v>
      </c>
      <c r="BN42" s="319">
        <f>Table13[[#This Row],[Suspended Budget]]/Table13[[#This Row],[Remaining Budget]]</f>
        <v>0</v>
      </c>
      <c r="BQ42" s="903"/>
      <c r="BR42" s="904"/>
      <c r="BS42" s="904"/>
    </row>
    <row r="43" spans="1:71" s="322" customFormat="1" ht="30" hidden="1" customHeight="1">
      <c r="A43" s="80">
        <f>SUBTOTAL(3,$D$3:D43)</f>
        <v>7</v>
      </c>
      <c r="B43" s="83">
        <v>10101</v>
      </c>
      <c r="C43" s="43" t="s">
        <v>230</v>
      </c>
      <c r="D43" s="42">
        <v>901230145</v>
      </c>
      <c r="E43" s="43" t="s">
        <v>56</v>
      </c>
      <c r="F43" s="43" t="s">
        <v>319</v>
      </c>
      <c r="G43" s="152" t="s">
        <v>266</v>
      </c>
      <c r="H43" s="43" t="s">
        <v>365</v>
      </c>
      <c r="I43" s="43" t="s">
        <v>173</v>
      </c>
      <c r="J43" s="43" t="s">
        <v>123</v>
      </c>
      <c r="K43" s="42" t="s">
        <v>116</v>
      </c>
      <c r="L43" s="42">
        <v>0</v>
      </c>
      <c r="M43" s="42" t="s">
        <v>259</v>
      </c>
      <c r="N43" s="593" t="s">
        <v>121</v>
      </c>
      <c r="O43" s="70">
        <v>0</v>
      </c>
      <c r="P43" s="43" t="s">
        <v>72</v>
      </c>
      <c r="Q43" s="94" t="s">
        <v>77</v>
      </c>
      <c r="R43" s="94" t="s">
        <v>77</v>
      </c>
      <c r="S43" s="44">
        <v>45190</v>
      </c>
      <c r="T43" s="250">
        <v>46286</v>
      </c>
      <c r="U43" s="250">
        <v>46706</v>
      </c>
      <c r="V43" s="44">
        <v>46706</v>
      </c>
      <c r="W43" s="255">
        <f>Table13[[#This Row],[نهاية المشروع المعدلة PMO LIVE]]-Table13[[#This Row],[نهاية المشروع المعدلة EPPM]]</f>
        <v>0</v>
      </c>
      <c r="X43" s="255" t="s">
        <v>169</v>
      </c>
      <c r="Y43" s="250">
        <v>46893</v>
      </c>
      <c r="Z43" s="44">
        <f>_xlfn.XLOOKUP(Table13[[#This Row],[PO]],Table156101114[PO],Table156101114[[النهاية المتوقعة ]],0)</f>
        <v>46900</v>
      </c>
      <c r="AA43" s="719">
        <f>Table13[[#This Row],[النهاية طبقاً للتحديث الاسبوعي الحالي]]-Table13[[#This Row],[النهاية طبقاً للتحديث الاسبوعي السابق]]</f>
        <v>7</v>
      </c>
      <c r="AB43" s="522">
        <v>49347884</v>
      </c>
      <c r="AC43" s="109">
        <v>56750066.600000001</v>
      </c>
      <c r="AD43" s="258">
        <v>0.50609999999999999</v>
      </c>
      <c r="AE43" s="258">
        <v>0.50480000000000003</v>
      </c>
      <c r="AF43" s="45">
        <f>_xlfn.XLOOKUP(Table13[[#This Row],[PO]],Table156101114[PO],Table156101114[المخطط % 15 اكتوبر2026],0)</f>
        <v>0.50680000000000003</v>
      </c>
      <c r="AG43" s="45">
        <f>_xlfn.XLOOKUP(Table13[[#This Row],[PO]],Table156101114[PO],Table156101114[Act %],0)</f>
        <v>0.50539999999999996</v>
      </c>
      <c r="AH43" s="629">
        <f>Table13[[#This Row],[المخطط % التراكمي]]-Table13[[#This Row],[المخطط % - الإسبوع السابق ]]</f>
        <v>7.0000000000003393E-4</v>
      </c>
      <c r="AI43" s="629">
        <f>Table13[[#This Row],[المنفذ % التراكمي]]-Table13[[#This Row],[المنفذ % - الإسبوع السابق]]</f>
        <v>5.9999999999993392E-4</v>
      </c>
      <c r="AJ43" s="51">
        <f>Table13[[#This Row],[المنفذ % التراكمي]]-Table13[[#This Row],[المخطط % التراكمي]]</f>
        <v>-1.4000000000000679E-3</v>
      </c>
      <c r="AK43" s="636"/>
      <c r="AL43" s="636"/>
      <c r="AM43" s="673"/>
      <c r="AN43" s="673"/>
      <c r="AO43" s="673"/>
      <c r="AP43" s="673"/>
      <c r="AQ43" s="107">
        <f>_xlfn.XLOOKUP(Table13[[#This Row],[PO]],Table156101114[PO],Table156101114[TF],0)</f>
        <v>-166</v>
      </c>
      <c r="AR43" s="276">
        <f>Table13[[#This Row],[نسبة الإنجاز المتبقية %]]/(Table13[[#This Row],[مدة المشروع المتبقية بالشهور]])</f>
        <v>3.7469696969696972E-2</v>
      </c>
      <c r="AS43" s="70">
        <v>0.50848077172395434</v>
      </c>
      <c r="AT43" s="70">
        <f>Table13[[#This Row],[نسبة المخطط التراكمي حتى 31 أكتوبر 2026]]-9.9%</f>
        <v>0.40948077172395436</v>
      </c>
      <c r="AU43" s="446">
        <v>0</v>
      </c>
      <c r="AV43" s="70">
        <f>Table13[[#This Row],[نسبة المخطط التراكمي حتى 31 أكتوبر 2026]]-24.9%</f>
        <v>0.25948077172395434</v>
      </c>
      <c r="AW43" s="449">
        <v>0</v>
      </c>
      <c r="AX43" s="440">
        <f>100%-Table13[[#This Row],[المنفذ % التراكمي]]</f>
        <v>0.49460000000000004</v>
      </c>
      <c r="AY43" s="440">
        <f>100%-Table13[[#This Row],[نسبة المدة المنقضية %]]</f>
        <v>0.26121372031662271</v>
      </c>
      <c r="AZ43" s="70">
        <f>_xlfn.XLOOKUP(Table13[[#This Row],[PO]],Table156101114[PO],Table156101114[المدة المنقضية],0)</f>
        <v>0.73878627968337729</v>
      </c>
      <c r="BA43" s="70" t="s">
        <v>122</v>
      </c>
      <c r="BB43" s="108" t="s">
        <v>122</v>
      </c>
      <c r="BC43" s="96">
        <f>_xlfn.XLOOKUP(Table13[[#This Row],[PO]],Table156101114[PO],Table156101114[SPI],0)</f>
        <v>0.99723756906077332</v>
      </c>
      <c r="BD43" s="359">
        <f>Table13[[#This Row],[نسبة المدة المنقضية %]]*Table13[[#This Row],[مدة المشروع الكلية بالشهور]]</f>
        <v>37.333333333333329</v>
      </c>
      <c r="BE43" s="360">
        <f>Table13[[#This Row],[نسبة المدة المتبقية %]]*Table13[[#This Row],[مدة المشروع الكلية بالشهور]]</f>
        <v>13.200000000000001</v>
      </c>
      <c r="BF43" s="360">
        <f>(Table13[[#This Row],[نهاية المشروع المعدلة PMO LIVE]]-Table13[[#This Row],[بداية المشروع التعاقدية]])</f>
        <v>1516</v>
      </c>
      <c r="BG43" s="361">
        <f>(Table13[[#This Row],[نهاية المشروع المعدلة PMO LIVE]]-Table13[[#This Row],[بداية المشروع التعاقدية]])/30</f>
        <v>50.533333333333331</v>
      </c>
      <c r="BH43" s="260">
        <f>1.25*Table13[[#This Row],[مدة المشروع بالايام]]</f>
        <v>1895</v>
      </c>
      <c r="BI43" s="621">
        <f>Table13[[#This Row],[125%من مدة المشروع]]+Table13[[#This Row],[بداية المشروع التعاقدية]]</f>
        <v>47085</v>
      </c>
      <c r="BJ43" s="648">
        <f>Table13[[#This Row],[قيمة المشروع بالضريبة]]*Table13[[#This Row],[المخطط % التراكمي]]</f>
        <v>28760933.752880003</v>
      </c>
      <c r="BK43" s="269">
        <f>Table13[[#This Row],[قيمة المشروع بالضريبة]]*Table13[[#This Row],[المنفذ % التراكمي]]</f>
        <v>28681483.659639999</v>
      </c>
      <c r="BL43" s="316">
        <f>Table13[[#This Row],[نسبة الإنجاز المتبقية %]]*Table13[[#This Row],[قيمة المشروع بالضريبة]]</f>
        <v>28068582.940360002</v>
      </c>
      <c r="BM43" s="316">
        <f>Table13[[#This Row],[نسبة الإيقاف%]]*Table13[[#This Row],[قيمة المشروع بالضريبة]]</f>
        <v>0</v>
      </c>
      <c r="BN43" s="317">
        <f>Table13[[#This Row],[Suspended Budget]]/Table13[[#This Row],[Remaining Budget]]</f>
        <v>0</v>
      </c>
      <c r="BQ43" s="903"/>
      <c r="BR43" s="904"/>
      <c r="BS43" s="904"/>
    </row>
    <row r="44" spans="1:71" ht="30" hidden="1" customHeight="1">
      <c r="A44" s="292">
        <f>SUBTOTAL(3,$D$3:D44)</f>
        <v>7</v>
      </c>
      <c r="B44" s="281" t="s">
        <v>301</v>
      </c>
      <c r="C44" s="282" t="s">
        <v>217</v>
      </c>
      <c r="D44" s="283">
        <v>901240327</v>
      </c>
      <c r="E44" s="282" t="s">
        <v>106</v>
      </c>
      <c r="F44" s="282" t="s">
        <v>318</v>
      </c>
      <c r="G44" s="664" t="s">
        <v>159</v>
      </c>
      <c r="H44" s="665" t="s">
        <v>162</v>
      </c>
      <c r="I44" s="282" t="s">
        <v>102</v>
      </c>
      <c r="J44" s="282" t="s">
        <v>123</v>
      </c>
      <c r="K44" s="283" t="s">
        <v>116</v>
      </c>
      <c r="L44" s="283">
        <v>6</v>
      </c>
      <c r="M44" s="283" t="s">
        <v>259</v>
      </c>
      <c r="N44" s="596" t="s">
        <v>121</v>
      </c>
      <c r="O44" s="208">
        <v>0</v>
      </c>
      <c r="P44" s="282" t="s">
        <v>72</v>
      </c>
      <c r="Q44" s="94" t="s">
        <v>77</v>
      </c>
      <c r="R44" s="94" t="s">
        <v>77</v>
      </c>
      <c r="S44" s="284">
        <v>45753</v>
      </c>
      <c r="T44" s="285">
        <v>46482</v>
      </c>
      <c r="U44" s="285">
        <v>46866</v>
      </c>
      <c r="V44" s="284">
        <v>46866</v>
      </c>
      <c r="W44" s="286">
        <f>Table13[[#This Row],[نهاية المشروع المعدلة PMO LIVE]]-Table13[[#This Row],[نهاية المشروع المعدلة EPPM]]</f>
        <v>0</v>
      </c>
      <c r="X44" s="286" t="s">
        <v>169</v>
      </c>
      <c r="Y44" s="285">
        <v>47051</v>
      </c>
      <c r="Z44" s="284">
        <f>_xlfn.XLOOKUP(Table13[[#This Row],[PO]],Table156101114[PO],Table156101114[[النهاية المتوقعة ]],0)</f>
        <v>47057</v>
      </c>
      <c r="AA44" s="723">
        <f>Table13[[#This Row],[النهاية طبقاً للتحديث الاسبوعي الحالي]]-Table13[[#This Row],[النهاية طبقاً للتحديث الاسبوعي السابق]]</f>
        <v>6</v>
      </c>
      <c r="AB44" s="527">
        <v>13440419.5</v>
      </c>
      <c r="AC44" s="287">
        <v>15456482.43</v>
      </c>
      <c r="AD44" s="288">
        <v>9.8500000000000004E-2</v>
      </c>
      <c r="AE44" s="288">
        <v>7.0000000000000007E-2</v>
      </c>
      <c r="AF44" s="546">
        <f>_xlfn.XLOOKUP(Table13[[#This Row],[PO]],Table156101114[PO],Table156101114[المخطط % 15 اكتوبر2026],0)</f>
        <v>0.1045</v>
      </c>
      <c r="AG44" s="546">
        <f>_xlfn.XLOOKUP(Table13[[#This Row],[PO]],Table156101114[PO],Table156101114[Act %],0)</f>
        <v>7.0000000000000007E-2</v>
      </c>
      <c r="AH44" s="633">
        <f>Table13[[#This Row],[المخطط % التراكمي]]-Table13[[#This Row],[المخطط % - الإسبوع السابق ]]</f>
        <v>5.9999999999999915E-3</v>
      </c>
      <c r="AI44" s="633">
        <f>Table13[[#This Row],[المنفذ % التراكمي]]-Table13[[#This Row],[المنفذ % - الإسبوع السابق]]</f>
        <v>0</v>
      </c>
      <c r="AJ44" s="554">
        <f>Table13[[#This Row],[المنفذ % التراكمي]]-Table13[[#This Row],[المخطط % التراكمي]]</f>
        <v>-3.4499999999999989E-2</v>
      </c>
      <c r="AK44" s="639"/>
      <c r="AL44" s="639"/>
      <c r="AM44" s="677"/>
      <c r="AN44" s="677"/>
      <c r="AO44" s="677"/>
      <c r="AP44" s="677"/>
      <c r="AQ44" s="547">
        <f>_xlfn.XLOOKUP(Table13[[#This Row],[PO]],Table156101114[PO],Table156101114[TF],0)</f>
        <v>-165</v>
      </c>
      <c r="AR44" s="289">
        <f>Table13[[#This Row],[نسبة الإنجاز المتبقية %]]/(Table13[[#This Row],[مدة المشروع المتبقية بالشهور]])</f>
        <v>5.0179856115107904E-2</v>
      </c>
      <c r="AS44" s="208">
        <v>0.12158999681921717</v>
      </c>
      <c r="AT44" s="208">
        <f>Table13[[#This Row],[نسبة المخطط التراكمي حتى 31 أكتوبر 2026]]-9.9%</f>
        <v>2.2589996819217167E-2</v>
      </c>
      <c r="AU44" s="447">
        <v>0</v>
      </c>
      <c r="AV44" s="208">
        <v>0</v>
      </c>
      <c r="AW44" s="450">
        <v>0</v>
      </c>
      <c r="AX44" s="441">
        <f>100%-Table13[[#This Row],[المنفذ % التراكمي]]</f>
        <v>0.92999999999999994</v>
      </c>
      <c r="AY44" s="441">
        <f>100%-Table13[[#This Row],[نسبة المدة المنقضية %]]</f>
        <v>0.49955076370170715</v>
      </c>
      <c r="AZ44" s="208">
        <f>_xlfn.XLOOKUP(Table13[[#This Row],[PO]],Table156101114[PO],Table156101114[المدة المنقضية],0)</f>
        <v>0.50044923629829285</v>
      </c>
      <c r="BA44" s="208" t="s">
        <v>122</v>
      </c>
      <c r="BB44" s="290" t="s">
        <v>122</v>
      </c>
      <c r="BC44" s="291">
        <f>_xlfn.XLOOKUP(Table13[[#This Row],[PO]],Table156101114[PO],Table156101114[SPI],0)</f>
        <v>0.66985645933014359</v>
      </c>
      <c r="BD44" s="362">
        <f>Table13[[#This Row],[نسبة المدة المنقضية %]]*Table13[[#This Row],[مدة المشروع الكلية بالشهور]]</f>
        <v>18.566666666666666</v>
      </c>
      <c r="BE44" s="363">
        <f>Table13[[#This Row],[نسبة المدة المتبقية %]]*Table13[[#This Row],[مدة المشروع الكلية بالشهور]]</f>
        <v>18.533333333333335</v>
      </c>
      <c r="BF44" s="363">
        <f>(Table13[[#This Row],[نهاية المشروع المعدلة PMO LIVE]]-Table13[[#This Row],[بداية المشروع التعاقدية]])</f>
        <v>1113</v>
      </c>
      <c r="BG44" s="364">
        <f>(Table13[[#This Row],[نهاية المشروع المعدلة PMO LIVE]]-Table13[[#This Row],[بداية المشروع التعاقدية]])/30</f>
        <v>37.1</v>
      </c>
      <c r="BH44" s="262">
        <f>1.25*Table13[[#This Row],[مدة المشروع بالايام]]</f>
        <v>1391.25</v>
      </c>
      <c r="BI44" s="555">
        <f>Table13[[#This Row],[125%من مدة المشروع]]+Table13[[#This Row],[بداية المشروع التعاقدية]]</f>
        <v>47144.25</v>
      </c>
      <c r="BJ44" s="652">
        <f>Table13[[#This Row],[قيمة المشروع بالضريبة]]*Table13[[#This Row],[المخطط % التراكمي]]</f>
        <v>1615202.4139349998</v>
      </c>
      <c r="BK44" s="271">
        <f>Table13[[#This Row],[قيمة المشروع بالضريبة]]*Table13[[#This Row],[المنفذ % التراكمي]]</f>
        <v>1081953.7701000001</v>
      </c>
      <c r="BL44" s="318">
        <f>Table13[[#This Row],[نسبة الإنجاز المتبقية %]]*Table13[[#This Row],[قيمة المشروع بالضريبة]]</f>
        <v>14374528.659899998</v>
      </c>
      <c r="BM44" s="318">
        <f>Table13[[#This Row],[نسبة الإيقاف%]]*Table13[[#This Row],[قيمة المشروع بالضريبة]]</f>
        <v>0</v>
      </c>
      <c r="BN44" s="319">
        <f>Table13[[#This Row],[Suspended Budget]]/Table13[[#This Row],[Remaining Budget]]</f>
        <v>0</v>
      </c>
      <c r="BQ44" s="903"/>
      <c r="BR44" s="904"/>
      <c r="BS44" s="904"/>
    </row>
    <row r="45" spans="1:71" s="322" customFormat="1" ht="30" hidden="1" customHeight="1" thickBot="1">
      <c r="A45" s="552">
        <f>SUBTOTAL(3,$D$3:D45)</f>
        <v>7</v>
      </c>
      <c r="B45" s="485" t="s">
        <v>310</v>
      </c>
      <c r="C45" s="143" t="s">
        <v>280</v>
      </c>
      <c r="D45" s="144">
        <v>901250253</v>
      </c>
      <c r="E45" s="143" t="s">
        <v>276</v>
      </c>
      <c r="F45" s="143" t="s">
        <v>319</v>
      </c>
      <c r="G45" s="143" t="s">
        <v>266</v>
      </c>
      <c r="H45" s="143" t="s">
        <v>412</v>
      </c>
      <c r="I45" s="143" t="s">
        <v>241</v>
      </c>
      <c r="J45" s="143" t="s">
        <v>123</v>
      </c>
      <c r="K45" s="144" t="s">
        <v>116</v>
      </c>
      <c r="L45" s="144">
        <v>0</v>
      </c>
      <c r="M45" s="144" t="s">
        <v>259</v>
      </c>
      <c r="N45" s="595" t="s">
        <v>120</v>
      </c>
      <c r="O45" s="149">
        <v>0</v>
      </c>
      <c r="P45" s="143" t="s">
        <v>72</v>
      </c>
      <c r="Q45" s="94" t="s">
        <v>77</v>
      </c>
      <c r="R45" s="94" t="s">
        <v>77</v>
      </c>
      <c r="S45" s="145">
        <v>45981</v>
      </c>
      <c r="T45" s="251">
        <v>47076</v>
      </c>
      <c r="U45" s="251">
        <v>47307</v>
      </c>
      <c r="V45" s="145">
        <v>47307</v>
      </c>
      <c r="W45" s="256">
        <f>Table13[[#This Row],[نهاية المشروع المعدلة PMO LIVE]]-Table13[[#This Row],[نهاية المشروع المعدلة EPPM]]</f>
        <v>0</v>
      </c>
      <c r="X45" s="256" t="s">
        <v>169</v>
      </c>
      <c r="Y45" s="622">
        <v>47478</v>
      </c>
      <c r="Z45" s="145">
        <f>_xlfn.XLOOKUP(Table13[[#This Row],[PO]],Table156101114[PO],Table156101114[[النهاية المتوقعة ]],0)</f>
        <v>47485</v>
      </c>
      <c r="AA45" s="724">
        <f>Table13[[#This Row],[النهاية طبقاً للتحديث الاسبوعي الحالي]]-Table13[[#This Row],[النهاية طبقاً للتحديث الاسبوعي السابق]]</f>
        <v>7</v>
      </c>
      <c r="AB45" s="526">
        <v>59439100</v>
      </c>
      <c r="AC45" s="146">
        <v>68354965</v>
      </c>
      <c r="AD45" s="259">
        <v>3.5099999999999999E-2</v>
      </c>
      <c r="AE45" s="259">
        <v>1.34E-2</v>
      </c>
      <c r="AF45" s="623">
        <f>_xlfn.XLOOKUP(Table13[[#This Row],[PO]],Table156101114[PO],Table156101114[المخطط % 15 اكتوبر2026],0)</f>
        <v>3.6499999999999998E-2</v>
      </c>
      <c r="AG45" s="623">
        <f>_xlfn.XLOOKUP(Table13[[#This Row],[PO]],Table156101114[PO],Table156101114[Act %],0)</f>
        <v>1.4E-2</v>
      </c>
      <c r="AH45" s="641">
        <f>Table13[[#This Row],[المخطط % التراكمي]]-Table13[[#This Row],[المخطط % - الإسبوع السابق ]]</f>
        <v>1.3999999999999985E-3</v>
      </c>
      <c r="AI45" s="633">
        <f>Table13[[#This Row],[المنفذ % التراكمي]]-Table13[[#This Row],[المنفذ % - الإسبوع السابق]]</f>
        <v>5.9999999999999984E-4</v>
      </c>
      <c r="AJ45" s="624">
        <f>Table13[[#This Row],[المنفذ % التراكمي]]-Table13[[#This Row],[المخطط % التراكمي]]</f>
        <v>-2.2499999999999999E-2</v>
      </c>
      <c r="AK45" s="634"/>
      <c r="AL45" s="634"/>
      <c r="AM45" s="678"/>
      <c r="AN45" s="678"/>
      <c r="AO45" s="678"/>
      <c r="AP45" s="678"/>
      <c r="AQ45" s="148">
        <f>_xlfn.XLOOKUP(Table13[[#This Row],[PO]],Table156101114[PO],Table156101114[TF],0)</f>
        <v>-153</v>
      </c>
      <c r="AR45" s="278">
        <f>Table13[[#This Row],[نسبة الإنجاز المتبقية %]]/(Table13[[#This Row],[مدة المشروع المتبقية بالشهور]])</f>
        <v>2.9669007021063187E-2</v>
      </c>
      <c r="AS45" s="149">
        <v>3.9389495311803004E-2</v>
      </c>
      <c r="AT45" s="149">
        <v>0</v>
      </c>
      <c r="AU45" s="493">
        <v>0</v>
      </c>
      <c r="AV45" s="149">
        <v>0</v>
      </c>
      <c r="AW45" s="494">
        <v>0</v>
      </c>
      <c r="AX45" s="442">
        <f>100%-Table13[[#This Row],[المنفذ % التراكمي]]</f>
        <v>0.98599999999999999</v>
      </c>
      <c r="AY45" s="442">
        <f>100%-Table13[[#This Row],[نسبة المدة المنقضية %]]</f>
        <v>0.75188536953242835</v>
      </c>
      <c r="AZ45" s="149">
        <f>_xlfn.XLOOKUP(Table13[[#This Row],[PO]],Table156101114[PO],Table156101114[المدة المنقضية],0)</f>
        <v>0.24811463046757165</v>
      </c>
      <c r="BA45" s="149" t="s">
        <v>122</v>
      </c>
      <c r="BB45" s="150" t="s">
        <v>122</v>
      </c>
      <c r="BC45" s="151">
        <f>_xlfn.XLOOKUP(Table13[[#This Row],[PO]],Table156101114[PO],Table156101114[SPI],0)</f>
        <v>0.38356164383561647</v>
      </c>
      <c r="BD45" s="362">
        <f>Table13[[#This Row],[نسبة المدة المنقضية %]]*Table13[[#This Row],[مدة المشروع الكلية بالشهور]]</f>
        <v>10.966666666666667</v>
      </c>
      <c r="BE45" s="363">
        <f>Table13[[#This Row],[نسبة المدة المتبقية %]]*Table13[[#This Row],[مدة المشروع الكلية بالشهور]]</f>
        <v>33.233333333333334</v>
      </c>
      <c r="BF45" s="363">
        <f>(Table13[[#This Row],[نهاية المشروع المعدلة PMO LIVE]]-Table13[[#This Row],[بداية المشروع التعاقدية]])</f>
        <v>1326</v>
      </c>
      <c r="BG45" s="364">
        <f>(Table13[[#This Row],[نهاية المشروع المعدلة PMO LIVE]]-Table13[[#This Row],[بداية المشروع التعاقدية]])/30</f>
        <v>44.2</v>
      </c>
      <c r="BH45" s="262">
        <f>1.25*Table13[[#This Row],[مدة المشروع بالايام]]</f>
        <v>1657.5</v>
      </c>
      <c r="BI45" s="561">
        <f>Table13[[#This Row],[125%من مدة المشروع]]+Table13[[#This Row],[بداية المشروع التعاقدية]]</f>
        <v>47638.5</v>
      </c>
      <c r="BJ45" s="653">
        <f>Table13[[#This Row],[قيمة المشروع بالضريبة]]*Table13[[#This Row],[المخطط % التراكمي]]</f>
        <v>2494956.2224999997</v>
      </c>
      <c r="BK45" s="557">
        <f>Table13[[#This Row],[قيمة المشروع بالضريبة]]*Table13[[#This Row],[المنفذ % التراكمي]]</f>
        <v>956969.51</v>
      </c>
      <c r="BL45" s="318">
        <f>Table13[[#This Row],[نسبة الإنجاز المتبقية %]]*Table13[[#This Row],[قيمة المشروع بالضريبة]]</f>
        <v>67397995.489999995</v>
      </c>
      <c r="BM45" s="318">
        <f>Table13[[#This Row],[نسبة الإيقاف%]]*Table13[[#This Row],[قيمة المشروع بالضريبة]]</f>
        <v>0</v>
      </c>
      <c r="BN45" s="319">
        <f>Table13[[#This Row],[Suspended Budget]]/Table13[[#This Row],[Remaining Budget]]</f>
        <v>0</v>
      </c>
      <c r="BQ45" s="903"/>
      <c r="BR45" s="904"/>
      <c r="BS45" s="904"/>
    </row>
    <row r="46" spans="1:71" ht="30" hidden="1" customHeight="1" thickTop="1">
      <c r="A46" s="79">
        <f>SUBTOTAL(3,$D$3:D46)</f>
        <v>7</v>
      </c>
      <c r="B46" s="48" t="s">
        <v>519</v>
      </c>
      <c r="C46" s="34" t="s">
        <v>518</v>
      </c>
      <c r="D46" s="48">
        <v>901250461</v>
      </c>
      <c r="E46" s="34" t="s">
        <v>516</v>
      </c>
      <c r="F46" s="34" t="s">
        <v>320</v>
      </c>
      <c r="G46" s="34" t="s">
        <v>266</v>
      </c>
      <c r="H46" s="34" t="s">
        <v>167</v>
      </c>
      <c r="I46" s="34" t="s">
        <v>273</v>
      </c>
      <c r="J46" s="34" t="s">
        <v>123</v>
      </c>
      <c r="K46" s="48" t="s">
        <v>116</v>
      </c>
      <c r="L46" s="48">
        <v>0</v>
      </c>
      <c r="M46" s="48" t="s">
        <v>259</v>
      </c>
      <c r="N46" s="594" t="s">
        <v>120</v>
      </c>
      <c r="O46" s="69">
        <v>0</v>
      </c>
      <c r="P46" s="34" t="s">
        <v>72</v>
      </c>
      <c r="Q46" s="94" t="s">
        <v>77</v>
      </c>
      <c r="R46" s="94" t="s">
        <v>77</v>
      </c>
      <c r="S46" s="49">
        <v>46097</v>
      </c>
      <c r="T46" s="249">
        <v>46827</v>
      </c>
      <c r="U46" s="249">
        <v>46961</v>
      </c>
      <c r="V46" s="49">
        <v>46961</v>
      </c>
      <c r="W46" s="254">
        <f>Table13[[#This Row],[نهاية المشروع المعدلة PMO LIVE]]-Table13[[#This Row],[نهاية المشروع المعدلة EPPM]]</f>
        <v>0</v>
      </c>
      <c r="X46" s="254" t="s">
        <v>169</v>
      </c>
      <c r="Y46" s="252">
        <v>47082</v>
      </c>
      <c r="Z46" s="49">
        <f>_xlfn.XLOOKUP(Table13[[#This Row],[PO]],Table156101114[PO],Table156101114[[النهاية المتوقعة ]],0)</f>
        <v>47089</v>
      </c>
      <c r="AA46" s="716">
        <f>Table13[[#This Row],[النهاية طبقاً للتحديث الاسبوعي الحالي]]-Table13[[#This Row],[النهاية طبقاً للتحديث الاسبوعي السابق]]</f>
        <v>7</v>
      </c>
      <c r="AB46" s="523">
        <v>18949999</v>
      </c>
      <c r="AC46" s="110">
        <v>21792498.850000001</v>
      </c>
      <c r="AD46" s="257">
        <v>5.3999999999999999E-2</v>
      </c>
      <c r="AE46" s="257">
        <v>1.3599999999999999E-2</v>
      </c>
      <c r="AF46" s="81">
        <f>_xlfn.XLOOKUP(Table13[[#This Row],[PO]],Table156101114[PO],Table156101114[المخطط % 15 اكتوبر2026],0)</f>
        <v>5.4399999999999997E-2</v>
      </c>
      <c r="AG46" s="81">
        <f>_xlfn.XLOOKUP(Table13[[#This Row],[PO]],Table156101114[PO],Table156101114[Act %],0)</f>
        <v>1.3599999999999999E-2</v>
      </c>
      <c r="AH46" s="627">
        <f>Table13[[#This Row],[المخطط % التراكمي]]-Table13[[#This Row],[المخطط % - الإسبوع السابق ]]</f>
        <v>3.9999999999999758E-4</v>
      </c>
      <c r="AI46" s="630">
        <f>Table13[[#This Row],[المنفذ % التراكمي]]-Table13[[#This Row],[المنفذ % - الإسبوع السابق]]</f>
        <v>0</v>
      </c>
      <c r="AJ46" s="102">
        <f>Table13[[#This Row],[المنفذ % التراكمي]]-Table13[[#This Row],[المخطط % التراكمي]]</f>
        <v>-4.0799999999999996E-2</v>
      </c>
      <c r="AK46" s="634"/>
      <c r="AL46" s="634"/>
      <c r="AM46" s="674"/>
      <c r="AN46" s="674"/>
      <c r="AO46" s="674"/>
      <c r="AP46" s="674"/>
      <c r="AQ46" s="103">
        <f>_xlfn.XLOOKUP(Table13[[#This Row],[PO]],Table156101114[PO],Table156101114[TF],0)</f>
        <v>-108</v>
      </c>
      <c r="AR46" s="277">
        <f>Table13[[#This Row],[نسبة الإنجاز المتبقية %]]/(Table13[[#This Row],[مدة المشروع المتبقية بالشهور]])</f>
        <v>4.5456221198156684E-2</v>
      </c>
      <c r="AS46" s="69">
        <v>5.8637047949184583E-2</v>
      </c>
      <c r="AT46" s="69">
        <v>0</v>
      </c>
      <c r="AU46" s="445">
        <v>0</v>
      </c>
      <c r="AV46" s="69">
        <v>0</v>
      </c>
      <c r="AW46" s="448">
        <v>0</v>
      </c>
      <c r="AX46" s="439">
        <f>100%-Table13[[#This Row],[المنفذ % التراكمي]]</f>
        <v>0.98640000000000005</v>
      </c>
      <c r="AY46" s="439">
        <f>100%-Table13[[#This Row],[نسبة المدة المنقضية %]]</f>
        <v>0.75347222222222221</v>
      </c>
      <c r="AZ46" s="149">
        <f>_xlfn.XLOOKUP(Table13[[#This Row],[PO]],Table156101114[PO],Table156101114[المدة المنقضية],0)</f>
        <v>0.24652777777777779</v>
      </c>
      <c r="BA46" s="149" t="s">
        <v>122</v>
      </c>
      <c r="BB46" s="105" t="s">
        <v>122</v>
      </c>
      <c r="BC46" s="95">
        <f>_xlfn.XLOOKUP(Table13[[#This Row],[PO]],Table156101114[PO],Table156101114[SPI],0)</f>
        <v>0.25</v>
      </c>
      <c r="BD46" s="359">
        <f>Table13[[#This Row],[نسبة المدة المنقضية %]]*Table13[[#This Row],[مدة المشروع الكلية بالشهور]]</f>
        <v>7.1000000000000005</v>
      </c>
      <c r="BE46" s="360">
        <f>Table13[[#This Row],[نسبة المدة المتبقية %]]*Table13[[#This Row],[مدة المشروع الكلية بالشهور]]</f>
        <v>21.7</v>
      </c>
      <c r="BF46" s="360">
        <f>(Table13[[#This Row],[نهاية المشروع المعدلة PMO LIVE]]-Table13[[#This Row],[بداية المشروع التعاقدية]])</f>
        <v>864</v>
      </c>
      <c r="BG46" s="361">
        <f>(Table13[[#This Row],[نهاية المشروع المعدلة PMO LIVE]]-Table13[[#This Row],[بداية المشروع التعاقدية]])/30</f>
        <v>28.8</v>
      </c>
      <c r="BH46" s="260">
        <f>1.25*Table13[[#This Row],[مدة المشروع بالايام]]</f>
        <v>1080</v>
      </c>
      <c r="BI46" s="495">
        <f>Table13[[#This Row],[125%من مدة المشروع]]+Table13[[#This Row],[بداية المشروع التعاقدية]]</f>
        <v>47177</v>
      </c>
      <c r="BJ46" s="898">
        <f>Table13[[#This Row],[قيمة المشروع بالضريبة]]*Table13[[#This Row],[المخطط % التراكمي]]</f>
        <v>1185511.93744</v>
      </c>
      <c r="BK46" s="900">
        <f>Table13[[#This Row],[قيمة المشروع بالضريبة]]*Table13[[#This Row],[المنفذ % التراكمي]]</f>
        <v>296377.98436</v>
      </c>
      <c r="BL46" s="548">
        <f>Table13[[#This Row],[نسبة الإنجاز المتبقية %]]*Table13[[#This Row],[قيمة المشروع بالضريبة]]</f>
        <v>21496120.865640003</v>
      </c>
      <c r="BM46" s="548">
        <f>Table13[[#This Row],[نسبة الإيقاف%]]*Table13[[#This Row],[قيمة المشروع بالضريبة]]</f>
        <v>0</v>
      </c>
      <c r="BN46" s="549">
        <f>Table13[[#This Row],[Suspended Budget]]/Table13[[#This Row],[Remaining Budget]]</f>
        <v>0</v>
      </c>
      <c r="BQ46" s="903"/>
      <c r="BR46" s="904"/>
      <c r="BS46" s="904"/>
    </row>
    <row r="47" spans="1:71" s="322" customFormat="1" ht="30" hidden="1" customHeight="1">
      <c r="A47" s="80">
        <f>SUBTOTAL(3,$D$3:D47)</f>
        <v>7</v>
      </c>
      <c r="B47" s="42" t="s">
        <v>296</v>
      </c>
      <c r="C47" s="43" t="s">
        <v>196</v>
      </c>
      <c r="D47" s="42">
        <v>901240144</v>
      </c>
      <c r="E47" s="43" t="s">
        <v>5</v>
      </c>
      <c r="F47" s="43" t="s">
        <v>320</v>
      </c>
      <c r="G47" s="43" t="s">
        <v>164</v>
      </c>
      <c r="H47" s="43" t="s">
        <v>264</v>
      </c>
      <c r="I47" s="43" t="s">
        <v>21</v>
      </c>
      <c r="J47" s="43" t="s">
        <v>123</v>
      </c>
      <c r="K47" s="42" t="s">
        <v>136</v>
      </c>
      <c r="L47" s="42">
        <v>7</v>
      </c>
      <c r="M47" s="42" t="s">
        <v>259</v>
      </c>
      <c r="N47" s="593" t="s">
        <v>120</v>
      </c>
      <c r="O47" s="70">
        <v>0</v>
      </c>
      <c r="P47" s="43" t="s">
        <v>72</v>
      </c>
      <c r="Q47" s="94" t="s">
        <v>77</v>
      </c>
      <c r="R47" s="94" t="s">
        <v>77</v>
      </c>
      <c r="S47" s="44">
        <v>45559</v>
      </c>
      <c r="T47" s="250">
        <v>46288</v>
      </c>
      <c r="U47" s="250">
        <v>46734</v>
      </c>
      <c r="V47" s="44">
        <v>46734</v>
      </c>
      <c r="W47" s="255">
        <f>Table13[[#This Row],[نهاية المشروع المعدلة PMO LIVE]]-Table13[[#This Row],[نهاية المشروع المعدلة EPPM]]</f>
        <v>0</v>
      </c>
      <c r="X47" s="255" t="s">
        <v>169</v>
      </c>
      <c r="Y47" s="250">
        <v>46917</v>
      </c>
      <c r="Z47" s="44">
        <f>_xlfn.XLOOKUP(Table13[[#This Row],[PO]],Table156101114[PO],Table156101114[[النهاية المتوقعة ]],0)</f>
        <v>46932</v>
      </c>
      <c r="AA47" s="719">
        <f>Table13[[#This Row],[النهاية طبقاً للتحديث الاسبوعي الحالي]]-Table13[[#This Row],[النهاية طبقاً للتحديث الاسبوعي السابق]]</f>
        <v>15</v>
      </c>
      <c r="AB47" s="522">
        <v>21729710</v>
      </c>
      <c r="AC47" s="109">
        <v>24989166.5</v>
      </c>
      <c r="AD47" s="258">
        <v>0.52749999999999997</v>
      </c>
      <c r="AE47" s="258">
        <v>0.48099999999999998</v>
      </c>
      <c r="AF47" s="45">
        <f>_xlfn.XLOOKUP(Table13[[#This Row],[PO]],Table156101114[PO],Table156101114[المخطط % 15 اكتوبر2026],0)</f>
        <v>0.52929999999999999</v>
      </c>
      <c r="AG47" s="45">
        <f>_xlfn.XLOOKUP(Table13[[#This Row],[PO]],Table156101114[PO],Table156101114[Act %],0)</f>
        <v>0.48099999999999998</v>
      </c>
      <c r="AH47" s="629">
        <f>Table13[[#This Row],[المخطط % التراكمي]]-Table13[[#This Row],[المخطط % - الإسبوع السابق ]]</f>
        <v>1.8000000000000238E-3</v>
      </c>
      <c r="AI47" s="629">
        <f>Table13[[#This Row],[المنفذ % التراكمي]]-Table13[[#This Row],[المنفذ % - الإسبوع السابق]]</f>
        <v>0</v>
      </c>
      <c r="AJ47" s="51">
        <f>Table13[[#This Row],[المنفذ % التراكمي]]-Table13[[#This Row],[المخطط % التراكمي]]</f>
        <v>-4.830000000000001E-2</v>
      </c>
      <c r="AK47" s="636"/>
      <c r="AL47" s="636"/>
      <c r="AM47" s="673"/>
      <c r="AN47" s="673"/>
      <c r="AO47" s="673"/>
      <c r="AP47" s="673"/>
      <c r="AQ47" s="107">
        <f>_xlfn.XLOOKUP(Table13[[#This Row],[PO]],Table156101114[PO],Table156101114[TF],0)</f>
        <v>-166</v>
      </c>
      <c r="AR47" s="276">
        <f>Table13[[#This Row],[نسبة الإنجاز المتبقية %]]/(Table13[[#This Row],[مدة المشروع المتبقية بالشهور]])</f>
        <v>3.6690445604175038E-2</v>
      </c>
      <c r="AS47" s="70">
        <v>0.53428418879037043</v>
      </c>
      <c r="AT47" s="70">
        <f>Table13[[#This Row],[نسبة المخطط التراكمي حتى 31 أكتوبر 2026]]-9.9%</f>
        <v>0.43528418879037045</v>
      </c>
      <c r="AU47" s="446">
        <v>0</v>
      </c>
      <c r="AV47" s="70">
        <f>Table13[[#This Row],[نسبة المخطط التراكمي حتى 31 أكتوبر 2026]]-24.9%</f>
        <v>0.28528418879037043</v>
      </c>
      <c r="AW47" s="449">
        <v>0</v>
      </c>
      <c r="AX47" s="440">
        <f>100%-Table13[[#This Row],[المنفذ % التراكمي]]</f>
        <v>0.51900000000000002</v>
      </c>
      <c r="AY47" s="440">
        <f>100%-Table13[[#This Row],[نسبة المدة المنقضية %]]</f>
        <v>0.36115843270868819</v>
      </c>
      <c r="AZ47" s="208">
        <f>_xlfn.XLOOKUP(Table13[[#This Row],[PO]],Table156101114[PO],Table156101114[المدة المنقضية],0)</f>
        <v>0.63884156729131181</v>
      </c>
      <c r="BA47" s="208" t="s">
        <v>122</v>
      </c>
      <c r="BB47" s="290" t="s">
        <v>122</v>
      </c>
      <c r="BC47" s="291">
        <f>_xlfn.XLOOKUP(Table13[[#This Row],[PO]],Table156101114[PO],Table156101114[SPI],0)</f>
        <v>0.90874740222935946</v>
      </c>
      <c r="BD47" s="362">
        <f>Table13[[#This Row],[نسبة المدة المنقضية %]]*Table13[[#This Row],[مدة المشروع الكلية بالشهور]]</f>
        <v>25.021294718909711</v>
      </c>
      <c r="BE47" s="363">
        <f>Table13[[#This Row],[نسبة المدة المتبقية %]]*Table13[[#This Row],[مدة المشروع الكلية بالشهور]]</f>
        <v>14.145371947756953</v>
      </c>
      <c r="BF47" s="363">
        <f>(Table13[[#This Row],[نهاية المشروع المعدلة PMO LIVE]]-Table13[[#This Row],[بداية المشروع التعاقدية]])</f>
        <v>1175</v>
      </c>
      <c r="BG47" s="364">
        <f>(Table13[[#This Row],[نهاية المشروع المعدلة PMO LIVE]]-Table13[[#This Row],[بداية المشروع التعاقدية]])/30</f>
        <v>39.166666666666664</v>
      </c>
      <c r="BH47" s="262">
        <f>1.25*Table13[[#This Row],[مدة المشروع بالايام]]</f>
        <v>1468.75</v>
      </c>
      <c r="BI47" s="555">
        <f>Table13[[#This Row],[125%من مدة المشروع]]+Table13[[#This Row],[بداية المشروع التعاقدية]]</f>
        <v>47027.75</v>
      </c>
      <c r="BJ47" s="654">
        <f>Table13[[#This Row],[قيمة المشروع بالضريبة]]*Table13[[#This Row],[المخطط % التراكمي]]</f>
        <v>13226765.82845</v>
      </c>
      <c r="BK47" s="272">
        <f>Table13[[#This Row],[قيمة المشروع بالضريبة]]*Table13[[#This Row],[المنفذ % التراكمي]]</f>
        <v>12019789.0865</v>
      </c>
      <c r="BL47" s="316">
        <f>Table13[[#This Row],[نسبة الإنجاز المتبقية %]]*Table13[[#This Row],[قيمة المشروع بالضريبة]]</f>
        <v>12969377.4135</v>
      </c>
      <c r="BM47" s="316">
        <f>Table13[[#This Row],[نسبة الإيقاف%]]*Table13[[#This Row],[قيمة المشروع بالضريبة]]</f>
        <v>0</v>
      </c>
      <c r="BN47" s="317">
        <f>Table13[[#This Row],[Suspended Budget]]/Table13[[#This Row],[Remaining Budget]]</f>
        <v>0</v>
      </c>
      <c r="BQ47" s="903"/>
      <c r="BR47" s="904"/>
      <c r="BS47" s="904"/>
    </row>
    <row r="48" spans="1:71" ht="30" hidden="1" customHeight="1">
      <c r="A48" s="79">
        <f>SUBTOTAL(3,$D$3:D48)</f>
        <v>7</v>
      </c>
      <c r="B48" s="144" t="s">
        <v>303</v>
      </c>
      <c r="C48" s="143" t="s">
        <v>224</v>
      </c>
      <c r="D48" s="144">
        <v>901240018</v>
      </c>
      <c r="E48" s="143" t="s">
        <v>52</v>
      </c>
      <c r="F48" s="143" t="s">
        <v>319</v>
      </c>
      <c r="G48" s="143" t="s">
        <v>266</v>
      </c>
      <c r="H48" s="143" t="s">
        <v>268</v>
      </c>
      <c r="I48" s="143" t="s">
        <v>28</v>
      </c>
      <c r="J48" s="143" t="s">
        <v>123</v>
      </c>
      <c r="K48" s="144" t="s">
        <v>116</v>
      </c>
      <c r="L48" s="144">
        <v>0</v>
      </c>
      <c r="M48" s="144" t="s">
        <v>259</v>
      </c>
      <c r="N48" s="595" t="s">
        <v>121</v>
      </c>
      <c r="O48" s="149">
        <v>0</v>
      </c>
      <c r="P48" s="143" t="s">
        <v>72</v>
      </c>
      <c r="Q48" s="94" t="s">
        <v>77</v>
      </c>
      <c r="R48" s="94" t="s">
        <v>77</v>
      </c>
      <c r="S48" s="145">
        <v>45431</v>
      </c>
      <c r="T48" s="251">
        <v>46526</v>
      </c>
      <c r="U48" s="251">
        <v>47029</v>
      </c>
      <c r="V48" s="145">
        <v>47029</v>
      </c>
      <c r="W48" s="256">
        <f>Table13[[#This Row],[نهاية المشروع المعدلة PMO LIVE]]-Table13[[#This Row],[نهاية المشروع المعدلة EPPM]]</f>
        <v>0</v>
      </c>
      <c r="X48" s="254" t="s">
        <v>169</v>
      </c>
      <c r="Y48" s="251">
        <v>47216</v>
      </c>
      <c r="Z48" s="145">
        <f>_xlfn.XLOOKUP(Table13[[#This Row],[PO]],Table156101114[PO],Table156101114[[النهاية المتوقعة ]],0)</f>
        <v>47222</v>
      </c>
      <c r="AA48" s="724">
        <f>Table13[[#This Row],[النهاية طبقاً للتحديث الاسبوعي الحالي]]-Table13[[#This Row],[النهاية طبقاً للتحديث الاسبوعي السابق]]</f>
        <v>6</v>
      </c>
      <c r="AB48" s="526">
        <v>72961730</v>
      </c>
      <c r="AC48" s="146">
        <v>83905989.5</v>
      </c>
      <c r="AD48" s="259">
        <v>0.25480000000000003</v>
      </c>
      <c r="AE48" s="259">
        <v>0.215</v>
      </c>
      <c r="AF48" s="147">
        <f>_xlfn.XLOOKUP(Table13[[#This Row],[PO]],Table156101114[PO],Table156101114[المخطط % 15 اكتوبر2026],0)</f>
        <v>0.25640000000000002</v>
      </c>
      <c r="AG48" s="147">
        <f>_xlfn.XLOOKUP(Table13[[#This Row],[PO]],Table156101114[PO],Table156101114[Act %],0)</f>
        <v>0.21709999999999999</v>
      </c>
      <c r="AH48" s="633">
        <f>Table13[[#This Row],[المخطط % التراكمي]]-Table13[[#This Row],[المخطط % - الإسبوع السابق ]]</f>
        <v>1.5999999999999903E-3</v>
      </c>
      <c r="AI48" s="633">
        <f>Table13[[#This Row],[المنفذ % التراكمي]]-Table13[[#This Row],[المنفذ % - الإسبوع السابق]]</f>
        <v>2.0999999999999908E-3</v>
      </c>
      <c r="AJ48" s="551">
        <f>Table13[[#This Row],[المنفذ % التراكمي]]-Table13[[#This Row],[المخطط % التراكمي]]</f>
        <v>-3.9300000000000029E-2</v>
      </c>
      <c r="AK48" s="640"/>
      <c r="AL48" s="640"/>
      <c r="AM48" s="678"/>
      <c r="AN48" s="678"/>
      <c r="AO48" s="678"/>
      <c r="AP48" s="678"/>
      <c r="AQ48" s="148">
        <f>_xlfn.XLOOKUP(Table13[[#This Row],[PO]],Table156101114[PO],Table156101114[TF],0)</f>
        <v>-165</v>
      </c>
      <c r="AR48" s="278">
        <f>Table13[[#This Row],[نسبة الإنجاز المتبقية %]]/(Table13[[#This Row],[مدة المشروع المتبقية بالشهور]])</f>
        <v>3.266620305980529E-2</v>
      </c>
      <c r="AS48" s="149">
        <v>0.25342551084348797</v>
      </c>
      <c r="AT48" s="149">
        <f>Table13[[#This Row],[نسبة المخطط التراكمي حتى 31 أكتوبر 2026]]-9.9%</f>
        <v>0.15442551084348796</v>
      </c>
      <c r="AU48" s="493">
        <v>0</v>
      </c>
      <c r="AV48" s="149">
        <f>Table13[[#This Row],[نسبة المخطط التراكمي حتى 31 أكتوبر 2026]]-24.9%</f>
        <v>4.4255108434879675E-3</v>
      </c>
      <c r="AW48" s="494">
        <v>0</v>
      </c>
      <c r="AX48" s="442">
        <f>100%-Table13[[#This Row],[المنفذ % التراكمي]]</f>
        <v>0.78290000000000004</v>
      </c>
      <c r="AY48" s="442">
        <f>100%-Table13[[#This Row],[نسبة المدة المنقضية %]]</f>
        <v>0.44993742177722151</v>
      </c>
      <c r="AZ48" s="149">
        <f>_xlfn.XLOOKUP(Table13[[#This Row],[PO]],Table156101114[PO],Table156101114[المدة المنقضية],0)</f>
        <v>0.55006257822277849</v>
      </c>
      <c r="BA48" s="69" t="s">
        <v>122</v>
      </c>
      <c r="BB48" s="150" t="s">
        <v>122</v>
      </c>
      <c r="BC48" s="151">
        <f>_xlfn.XLOOKUP(Table13[[#This Row],[PO]],Table156101114[PO],Table156101114[SPI],0)</f>
        <v>0.84672386895475804</v>
      </c>
      <c r="BD48" s="362">
        <f>Table13[[#This Row],[نسبة المدة المنقضية %]]*Table13[[#This Row],[مدة المشروع الكلية بالشهور]]</f>
        <v>29.3</v>
      </c>
      <c r="BE48" s="363">
        <f>Table13[[#This Row],[نسبة المدة المتبقية %]]*Table13[[#This Row],[مدة المشروع الكلية بالشهور]]</f>
        <v>23.966666666666665</v>
      </c>
      <c r="BF48" s="363">
        <f>(Table13[[#This Row],[نهاية المشروع المعدلة PMO LIVE]]-Table13[[#This Row],[بداية المشروع التعاقدية]])</f>
        <v>1598</v>
      </c>
      <c r="BG48" s="364">
        <f>(Table13[[#This Row],[نهاية المشروع المعدلة PMO LIVE]]-Table13[[#This Row],[بداية المشروع التعاقدية]])/30</f>
        <v>53.266666666666666</v>
      </c>
      <c r="BH48" s="262">
        <f>1.25*Table13[[#This Row],[مدة المشروع بالايام]]</f>
        <v>1997.5</v>
      </c>
      <c r="BI48" s="561">
        <f>Table13[[#This Row],[125%من مدة المشروع]]+Table13[[#This Row],[بداية المشروع التعاقدية]]</f>
        <v>47428.5</v>
      </c>
      <c r="BJ48" s="897">
        <f>Table13[[#This Row],[قيمة المشروع بالضريبة]]*Table13[[#This Row],[المخطط % التراكمي]]</f>
        <v>21513495.707800001</v>
      </c>
      <c r="BK48" s="899">
        <f>Table13[[#This Row],[قيمة المشروع بالضريبة]]*Table13[[#This Row],[المنفذ % التراكمي]]</f>
        <v>18215990.32045</v>
      </c>
      <c r="BL48" s="316">
        <f>Table13[[#This Row],[نسبة الإنجاز المتبقية %]]*Table13[[#This Row],[قيمة المشروع بالضريبة]]</f>
        <v>65689999.179550007</v>
      </c>
      <c r="BM48" s="316">
        <f>Table13[[#This Row],[نسبة الإيقاف%]]*Table13[[#This Row],[قيمة المشروع بالضريبة]]</f>
        <v>0</v>
      </c>
      <c r="BN48" s="317">
        <f>Table13[[#This Row],[Suspended Budget]]/Table13[[#This Row],[Remaining Budget]]</f>
        <v>0</v>
      </c>
      <c r="BQ48" s="903"/>
      <c r="BR48" s="904"/>
      <c r="BS48" s="918"/>
    </row>
    <row r="49" spans="1:71" ht="41.4" hidden="1" customHeight="1">
      <c r="A49" s="79">
        <f>SUBTOTAL(3,$D$3:D49)</f>
        <v>7</v>
      </c>
      <c r="B49" s="144">
        <v>10245</v>
      </c>
      <c r="C49" s="143" t="s">
        <v>210</v>
      </c>
      <c r="D49" s="144">
        <v>901230317</v>
      </c>
      <c r="E49" s="143" t="s">
        <v>53</v>
      </c>
      <c r="F49" s="143" t="s">
        <v>318</v>
      </c>
      <c r="G49" s="143" t="s">
        <v>159</v>
      </c>
      <c r="H49" s="143" t="s">
        <v>161</v>
      </c>
      <c r="I49" s="143" t="s">
        <v>27</v>
      </c>
      <c r="J49" s="143" t="s">
        <v>123</v>
      </c>
      <c r="K49" s="144" t="s">
        <v>116</v>
      </c>
      <c r="L49" s="144">
        <v>0</v>
      </c>
      <c r="M49" s="144" t="s">
        <v>259</v>
      </c>
      <c r="N49" s="595" t="s">
        <v>120</v>
      </c>
      <c r="O49" s="149">
        <v>0.24340000000000001</v>
      </c>
      <c r="P49" s="143" t="s">
        <v>366</v>
      </c>
      <c r="Q49" s="94" t="s">
        <v>77</v>
      </c>
      <c r="R49" s="94" t="s">
        <v>77</v>
      </c>
      <c r="S49" s="145">
        <v>45342</v>
      </c>
      <c r="T49" s="251">
        <v>46438</v>
      </c>
      <c r="U49" s="251">
        <v>46856</v>
      </c>
      <c r="V49" s="145">
        <v>46856</v>
      </c>
      <c r="W49" s="256">
        <f>Table13[[#This Row],[نهاية المشروع المعدلة PMO LIVE]]-Table13[[#This Row],[نهاية المشروع المعدلة EPPM]]</f>
        <v>0</v>
      </c>
      <c r="X49" s="256" t="s">
        <v>169</v>
      </c>
      <c r="Y49" s="251">
        <v>47048</v>
      </c>
      <c r="Z49" s="145">
        <f>_xlfn.XLOOKUP(Table13[[#This Row],[PO]],Table156101114[PO],Table156101114[[النهاية المتوقعة ]],0)</f>
        <v>47055</v>
      </c>
      <c r="AA49" s="724">
        <f>Table13[[#This Row],[النهاية طبقاً للتحديث الاسبوعي الحالي]]-Table13[[#This Row],[النهاية طبقاً للتحديث الاسبوعي السابق]]</f>
        <v>7</v>
      </c>
      <c r="AB49" s="526">
        <v>37946974</v>
      </c>
      <c r="AC49" s="146">
        <v>43639020.100000001</v>
      </c>
      <c r="AD49" s="259">
        <v>0.4415</v>
      </c>
      <c r="AE49" s="259">
        <v>0.41949999999999998</v>
      </c>
      <c r="AF49" s="147">
        <f>_xlfn.XLOOKUP(Table13[[#This Row],[PO]],Table156101114[PO],Table156101114[المخطط % 15 اكتوبر2026],0)</f>
        <v>0.443</v>
      </c>
      <c r="AG49" s="147">
        <f>_xlfn.XLOOKUP(Table13[[#This Row],[PO]],Table156101114[PO],Table156101114[Act %],0)</f>
        <v>0.42</v>
      </c>
      <c r="AH49" s="633">
        <f>Table13[[#This Row],[المخطط % التراكمي]]-Table13[[#This Row],[المخطط % - الإسبوع السابق ]]</f>
        <v>1.5000000000000013E-3</v>
      </c>
      <c r="AI49" s="633">
        <f>Table13[[#This Row],[المنفذ % التراكمي]]-Table13[[#This Row],[المنفذ % - الإسبوع السابق]]</f>
        <v>5.0000000000000044E-4</v>
      </c>
      <c r="AJ49" s="551">
        <f>Table13[[#This Row],[المنفذ % التراكمي]]-Table13[[#This Row],[المخطط % التراكمي]]</f>
        <v>-2.300000000000002E-2</v>
      </c>
      <c r="AK49" s="640"/>
      <c r="AL49" s="640"/>
      <c r="AM49" s="678"/>
      <c r="AN49" s="678"/>
      <c r="AO49" s="678"/>
      <c r="AP49" s="678"/>
      <c r="AQ49" s="148">
        <f>_xlfn.XLOOKUP(Table13[[#This Row],[PO]],Table156101114[PO],Table156101114[TF],0)</f>
        <v>-165</v>
      </c>
      <c r="AR49" s="278">
        <f>Table13[[#This Row],[نسبة الإنجاز المتبقية %]]/(Table13[[#This Row],[مدة المشروع المتبقية بالشهور]])</f>
        <v>3.1868131868131873E-2</v>
      </c>
      <c r="AS49" s="149">
        <v>0.44851676593540341</v>
      </c>
      <c r="AT49" s="149">
        <f>Table13[[#This Row],[نسبة المخطط التراكمي حتى 31 أكتوبر 2026]]-9.9%</f>
        <v>0.34951676593540337</v>
      </c>
      <c r="AU49" s="493">
        <v>0</v>
      </c>
      <c r="AV49" s="149">
        <f>Table13[[#This Row],[نسبة المخطط التراكمي حتى 31 أكتوبر 2026]]-24.9%</f>
        <v>0.19951676593540341</v>
      </c>
      <c r="AW49" s="494">
        <v>0</v>
      </c>
      <c r="AX49" s="442">
        <f>100%-Table13[[#This Row],[المنفذ % التراكمي]]</f>
        <v>0.58000000000000007</v>
      </c>
      <c r="AY49" s="442">
        <f>100%-Table13[[#This Row],[نسبة المدة المنقضية %]]</f>
        <v>0.36063408190224566</v>
      </c>
      <c r="AZ49" s="149">
        <f>_xlfn.XLOOKUP(Table13[[#This Row],[PO]],Table156101114[PO],Table156101114[المدة المنقضية],0)</f>
        <v>0.63936591809775434</v>
      </c>
      <c r="BA49" s="149" t="s">
        <v>122</v>
      </c>
      <c r="BB49" s="150" t="s">
        <v>122</v>
      </c>
      <c r="BC49" s="151">
        <f>_xlfn.XLOOKUP(Table13[[#This Row],[PO]],Table156101114[PO],Table156101114[SPI],0)</f>
        <v>0.94808126410835214</v>
      </c>
      <c r="BD49" s="362">
        <f>Table13[[#This Row],[نسبة المدة المنقضية %]]*Table13[[#This Row],[مدة المشروع الكلية بالشهور]]</f>
        <v>32.266666666666673</v>
      </c>
      <c r="BE49" s="363">
        <f>Table13[[#This Row],[نسبة المدة المتبقية %]]*Table13[[#This Row],[مدة المشروع الكلية بالشهور]]</f>
        <v>18.2</v>
      </c>
      <c r="BF49" s="363">
        <f>(Table13[[#This Row],[نهاية المشروع المعدلة PMO LIVE]]-Table13[[#This Row],[بداية المشروع التعاقدية]])</f>
        <v>1514</v>
      </c>
      <c r="BG49" s="364">
        <f>(Table13[[#This Row],[نهاية المشروع المعدلة PMO LIVE]]-Table13[[#This Row],[بداية المشروع التعاقدية]])/30</f>
        <v>50.466666666666669</v>
      </c>
      <c r="BH49" s="262">
        <f>1.25*Table13[[#This Row],[مدة المشروع بالايام]]</f>
        <v>1892.5</v>
      </c>
      <c r="BI49" s="561">
        <f>Table13[[#This Row],[125%من مدة المشروع]]+Table13[[#This Row],[بداية المشروع التعاقدية]]</f>
        <v>47234.5</v>
      </c>
      <c r="BJ49" s="556">
        <f>Table13[[#This Row],[قيمة المشروع بالضريبة]]*Table13[[#This Row],[المخطط % التراكمي]]</f>
        <v>19332085.904300001</v>
      </c>
      <c r="BK49" s="558">
        <f>Table13[[#This Row],[قيمة المشروع بالضريبة]]*Table13[[#This Row],[المنفذ % التراكمي]]</f>
        <v>18328388.442000002</v>
      </c>
      <c r="BL49" s="559">
        <f>Table13[[#This Row],[نسبة الإنجاز المتبقية %]]*Table13[[#This Row],[قيمة المشروع بالضريبة]]</f>
        <v>25310631.658000004</v>
      </c>
      <c r="BM49" s="559">
        <f>Table13[[#This Row],[نسبة الإيقاف%]]*Table13[[#This Row],[قيمة المشروع بالضريبة]]</f>
        <v>10621737.49234</v>
      </c>
      <c r="BN49" s="560">
        <f>Table13[[#This Row],[Suspended Budget]]/Table13[[#This Row],[Remaining Budget]]</f>
        <v>0.41965517241379308</v>
      </c>
      <c r="BQ49" s="903"/>
      <c r="BR49" s="904"/>
      <c r="BS49" s="904"/>
    </row>
    <row r="50" spans="1:71" ht="43.95" hidden="1" customHeight="1">
      <c r="A50" s="80">
        <f>SUBTOTAL(3,$D$3:D50)</f>
        <v>7</v>
      </c>
      <c r="B50" s="83" t="s">
        <v>295</v>
      </c>
      <c r="C50" s="43" t="s">
        <v>201</v>
      </c>
      <c r="D50" s="42">
        <v>901240136</v>
      </c>
      <c r="E50" s="43" t="s">
        <v>4</v>
      </c>
      <c r="F50" s="43" t="s">
        <v>318</v>
      </c>
      <c r="G50" s="152" t="s">
        <v>159</v>
      </c>
      <c r="H50" s="153" t="s">
        <v>160</v>
      </c>
      <c r="I50" s="43" t="s">
        <v>33</v>
      </c>
      <c r="J50" s="43" t="s">
        <v>123</v>
      </c>
      <c r="K50" s="42" t="s">
        <v>116</v>
      </c>
      <c r="L50" s="42">
        <v>0</v>
      </c>
      <c r="M50" s="42" t="s">
        <v>259</v>
      </c>
      <c r="N50" s="593" t="s">
        <v>121</v>
      </c>
      <c r="O50" s="70">
        <v>0</v>
      </c>
      <c r="P50" s="43" t="s">
        <v>72</v>
      </c>
      <c r="Q50" s="94" t="s">
        <v>77</v>
      </c>
      <c r="R50" s="94" t="s">
        <v>77</v>
      </c>
      <c r="S50" s="44">
        <v>45544</v>
      </c>
      <c r="T50" s="250">
        <v>46639</v>
      </c>
      <c r="U50" s="250">
        <v>47051</v>
      </c>
      <c r="V50" s="44">
        <v>47074</v>
      </c>
      <c r="W50" s="255">
        <f>Table13[[#This Row],[نهاية المشروع المعدلة PMO LIVE]]-Table13[[#This Row],[نهاية المشروع المعدلة EPPM]]</f>
        <v>23</v>
      </c>
      <c r="X50" s="484"/>
      <c r="Y50" s="250">
        <v>47111</v>
      </c>
      <c r="Z50" s="44">
        <f>_xlfn.XLOOKUP(Table13[[#This Row],[PO]],Table156101114[PO],Table156101114[[النهاية المتوقعة ]],0)</f>
        <v>47118</v>
      </c>
      <c r="AA50" s="719">
        <f>Table13[[#This Row],[النهاية طبقاً للتحديث الاسبوعي الحالي]]-Table13[[#This Row],[النهاية طبقاً للتحديث الاسبوعي السابق]]</f>
        <v>7</v>
      </c>
      <c r="AB50" s="522">
        <v>31212700</v>
      </c>
      <c r="AC50" s="109">
        <v>35894605</v>
      </c>
      <c r="AD50" s="258">
        <v>0.1255</v>
      </c>
      <c r="AE50" s="258">
        <v>0.104</v>
      </c>
      <c r="AF50" s="45">
        <f>_xlfn.XLOOKUP(Table13[[#This Row],[PO]],Table156101114[PO],Table156101114[المخطط % 15 اكتوبر2026],0)</f>
        <v>0.13020000000000001</v>
      </c>
      <c r="AG50" s="45">
        <f>_xlfn.XLOOKUP(Table13[[#This Row],[PO]],Table156101114[PO],Table156101114[Act %],0)</f>
        <v>0.105</v>
      </c>
      <c r="AH50" s="630">
        <f>Table13[[#This Row],[المخطط % التراكمي]]-Table13[[#This Row],[المخطط % - الإسبوع السابق ]]</f>
        <v>4.7000000000000097E-3</v>
      </c>
      <c r="AI50" s="630">
        <f>Table13[[#This Row],[المنفذ % التراكمي]]-Table13[[#This Row],[المنفذ % - الإسبوع السابق]]</f>
        <v>1.0000000000000009E-3</v>
      </c>
      <c r="AJ50" s="46">
        <f>Table13[[#This Row],[المنفذ % التراكمي]]-Table13[[#This Row],[المخطط % التراكمي]]</f>
        <v>-2.5200000000000014E-2</v>
      </c>
      <c r="AK50" s="636"/>
      <c r="AL50" s="636"/>
      <c r="AM50" s="673"/>
      <c r="AN50" s="673"/>
      <c r="AO50" s="673"/>
      <c r="AP50" s="673"/>
      <c r="AQ50" s="107">
        <f>_xlfn.XLOOKUP(Table13[[#This Row],[PO]],Table156101114[PO],Table156101114[TF],0)</f>
        <v>-38</v>
      </c>
      <c r="AR50" s="703">
        <f>Table13[[#This Row],[نسبة الإنجاز المتبقية %]]/(Table13[[#This Row],[مدة المشروع المتبقية بالشهور]])</f>
        <v>3.5143979057591618E-2</v>
      </c>
      <c r="AS50" s="704">
        <v>0.13987447609466658</v>
      </c>
      <c r="AT50" s="705">
        <f>Table13[[#This Row],[نسبة المخطط التراكمي حتى 31 أكتوبر 2026]]-9.9%</f>
        <v>4.0874476094666573E-2</v>
      </c>
      <c r="AU50" s="706">
        <v>0</v>
      </c>
      <c r="AV50" s="704">
        <v>0</v>
      </c>
      <c r="AW50" s="707">
        <v>0</v>
      </c>
      <c r="AX50" s="708">
        <f>100%-Table13[[#This Row],[المنفذ % التراكمي]]</f>
        <v>0.89500000000000002</v>
      </c>
      <c r="AY50" s="440">
        <f>100%-Table13[[#This Row],[نسبة المدة المنقضية %]]</f>
        <v>0.49934640522875817</v>
      </c>
      <c r="AZ50" s="70">
        <f>_xlfn.XLOOKUP(Table13[[#This Row],[PO]],Table156101114[PO],Table156101114[المدة المنقضية],0)</f>
        <v>0.50065359477124183</v>
      </c>
      <c r="BA50" s="70" t="s">
        <v>122</v>
      </c>
      <c r="BB50" s="108" t="s">
        <v>122</v>
      </c>
      <c r="BC50" s="1012">
        <f>_xlfn.XLOOKUP(Table13[[#This Row],[PO]],Table156101114[PO],Table156101114[SPI],0)</f>
        <v>0.80645161290322576</v>
      </c>
      <c r="BD50" s="1013">
        <f>Table13[[#This Row],[نسبة المدة المنقضية %]]*Table13[[#This Row],[مدة المشروع الكلية بالشهور]]</f>
        <v>25.533333333333331</v>
      </c>
      <c r="BE50" s="361">
        <f>Table13[[#This Row],[نسبة المدة المتبقية %]]*Table13[[#This Row],[مدة المشروع الكلية بالشهور]]</f>
        <v>25.466666666666669</v>
      </c>
      <c r="BF50" s="361">
        <f>(Table13[[#This Row],[نهاية المشروع المعدلة PMO LIVE]]-Table13[[#This Row],[بداية المشروع التعاقدية]])</f>
        <v>1530</v>
      </c>
      <c r="BG50" s="361">
        <f>(Table13[[#This Row],[نهاية المشروع المعدلة PMO LIVE]]-Table13[[#This Row],[بداية المشروع التعاقدية]])/30</f>
        <v>51</v>
      </c>
      <c r="BH50" s="260">
        <f>1.25*Table13[[#This Row],[مدة المشروع بالايام]]</f>
        <v>1912.5</v>
      </c>
      <c r="BI50" s="621">
        <f>Table13[[#This Row],[125%من مدة المشروع]]+Table13[[#This Row],[بداية المشروع التعاقدية]]</f>
        <v>47456.5</v>
      </c>
      <c r="BJ50" s="556">
        <f>Table13[[#This Row],[قيمة المشروع بالضريبة]]*Table13[[#This Row],[المخطط % التراكمي]]</f>
        <v>4673477.5710000005</v>
      </c>
      <c r="BK50" s="558">
        <f>Table13[[#This Row],[قيمة المشروع بالضريبة]]*Table13[[#This Row],[المنفذ % التراكمي]]</f>
        <v>3768933.5249999999</v>
      </c>
      <c r="BL50" s="559">
        <f>Table13[[#This Row],[نسبة الإنجاز المتبقية %]]*Table13[[#This Row],[قيمة المشروع بالضريبة]]</f>
        <v>32125671.475000001</v>
      </c>
      <c r="BM50" s="559">
        <f>Table13[[#This Row],[نسبة الإيقاف%]]*Table13[[#This Row],[قيمة المشروع بالضريبة]]</f>
        <v>0</v>
      </c>
      <c r="BN50" s="560">
        <f>Table13[[#This Row],[Suspended Budget]]/Table13[[#This Row],[Remaining Budget]]</f>
        <v>0</v>
      </c>
      <c r="BQ50" s="903"/>
      <c r="BR50" s="904"/>
      <c r="BS50" s="904"/>
    </row>
    <row r="51" spans="1:71" ht="27" customHeight="1">
      <c r="S51" s="41" t="s">
        <v>522</v>
      </c>
      <c r="AC51" s="29">
        <f>SUBTOTAL(109,Table13[قيمة المشروع بالضريبة])</f>
        <v>154180460.59999999</v>
      </c>
      <c r="AG51" s="63"/>
      <c r="BJ51" s="215">
        <f>SUBTOTAL(109,Table13[PV])</f>
        <v>81429158.609209999</v>
      </c>
      <c r="BK51" s="215">
        <f>SUBTOTAL(109,Table13[EV])</f>
        <v>49399794.589546002</v>
      </c>
    </row>
    <row r="52" spans="1:71" ht="75" customHeight="1">
      <c r="R52" s="646"/>
      <c r="S52" s="869">
        <f>V48-T48</f>
        <v>503</v>
      </c>
      <c r="T52" s="29">
        <f>V43-T43</f>
        <v>420</v>
      </c>
      <c r="U52" s="29">
        <f>V45-T45</f>
        <v>231</v>
      </c>
      <c r="V52" s="869"/>
      <c r="AC52" s="29">
        <f>AC51/1000000</f>
        <v>154.1804606</v>
      </c>
      <c r="BJ52" s="310">
        <f>BJ51/$AC$51</f>
        <v>0.52814188187222211</v>
      </c>
      <c r="BK52" s="310">
        <f>BK51/$AC$51</f>
        <v>0.32040243230111354</v>
      </c>
    </row>
    <row r="53" spans="1:71" ht="75" customHeight="1">
      <c r="S53" s="41"/>
      <c r="BJ53" s="215">
        <f>BK51/BJ51</f>
        <v>0.6066597694644319</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conditionalFormatting sqref="B2:B1048576">
    <cfRule type="duplicateValues" dxfId="35" priority="12"/>
  </conditionalFormatting>
  <conditionalFormatting sqref="D1:D1048576 BR1:BR1048576">
    <cfRule type="duplicateValues" dxfId="34" priority="5"/>
  </conditionalFormatting>
  <conditionalFormatting sqref="D49:D1048576 D1:D47">
    <cfRule type="duplicateValues" dxfId="33" priority="13"/>
  </conditionalFormatting>
  <conditionalFormatting sqref="D384">
    <cfRule type="duplicateValues" dxfId="32" priority="6"/>
  </conditionalFormatting>
  <conditionalFormatting sqref="AF3:AF394">
    <cfRule type="dataBar" priority="14">
      <dataBar>
        <cfvo type="min"/>
        <cfvo type="max"/>
        <color rgb="FF008AEF"/>
      </dataBar>
      <extLst>
        <ext xmlns:x14="http://schemas.microsoft.com/office/spreadsheetml/2009/9/main" uri="{B025F937-C7B1-47D3-B67F-A62EFF666E3E}">
          <x14:id>{92817961-24B2-452E-89DD-5C14C609F5EB}</x14:id>
        </ext>
      </extLst>
    </cfRule>
  </conditionalFormatting>
  <conditionalFormatting sqref="AG3:AI394">
    <cfRule type="dataBar" priority="15">
      <dataBar>
        <cfvo type="min"/>
        <cfvo type="max"/>
        <color rgb="FF63C384"/>
      </dataBar>
      <extLst>
        <ext xmlns:x14="http://schemas.microsoft.com/office/spreadsheetml/2009/9/main" uri="{B025F937-C7B1-47D3-B67F-A62EFF666E3E}">
          <x14:id>{54D244A6-E820-4D31-A984-5611649CDC35}</x14:id>
        </ext>
      </extLst>
    </cfRule>
  </conditionalFormatting>
  <conditionalFormatting sqref="AJ3:AJ50">
    <cfRule type="cellIs" dxfId="31" priority="9" operator="between">
      <formula>-0.05</formula>
      <formula>0</formula>
    </cfRule>
  </conditionalFormatting>
  <conditionalFormatting sqref="AJ3:AJ394">
    <cfRule type="cellIs" dxfId="30" priority="8" operator="between">
      <formula>-0.05</formula>
      <formula>-0.25</formula>
    </cfRule>
    <cfRule type="cellIs" dxfId="29" priority="10" operator="greaterThan">
      <formula>0</formula>
    </cfRule>
    <cfRule type="cellIs" dxfId="28" priority="11" operator="lessThan">
      <formula>-0.25</formula>
    </cfRule>
  </conditionalFormatting>
  <conditionalFormatting sqref="AZ3 AZ4:BA6 AZ7 AZ8:BA8 AZ9:AZ10 AZ11:BA394">
    <cfRule type="cellIs" dxfId="27" priority="7" operator="greaterThan">
      <formula>1.25</formula>
    </cfRule>
  </conditionalFormatting>
  <conditionalFormatting sqref="BA9:BA10">
    <cfRule type="cellIs" dxfId="26" priority="1" operator="equal">
      <formula>$BO$1</formula>
    </cfRule>
    <cfRule type="cellIs" dxfId="25" priority="2" operator="equal">
      <formula>$BP$1</formula>
    </cfRule>
  </conditionalFormatting>
  <conditionalFormatting sqref="BB2:BB50 BA3 BA7">
    <cfRule type="cellIs" dxfId="24" priority="3" operator="equal">
      <formula>$BO$1</formula>
    </cfRule>
    <cfRule type="cellIs" dxfId="23" priority="4"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50" man="1"/>
  </colBreaks>
  <ignoredErrors>
    <ignoredError sqref="AU12 AV8 AW7 AW9 AW12" calculatedColumn="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2817961-24B2-452E-89DD-5C14C609F5EB}">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54D244A6-E820-4D31-A984-5611649CDC35}">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9E2D-93CE-4F49-A657-D44F97319D82}">
  <sheetPr>
    <tabColor rgb="FF00B050"/>
  </sheetPr>
  <dimension ref="A1:X12"/>
  <sheetViews>
    <sheetView rightToLeft="1" view="pageBreakPreview" zoomScale="70" zoomScaleNormal="70" zoomScaleSheetLayoutView="70" workbookViewId="0">
      <pane xSplit="4" ySplit="1" topLeftCell="L2" activePane="bottomRight" state="frozen"/>
      <selection activeCell="B4" sqref="B4"/>
      <selection pane="topRight" activeCell="B4" sqref="B4"/>
      <selection pane="bottomLeft" activeCell="B4" sqref="B4"/>
      <selection pane="bottomRight" activeCell="B8" sqref="B8"/>
    </sheetView>
  </sheetViews>
  <sheetFormatPr defaultColWidth="8.88671875" defaultRowHeight="14.4"/>
  <cols>
    <col min="1" max="1" width="3.5546875" style="112" customWidth="1"/>
    <col min="2" max="2" width="12.109375" style="574" customWidth="1"/>
    <col min="3" max="3" width="21.44140625" style="112" customWidth="1"/>
    <col min="4" max="4" width="17" style="112" customWidth="1"/>
    <col min="5" max="5" width="12.6640625" style="112" customWidth="1"/>
    <col min="6" max="6" width="13.44140625" style="112" customWidth="1"/>
    <col min="7" max="8" width="8.5546875" style="574" hidden="1" customWidth="1"/>
    <col min="9" max="9" width="10.6640625" style="112" customWidth="1"/>
    <col min="10" max="10" width="10.109375" style="112" customWidth="1"/>
    <col min="11" max="12" width="9.33203125" style="574" customWidth="1"/>
    <col min="13" max="13" width="13.5546875" style="574" customWidth="1"/>
    <col min="14" max="14" width="15.109375" style="574" customWidth="1"/>
    <col min="15" max="15" width="9.33203125" style="112" customWidth="1"/>
    <col min="16" max="16" width="12.44140625" style="574" hidden="1" customWidth="1"/>
    <col min="17" max="17" width="7.109375" style="574" hidden="1" customWidth="1"/>
    <col min="18" max="18" width="20.109375" style="112" customWidth="1"/>
    <col min="19" max="19" width="46.5546875" style="112" hidden="1" customWidth="1"/>
    <col min="20" max="20" width="53.88671875" style="112" customWidth="1"/>
    <col min="21" max="21" width="43.88671875" style="112" customWidth="1"/>
    <col min="22" max="22" width="57.109375" style="112" customWidth="1"/>
    <col min="23" max="23" width="15.6640625" style="112" hidden="1" customWidth="1"/>
    <col min="25" max="16384" width="8.88671875" style="112"/>
  </cols>
  <sheetData>
    <row r="1" spans="1:23" s="613" customFormat="1" ht="78.599999999999994" customHeight="1">
      <c r="A1" s="612" t="s">
        <v>546</v>
      </c>
      <c r="B1" s="620" t="s">
        <v>556</v>
      </c>
      <c r="C1" s="612" t="s">
        <v>604</v>
      </c>
      <c r="D1" s="612" t="s">
        <v>605</v>
      </c>
      <c r="E1" s="612" t="s">
        <v>606</v>
      </c>
      <c r="F1" s="612" t="s">
        <v>607</v>
      </c>
      <c r="G1" s="620" t="s">
        <v>589</v>
      </c>
      <c r="H1" s="620" t="s">
        <v>575</v>
      </c>
      <c r="I1" s="612" t="s">
        <v>608</v>
      </c>
      <c r="J1" s="612" t="s">
        <v>609</v>
      </c>
      <c r="K1" s="612" t="s">
        <v>558</v>
      </c>
      <c r="L1" s="612" t="s">
        <v>76</v>
      </c>
      <c r="M1" s="612" t="s">
        <v>823</v>
      </c>
      <c r="N1" s="612" t="s">
        <v>911</v>
      </c>
      <c r="O1" s="612" t="s">
        <v>610</v>
      </c>
      <c r="P1" s="620" t="s">
        <v>590</v>
      </c>
      <c r="Q1" s="612" t="s">
        <v>659</v>
      </c>
      <c r="R1" s="612" t="s">
        <v>611</v>
      </c>
      <c r="S1" s="612" t="s">
        <v>629</v>
      </c>
      <c r="T1" s="612" t="s">
        <v>554</v>
      </c>
      <c r="U1" s="612" t="s">
        <v>555</v>
      </c>
      <c r="V1" s="612" t="s">
        <v>578</v>
      </c>
      <c r="W1" s="612" t="s">
        <v>550</v>
      </c>
    </row>
    <row r="2" spans="1:23" ht="237.6">
      <c r="A2" s="459">
        <f>SUBTOTAL(3,$D2:D$2)</f>
        <v>1</v>
      </c>
      <c r="B2" s="614">
        <v>901250275</v>
      </c>
      <c r="C2" s="459" t="str">
        <f>_xlfn.XLOOKUP(B2,Table4[PO],Table4[اسم المشروع],0)</f>
        <v>استكمال تنفيذ الخطوط الرئيسية وشبكات الصرف الصحي بأحياء شوران</v>
      </c>
      <c r="D2" s="614" t="str">
        <f>_xlfn.XLOOKUP(B2,Table4[PO],Table4[[المقاول ]],0)</f>
        <v>شركة عوده مبارك البلادي و أبنائه للمقاولات المحدودة</v>
      </c>
      <c r="E2" s="510">
        <f>_xlfn.XLOOKUP(B2,Table4[PO],Table4[بداية المشروع التعاقدية],0)</f>
        <v>45979</v>
      </c>
      <c r="F2" s="510">
        <f>_xlfn.XLOOKUP(B2,Table4[PO],Table4[نهاية المشروع المعدلة PMO LIVE],0)</f>
        <v>46524</v>
      </c>
      <c r="G2" s="511">
        <f>_xlfn.XLOOKUP(B2,Table4[PO],Table4[نسبة الإيقاف%],0)</f>
        <v>4.3999999999999997E-2</v>
      </c>
      <c r="H2" s="511">
        <f>_xlfn.XLOOKUP(B2,Table4[PO],Table4[المنفذ % الفعلي حتي الإسبوع السابق],0)</f>
        <v>7.51E-2</v>
      </c>
      <c r="I2" s="511">
        <f>_xlfn.XLOOKUP(B2,Table4[PO],Table4[المخطط % التراكمي],0)</f>
        <v>0.41210000000000002</v>
      </c>
      <c r="J2" s="511">
        <f>_xlfn.XLOOKUP(B2,Table4[PO],Table4[المنفذ % التراكمي],0)</f>
        <v>7.51E-2</v>
      </c>
      <c r="K2" s="512">
        <f t="shared" ref="K2:K7" si="0">J2-I2</f>
        <v>-0.33700000000000002</v>
      </c>
      <c r="L2" s="512" t="str">
        <f>_xlfn.XLOOKUP(B2,Table1[PO],Table1[حالة المشروع],0)</f>
        <v>متعثر</v>
      </c>
      <c r="M2" s="512">
        <f>_xlfn.XLOOKUP(B2,Table4[PO],Table4[نسبة المخطط التراكمي حتى 31 اكتوبر 2026],0)</f>
        <v>0.46285180516040303</v>
      </c>
      <c r="N2" s="616">
        <f>_xlfn.XLOOKUP(B2,Table4[PO],Table4[النسبة المطلوب زيادتها في اكتوبر 2026 لتجنب / الخروج من التعثر],0)</f>
        <v>0.13875180516040303</v>
      </c>
      <c r="O2" s="532">
        <f>_xlfn.XLOOKUP(B2,Table4[PO],Table4[قيمة المشروع بالضريبة],0)</f>
        <v>11.961405880000001</v>
      </c>
      <c r="P2" s="619">
        <f t="shared" ref="P2:P7" si="1">F2+60</f>
        <v>46584</v>
      </c>
      <c r="Q2" s="619" t="s">
        <v>339</v>
      </c>
      <c r="R2" s="713" t="str">
        <f>_xlfn.XLOOKUP(B2,Table4[PO],Table4[ملخص خطة المعالجة],0)</f>
        <v>1. استئناف الاعمال الموقوفة جزئيا بنسبة 4.42%
2.استكمال اجراءات السحب (انهاء التعاقد)</v>
      </c>
      <c r="S2" s="517"/>
      <c r="T2" s="517" t="str">
        <f>_xlfn.XLOOKUP(B2,Table4[PO],Table4[الإجراء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ولم يستجيب المقاول 
4. تم طلب مالك شركه المقاول في اجتماع اخر بتاريخ  14/10/2026 و لا يوجد استجابه من المقاول حتي الان   
5. يتم اعمال الحفر و التمديد بعدد 2 تصريح  و النتهاء بنهايه شهراكتوبر 2026</v>
      </c>
      <c r="U2" s="517" t="str">
        <f>_xlfn.XLOOKUP(B2,Table4[PO],Table4[الإجراءات الإدارية للمشاريع],0)</f>
        <v>1. استئناف الاعمال الموقوفة جزئيا بنسبة 4.4%
2. استكمال اجراءات السحب (انهاء التعاقد)</v>
      </c>
      <c r="V2" s="517" t="str">
        <f>_xlfn.XLOOKUP(B2,Table4[PO],Table4[اخر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v>
      </c>
      <c r="W2" s="459"/>
    </row>
    <row r="3" spans="1:23" ht="198">
      <c r="A3" s="458">
        <f>SUBTOTAL(3,$D$2:D3)</f>
        <v>2</v>
      </c>
      <c r="B3" s="562">
        <v>901230253</v>
      </c>
      <c r="C3" s="458" t="str">
        <f>_xlfn.XLOOKUP(B3,Table4[PO],Table4[اسم المشروع],0)</f>
        <v xml:space="preserve">إحلال شبكات وخطوط مياه بمدينة ينبع </v>
      </c>
      <c r="D3" s="562" t="str">
        <f>_xlfn.XLOOKUP(B3,Table4[PO],Table4[[المقاول ]],0)</f>
        <v>شبكة الإنشاء للمقاولات</v>
      </c>
      <c r="E3" s="507">
        <f>_xlfn.XLOOKUP(B3,Table4[PO],Table4[بداية المشروع التعاقدية],0)</f>
        <v>45316</v>
      </c>
      <c r="F3" s="507">
        <f>_xlfn.XLOOKUP(B3,Table4[PO],Table4[نهاية المشروع المعدلة PMO LIVE],0)</f>
        <v>46379</v>
      </c>
      <c r="G3" s="508">
        <f>_xlfn.XLOOKUP(B3,Table4[PO],Table4[نسبة الإيقاف%],0)</f>
        <v>0</v>
      </c>
      <c r="H3" s="508">
        <f>_xlfn.XLOOKUP(B3,Table4[PO],Table4[المنفذ % الفعلي حتي الإسبوع السابق],0)</f>
        <v>0.2102</v>
      </c>
      <c r="I3" s="508">
        <f>_xlfn.XLOOKUP(B3,Table4[PO],Table4[المخطط % التراكمي],0)</f>
        <v>0.64480000000000004</v>
      </c>
      <c r="J3" s="508">
        <f>_xlfn.XLOOKUP(B3,Table4[PO],Table4[المنفذ % التراكمي],0)</f>
        <v>0.2102</v>
      </c>
      <c r="K3" s="509">
        <f t="shared" si="0"/>
        <v>-0.43460000000000004</v>
      </c>
      <c r="L3" s="509" t="str">
        <f>_xlfn.XLOOKUP(B3,Table1[PO],Table1[حالة المشروع],0)</f>
        <v>متعثر</v>
      </c>
      <c r="M3" s="509">
        <f>_xlfn.XLOOKUP(B3,Table4[PO],Table4[نسبة المخطط التراكمي حتى 31 اكتوبر 2026],0)</f>
        <v>0.67958688109856202</v>
      </c>
      <c r="N3" s="615">
        <f>_xlfn.XLOOKUP(B3,Table4[PO],Table4[النسبة المطلوب زيادتها في اكتوبر 2026 لتجنب / الخروج من التعثر],0)</f>
        <v>0.22038688109856203</v>
      </c>
      <c r="O3" s="531">
        <f>_xlfn.XLOOKUP(B3,Table4[PO],Table4[قيمة المشروع بالضريبة],0)</f>
        <v>26.810392749999998</v>
      </c>
      <c r="P3" s="618">
        <f t="shared" si="1"/>
        <v>46439</v>
      </c>
      <c r="Q3" s="618" t="s">
        <v>339</v>
      </c>
      <c r="R3" s="714" t="str">
        <f>_xlfn.XLOOKUP(B3,Table4[PO],Table4[ملخص خطة المعالجة],0)</f>
        <v>1. معاملة استئناف الأعمال ثم انهاء التعاقد</v>
      </c>
      <c r="S3" s="516" t="s">
        <v>631</v>
      </c>
      <c r="T3" s="516" t="str">
        <f>_xlfn.XLOOKUP(B3,Table4[PO],Table4[الإجراء الفني الحالي],0)</f>
        <v xml:space="preserve">1. تم بدء أعمال الأسفلت بتاريخ 12/10/2026 لعدد 3 تصاريح مفتوحة متأخرة وذلك للتمهيد لاتمام الاعمال و لاغلاق الرخص  </v>
      </c>
      <c r="U3" s="516" t="str">
        <f>_xlfn.XLOOKUP(B3,Table4[PO],Table4[الإجراءات الإدارية للمشاريع],0)</f>
        <v>1. معاملة استئناف الأعمال ثم إستكمال اجرءات سحب المشروع(انهاء التعاقد)</v>
      </c>
      <c r="V3" s="516" t="str">
        <f>_xlfn.XLOOKUP(B3,Table4[PO],Table4[اخر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مخطط الإنتهاء من التوقيعات و الرفع لمعاملة السحب بتاريخ 18/10/2026 م</v>
      </c>
      <c r="W3" s="458" t="s">
        <v>564</v>
      </c>
    </row>
    <row r="4" spans="1:23" ht="217.8">
      <c r="A4" s="459">
        <f>SUBTOTAL(3,$D$2:D4)</f>
        <v>3</v>
      </c>
      <c r="B4" s="614">
        <v>901250110</v>
      </c>
      <c r="C4" s="459" t="str">
        <f>_xlfn.XLOOKUP(B4,Table4[PO],Table4[اسم المشروع],0)</f>
        <v>استكمال إنشاء أشياب مع ملحقاتها ومحطة تنقية للمياه في مناطق مختلفة بمحافظة الحناكية</v>
      </c>
      <c r="D4" s="614" t="str">
        <f>_xlfn.XLOOKUP(B4,Table4[PO],Table4[[المقاول ]],0)</f>
        <v>شركة بنون و فنون للمقاولات</v>
      </c>
      <c r="E4" s="510">
        <f>_xlfn.XLOOKUP(B4,Table4[PO],Table4[بداية المشروع التعاقدية],0)</f>
        <v>45774</v>
      </c>
      <c r="F4" s="510">
        <f>_xlfn.XLOOKUP(B4,Table4[PO],Table4[نهاية المشروع المعدلة PMO LIVE],0)</f>
        <v>46304</v>
      </c>
      <c r="G4" s="511">
        <f>_xlfn.XLOOKUP(B4,Table4[PO],Table4[نسبة الإيقاف%],0)</f>
        <v>0</v>
      </c>
      <c r="H4" s="511">
        <f>_xlfn.XLOOKUP(B4,Table4[PO],Table4[المنفذ % الفعلي حتي الإسبوع السابق],0)</f>
        <v>0.46910000000000002</v>
      </c>
      <c r="I4" s="511">
        <f>_xlfn.XLOOKUP(B4,Table4[PO],Table4[المخطط % التراكمي],0)</f>
        <v>1</v>
      </c>
      <c r="J4" s="511">
        <f>_xlfn.XLOOKUP(B4,Table4[PO],Table4[المنفذ % التراكمي],0)</f>
        <v>0.46910000000000002</v>
      </c>
      <c r="K4" s="512">
        <f t="shared" si="0"/>
        <v>-0.53089999999999993</v>
      </c>
      <c r="L4" s="512" t="str">
        <f>_xlfn.XLOOKUP(B4,Table1[PO],Table1[حالة المشروع],0)</f>
        <v>متعثر</v>
      </c>
      <c r="M4" s="512">
        <f>_xlfn.XLOOKUP(B4,Table4[PO],Table4[نسبة المخطط التراكمي حتى 31 اكتوبر 2026],0)</f>
        <v>1</v>
      </c>
      <c r="N4" s="616">
        <f>_xlfn.XLOOKUP(B4,Table4[PO],Table4[النسبة المطلوب زيادتها في اكتوبر 2026 لتجنب / الخروج من التعثر],0)</f>
        <v>0.28189999999999998</v>
      </c>
      <c r="O4" s="532">
        <f>_xlfn.XLOOKUP(B4,Table4[PO],Table4[قيمة المشروع بالضريبة],0)</f>
        <v>4.9367752000000005</v>
      </c>
      <c r="P4" s="619">
        <f t="shared" si="1"/>
        <v>46364</v>
      </c>
      <c r="Q4" s="619" t="s">
        <v>339</v>
      </c>
      <c r="R4" s="713" t="str">
        <f>_xlfn.XLOOKUP(B4,Table4[PO],Table4[ملخص خطة المعالجة],0)</f>
        <v>1. انهاء التعاقد</v>
      </c>
      <c r="S4" s="517" t="s">
        <v>630</v>
      </c>
      <c r="T4" s="517" t="str">
        <f>_xlfn.XLOOKUP(B4,Table4[PO],Table4[الإجراء الفني الحالي],0)</f>
        <v>لا يوجد اجراء فني</v>
      </c>
      <c r="U4" s="517" t="str">
        <f>_xlfn.XLOOKUP(B4,Table4[PO],Table4[الإجراءات الإدارية للمشاريع],0)</f>
        <v>1. إستكمال اجرءات سحب المشروع (انهاء التعاقد)</v>
      </c>
      <c r="V4" s="517" t="str">
        <f>_xlfn.XLOOKUP(B4,Table4[PO],Table4[اخر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مخطط الإنتهاء من التوقيعات و الرفع لمعاملة السحب بتاريخ 18/10/2026 م</v>
      </c>
      <c r="W4" s="459" t="s">
        <v>649</v>
      </c>
    </row>
    <row r="5" spans="1:23" ht="237.6">
      <c r="A5" s="458">
        <f>SUBTOTAL(3,$D$2:D5)</f>
        <v>4</v>
      </c>
      <c r="B5" s="562">
        <v>901240327</v>
      </c>
      <c r="C5" s="458" t="str">
        <f>_xlfn.XLOOKUP(B5,Table4[PO],Table4[اسم المشروع],0)</f>
        <v>مشروع إستكمال تنفيذ الخطوط الرئيسية والشبكات الفرعية لمخططات شوران ( المرحلة الثانية )</v>
      </c>
      <c r="D5" s="562" t="str">
        <f>_xlfn.XLOOKUP(B5,Table4[PO],Table4[[المقاول ]],0)</f>
        <v xml:space="preserve">شركه أفاق الدولية </v>
      </c>
      <c r="E5" s="507">
        <f>_xlfn.XLOOKUP(B5,Table4[PO],Table4[بداية المشروع التعاقدية],0)</f>
        <v>45753</v>
      </c>
      <c r="F5" s="507">
        <f>_xlfn.XLOOKUP(B5,Table4[PO],Table4[نهاية المشروع المعدلة PMO LIVE],0)</f>
        <v>46866</v>
      </c>
      <c r="G5" s="508">
        <f>_xlfn.XLOOKUP(B5,Table4[PO],Table4[نسبة الإيقاف%],0)</f>
        <v>0</v>
      </c>
      <c r="H5" s="508">
        <f>_xlfn.XLOOKUP(B5,Table4[PO],Table4[المنفذ % الفعلي حتي الإسبوع السابق],0)</f>
        <v>7.0000000000000007E-2</v>
      </c>
      <c r="I5" s="508">
        <f>_xlfn.XLOOKUP(B5,Table4[PO],Table4[المخطط % التراكمي],0)</f>
        <v>0.1045</v>
      </c>
      <c r="J5" s="508">
        <f>_xlfn.XLOOKUP(B5,Table4[PO],Table4[المنفذ % التراكمي],0)</f>
        <v>7.0000000000000007E-2</v>
      </c>
      <c r="K5" s="509">
        <f t="shared" si="0"/>
        <v>-3.4499999999999989E-2</v>
      </c>
      <c r="L5" s="509" t="str">
        <f>_xlfn.XLOOKUP(B5,Table1[PO],Table1[حالة المشروع],0)</f>
        <v>منتظم</v>
      </c>
      <c r="M5" s="509">
        <f>_xlfn.XLOOKUP(B5,Table4[PO],Table4[نسبة المخطط التراكمي حتى 31 اكتوبر 2026],0)</f>
        <v>0.12158999681921717</v>
      </c>
      <c r="N5" s="615">
        <f>_xlfn.XLOOKUP(B5,Table1[PO],Table1[النسبة المطلوب زيادتها في أكتوبر 2026 للإنتظام],0)</f>
        <v>0</v>
      </c>
      <c r="O5" s="531">
        <f>_xlfn.XLOOKUP(B5,Table4[PO],Table4[قيمة المشروع بالضريبة],0)</f>
        <v>15.456482429999999</v>
      </c>
      <c r="P5" s="618">
        <f t="shared" ref="P5" si="2">F5+60</f>
        <v>46926</v>
      </c>
      <c r="Q5" s="618" t="s">
        <v>339</v>
      </c>
      <c r="R5" s="714" t="str">
        <f>_xlfn.XLOOKUP(B5,Table4[PO],Table4[ملخص خطة المعالجة],0)</f>
        <v>1. انهاء التعاقد</v>
      </c>
      <c r="S5" s="516"/>
      <c r="T5" s="516" t="str">
        <f>_xlfn.XLOOKUP(B5,Table4[PO],Table4[الإجراء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U5" s="516" t="str">
        <f>_xlfn.XLOOKUP(B5,Table4[PO],Table4[الإجراءات الإدارية للمشاريع],0)</f>
        <v>1. إستكمال اجرءات سحب المشروع (انهاء التعاقد)</v>
      </c>
      <c r="V5" s="516" t="str">
        <f>_xlfn.XLOOKUP(B5,Table4[PO],Table4[اخر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W5" s="459" t="s">
        <v>649</v>
      </c>
    </row>
    <row r="6" spans="1:23" ht="277.2">
      <c r="A6" s="459">
        <f>SUBTOTAL(3,$D$2:D6)</f>
        <v>5</v>
      </c>
      <c r="B6" s="614">
        <v>901240075</v>
      </c>
      <c r="C6" s="459" t="str">
        <f>_xlfn.XLOOKUP(B6,Table4[PO],Table4[اسم المشروع],0)</f>
        <v xml:space="preserve">استكمال تنفيذ خطوط وشبكات المياه بأحياء شرق المدينة المنورة والعاقول </v>
      </c>
      <c r="D6" s="614" t="str">
        <f>_xlfn.XLOOKUP(B6,Table4[PO],Table4[[المقاول ]],0)</f>
        <v>شركة دقة الابعاد للمقاولات</v>
      </c>
      <c r="E6" s="510">
        <f>_xlfn.XLOOKUP(B6,Table4[PO],Table4[بداية المشروع التعاقدية],0)</f>
        <v>45468</v>
      </c>
      <c r="F6" s="510">
        <f>_xlfn.XLOOKUP(B6,Table4[PO],Table4[نهاية المشروع المعدلة PMO LIVE],0)</f>
        <v>46480</v>
      </c>
      <c r="G6" s="511">
        <f>_xlfn.XLOOKUP(B6,Table4[PO],Table4[نسبة الإيقاف%],0)</f>
        <v>0.22550000000000001</v>
      </c>
      <c r="H6" s="511">
        <f>_xlfn.XLOOKUP(B6,Table4[PO],Table4[المنفذ % الفعلي حتي الإسبوع السابق],0)</f>
        <v>0.13200000000000001</v>
      </c>
      <c r="I6" s="511">
        <f>_xlfn.XLOOKUP(B6,Table4[PO],Table4[المخطط % التراكمي],0)</f>
        <v>0.45739999999999997</v>
      </c>
      <c r="J6" s="511">
        <f>_xlfn.XLOOKUP(B6,Table4[PO],Table4[المنفذ % التراكمي],0)</f>
        <v>0.13200000000000001</v>
      </c>
      <c r="K6" s="512">
        <f t="shared" si="0"/>
        <v>-0.32539999999999997</v>
      </c>
      <c r="L6" s="512" t="str">
        <f>_xlfn.XLOOKUP(B6,Table1[PO],Table1[حالة المشروع],0)</f>
        <v>متعثر</v>
      </c>
      <c r="M6" s="512">
        <f>_xlfn.XLOOKUP(B6,Table4[PO],Table4[نسبة المخطط التراكمي حتى 31 اكتوبر 2026],0)</f>
        <v>0.49792576095422014</v>
      </c>
      <c r="N6" s="616">
        <f>_xlfn.XLOOKUP(B6,Table4[PO],Table4[النسبة المطلوب زيادتها في اكتوبر 2026 لتجنب / الخروج من التعثر],0)</f>
        <v>0.11692576095422014</v>
      </c>
      <c r="O6" s="532">
        <f>_xlfn.XLOOKUP(B6,Table4[PO],Table4[قيمة المشروع بالضريبة],0)</f>
        <v>44.879296420000003</v>
      </c>
      <c r="P6" s="619">
        <f t="shared" si="1"/>
        <v>46540</v>
      </c>
      <c r="Q6" s="619" t="s">
        <v>339</v>
      </c>
      <c r="R6" s="713" t="str">
        <f>_xlfn.XLOOKUP(B6,Table4[PO],Table4[ملخص خطة المعالجة],0)</f>
        <v>1. معاملة تخفيض الاعمال ثم انهاء التعاقد</v>
      </c>
      <c r="S6" s="517"/>
      <c r="T6" s="517"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U6" s="517" t="str">
        <f>_xlfn.XLOOKUP(B6,Table4[PO],Table4[الإجراءات الإدارية للمشاريع],0)</f>
        <v>1.معاملة جدول كميات معدل (تخفيض)
2. إستكمال اجرءات سحب المشروع (انهاء التعاقد)</v>
      </c>
      <c r="V6" s="517" t="str">
        <f>_xlfn.XLOOKUP(B6,Table4[PO],Table4[اخر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مخطط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v>
      </c>
      <c r="W6" s="458"/>
    </row>
    <row r="7" spans="1:23" ht="297">
      <c r="A7" s="458">
        <f>SUBTOTAL(3,$D$2:D7)</f>
        <v>6</v>
      </c>
      <c r="B7" s="562">
        <v>901240137</v>
      </c>
      <c r="C7" s="458" t="str">
        <f>_xlfn.XLOOKUP(B7,Table4[PO],Table4[اسم المشروع],0)</f>
        <v>خطوط مياه متفرقة بالمدينة المنورة ( الجزء الاول )</v>
      </c>
      <c r="D7" s="562" t="str">
        <f>_xlfn.XLOOKUP(B7,Table4[PO],Table4[[المقاول ]],0)</f>
        <v>شركة دقة الابعاد للمقاولات</v>
      </c>
      <c r="E7" s="507">
        <f>_xlfn.XLOOKUP(B7,Table4[PO],Table4[بداية المشروع التعاقدية],0)</f>
        <v>45565</v>
      </c>
      <c r="F7" s="507">
        <f>_xlfn.XLOOKUP(B7,Table4[PO],Table4[نهاية المشروع المعدلة PMO LIVE],0)</f>
        <v>47057</v>
      </c>
      <c r="G7" s="508">
        <f>_xlfn.XLOOKUP(B7,Table4[PO],Table4[نسبة الإيقاف%],0)</f>
        <v>0</v>
      </c>
      <c r="H7" s="508">
        <f>_xlfn.XLOOKUP(B7,Table4[PO],Table4[المنفذ % الفعلي حتي الإسبوع السابق],0)</f>
        <v>0.151</v>
      </c>
      <c r="I7" s="508">
        <f>_xlfn.XLOOKUP(B7,Table4[PO],Table4[المخطط % التراكمي],0)</f>
        <v>0.14369999999999999</v>
      </c>
      <c r="J7" s="508">
        <f>_xlfn.XLOOKUP(B7,Table4[PO],Table4[المنفذ % التراكمي],0)</f>
        <v>0.151</v>
      </c>
      <c r="K7" s="509">
        <f t="shared" si="0"/>
        <v>7.3000000000000009E-3</v>
      </c>
      <c r="L7" s="509" t="str">
        <f>_xlfn.XLOOKUP(B7,Table1[PO],Table1[حالة المشروع],0)</f>
        <v>متقدم</v>
      </c>
      <c r="M7" s="509">
        <f>_xlfn.XLOOKUP(B7,Table4[PO],Table4[نسبة المخطط التراكمي حتى 31 اكتوبر 2026],0)</f>
        <v>0.15011225135507142</v>
      </c>
      <c r="N7" s="615">
        <f>_xlfn.XLOOKUP(B7,Table1[PO],Table1[النسبة المطلوب زيادتها في أكتوبر 2026 للإنتظام],0)</f>
        <v>0</v>
      </c>
      <c r="O7" s="531">
        <f>_xlfn.XLOOKUP(B7,Table4[PO],Table4[قيمة المشروع بالضريبة],0)</f>
        <v>28.950042499999999</v>
      </c>
      <c r="P7" s="618">
        <f t="shared" si="1"/>
        <v>47117</v>
      </c>
      <c r="Q7" s="618" t="s">
        <v>339</v>
      </c>
      <c r="R7" s="714" t="str">
        <f>_xlfn.XLOOKUP(B7,Table4[PO],Table4[ملخص خطة المعالجة],0)</f>
        <v>1. انهاء التعاقد</v>
      </c>
      <c r="S7" s="516"/>
      <c r="T7" s="516" t="str">
        <f>_xlfn.XLOOKUP(B7,Table4[PO],Table4[الإجراء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5. تم الرد على ادارة سلاسل الامداد لطلبهم بالايميل سبب اصدار الانذار النهائي مع ان المقاول متقدم وتم الرد عليهم بان تقدم المقاول ناتج عن تمديدات مجلس الادارة وليس مقابل انجاز فعلي 
6. تم رد معاملة طلب اصدار الانذار النهائي من سلاسل الامداد الى الجدولة والتحكم بالمركز الرئيسي </v>
      </c>
      <c r="U7" s="516" t="str">
        <f>_xlfn.XLOOKUP(B7,Table4[PO],Table4[الإجراءات الإدارية للمشاريع],0)</f>
        <v>1. إستكمال اجرءات سحب المشروع(انهاء التعاقد)</v>
      </c>
      <c r="V7" s="516" t="str">
        <f>_xlfn.XLOOKUP(B7,Table4[PO],Table4[اخر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v>
      </c>
      <c r="W7" s="459" t="s">
        <v>649</v>
      </c>
    </row>
    <row r="8" spans="1:23" ht="121.2" customHeight="1">
      <c r="A8" s="459">
        <f>SUBTOTAL(3,$D$2:D8)</f>
        <v>7</v>
      </c>
      <c r="B8" s="614">
        <v>901240095</v>
      </c>
      <c r="C8" s="459" t="str">
        <f>_xlfn.XLOOKUP(B8,Table4[PO],Table4[اسم المشروع],0)</f>
        <v xml:space="preserve">مشروع تنفيذ شبكة توزيع المياه في حي المحاميد بالمدينة المنورة </v>
      </c>
      <c r="D8" s="614" t="str">
        <f>_xlfn.XLOOKUP(B8,Table4[PO],Table4[[المقاول ]],0)</f>
        <v>شركة خزام ناصر سعيد الشهراني للمقاولات</v>
      </c>
      <c r="E8" s="510">
        <f>_xlfn.XLOOKUP(B8,Table4[PO],Table4[بداية المشروع التعاقدية],0)</f>
        <v>45526</v>
      </c>
      <c r="F8" s="510">
        <f>_xlfn.XLOOKUP(B8,Table4[PO],Table4[نهاية المشروع المعدلة PMO LIVE],0)</f>
        <v>46694</v>
      </c>
      <c r="G8" s="511">
        <f>_xlfn.XLOOKUP(B8,Table4[PO],Table4[نسبة الإيقاف%],0)</f>
        <v>0.1908</v>
      </c>
      <c r="H8" s="511">
        <f>_xlfn.XLOOKUP(B8,Table4[PO],Table4[المنفذ % الفعلي حتي الإسبوع السابق],0)</f>
        <v>0.18959999999999999</v>
      </c>
      <c r="I8" s="511">
        <f>_xlfn.XLOOKUP(B8,Table4[PO],Table4[المخطط % التراكمي],0)</f>
        <v>0.2722</v>
      </c>
      <c r="J8" s="511">
        <f>_xlfn.XLOOKUP(B8,Table4[PO],Table4[المنفذ % التراكمي],0)</f>
        <v>0.18959999999999999</v>
      </c>
      <c r="K8" s="512">
        <f t="shared" ref="K8:K11" si="3">J8-I8</f>
        <v>-8.2600000000000007E-2</v>
      </c>
      <c r="L8" s="512" t="str">
        <f>_xlfn.XLOOKUP(B8,Table1[PO],Table1[حالة المشروع],0)</f>
        <v>منتظم</v>
      </c>
      <c r="M8" s="512">
        <f>_xlfn.XLOOKUP(B8,Table4[PO],Table4[نسبة المخطط التراكمي حتى 31 اكتوبر 2026],0)</f>
        <v>0.28294161297571085</v>
      </c>
      <c r="N8" s="616">
        <f>_xlfn.XLOOKUP(B8,Table1[PO],Table1[النسبة المطلوب زيادتها في أكتوبر 2026 للإنتظام],0)</f>
        <v>0</v>
      </c>
      <c r="O8" s="532">
        <f>_xlfn.XLOOKUP(B8,Table4[PO],Table4[قيمة المشروع بالضريبة],0)</f>
        <v>29.432727159999999</v>
      </c>
      <c r="P8" s="619">
        <f t="shared" ref="P8:P11" si="4">F8+60</f>
        <v>46754</v>
      </c>
      <c r="Q8" s="619" t="s">
        <v>339</v>
      </c>
      <c r="R8" s="713" t="str">
        <f>_xlfn.XLOOKUP(B8,Table4[PO],Table4[ملخص خطة المعالجة],0)</f>
        <v>1. انهاء التعاقد</v>
      </c>
      <c r="S8" s="517"/>
      <c r="T8" s="517" t="str">
        <f>_xlfn.XLOOKUP(B8,Table4[PO],Table4[الإجراء الفني الحالي],0)</f>
        <v>1. تم الاجتماع مع المقاول للتوجيه بالانتهاء من اعمال الاسفلت للتصريح المفتوح والمتأخر وكذلك سداد الغرامات لعدد 3 تصاريح أخري متأخرة مفتوحة علي النظام قبل 31/10/2026</v>
      </c>
      <c r="U8" s="517" t="str">
        <f>_xlfn.XLOOKUP(B8,Table4[PO],Table4[الإجراءات الإدارية للمشاريع],0)</f>
        <v>1. إستكمال اجرءات سحب المشروع(انهاء التعاقد)</v>
      </c>
      <c r="V8" s="517" t="str">
        <f>_xlfn.XLOOKUP(B8,Table4[PO],Table4[اخر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W8" s="458"/>
    </row>
    <row r="9" spans="1:23" ht="237.6">
      <c r="A9" s="458">
        <f>SUBTOTAL(3,$D$2:D9)</f>
        <v>8</v>
      </c>
      <c r="B9" s="562">
        <v>901240144</v>
      </c>
      <c r="C9" s="458" t="str">
        <f>_xlfn.XLOOKUP(B9,Table4[PO],Table4[اسم المشروع],0)</f>
        <v xml:space="preserve">مشروع إحلال خط الاسبستوس ببدر </v>
      </c>
      <c r="D9" s="562" t="str">
        <f>_xlfn.XLOOKUP(B9,Table4[PO],Table4[[المقاول ]],0)</f>
        <v xml:space="preserve">شركة افاق الدولية </v>
      </c>
      <c r="E9" s="507">
        <f>_xlfn.XLOOKUP(B9,Table4[PO],Table4[بداية المشروع التعاقدية],0)</f>
        <v>45559</v>
      </c>
      <c r="F9" s="507">
        <f>_xlfn.XLOOKUP(B9,Table4[PO],Table4[نهاية المشروع المعدلة PMO LIVE],0)</f>
        <v>46734</v>
      </c>
      <c r="G9" s="508">
        <f>_xlfn.XLOOKUP(B9,Table4[PO],Table4[نسبة الإيقاف%],0)</f>
        <v>0</v>
      </c>
      <c r="H9" s="508">
        <f>_xlfn.XLOOKUP(B9,Table4[PO],Table4[المنفذ % الفعلي حتي الإسبوع السابق],0)</f>
        <v>0.48099999999999998</v>
      </c>
      <c r="I9" s="508">
        <f>_xlfn.XLOOKUP(B9,Table4[PO],Table4[المخطط % التراكمي],0)</f>
        <v>0.52929999999999999</v>
      </c>
      <c r="J9" s="508">
        <f>_xlfn.XLOOKUP(B9,Table4[PO],Table4[المنفذ % التراكمي],0)</f>
        <v>0.48099999999999998</v>
      </c>
      <c r="K9" s="509">
        <f t="shared" si="3"/>
        <v>-4.830000000000001E-2</v>
      </c>
      <c r="L9" s="509" t="str">
        <f>_xlfn.XLOOKUP(B9,Table1[PO],Table1[حالة المشروع],0)</f>
        <v>منتظم</v>
      </c>
      <c r="M9" s="509">
        <f>_xlfn.XLOOKUP(B9,Table4[PO],Table4[نسبة المخطط التراكمي حتى 31 اكتوبر 2026],0)</f>
        <v>0.53428418879037043</v>
      </c>
      <c r="N9" s="615">
        <f>_xlfn.XLOOKUP(B9,Table1[PO],Table1[النسبة المطلوب زيادتها في أكتوبر 2026 للإنتظام],0)</f>
        <v>0</v>
      </c>
      <c r="O9" s="531">
        <f>_xlfn.XLOOKUP(B9,Table4[PO],Table4[قيمة المشروع بالضريبة],0)</f>
        <v>24.9891665</v>
      </c>
      <c r="P9" s="618">
        <f t="shared" si="4"/>
        <v>46794</v>
      </c>
      <c r="Q9" s="618" t="s">
        <v>339</v>
      </c>
      <c r="R9" s="714" t="str">
        <f>_xlfn.XLOOKUP(B9,Table4[PO],Table4[ملخص خطة المعالجة],0)</f>
        <v>1. انهاء التعاقد</v>
      </c>
      <c r="S9" s="516"/>
      <c r="T9" s="516" t="str">
        <f>_xlfn.XLOOKUP(B9,Table4[PO],Table4[الإجراء الفني الحالي],0)</f>
        <v>لا يوجد اجراء فني</v>
      </c>
      <c r="U9" s="516" t="str">
        <f>_xlfn.XLOOKUP(B9,Table4[PO],Table4[الإجراءات الإدارية للمشاريع],0)</f>
        <v>1. إستكمال اجرءات سحب المشروع (انهاء التعاقد)</v>
      </c>
      <c r="V9" s="516" t="str">
        <f>_xlfn.XLOOKUP(B9,Table4[PO],Table4[اخر تحديث الإجراء الإداري الحالي للمشروع],0)</f>
        <v>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v>
      </c>
      <c r="W9" s="459" t="s">
        <v>649</v>
      </c>
    </row>
    <row r="10" spans="1:23" s="518" customFormat="1" ht="217.8">
      <c r="A10" s="459">
        <f>SUBTOTAL(3,$D$2:D10)</f>
        <v>9</v>
      </c>
      <c r="B10" s="614">
        <v>901240123</v>
      </c>
      <c r="C10" s="459" t="str">
        <f>_xlfn.XLOOKUP(B10,Table4[PO],Table4[اسم المشروع],0)</f>
        <v>استكمال مشروع شبكات الصرف الصحي والتوصيلات المنزلية بينبع</v>
      </c>
      <c r="D10" s="614" t="str">
        <f>_xlfn.XLOOKUP(B10,Table4[PO],Table4[[المقاول ]],0)</f>
        <v>مؤسسة إبراهيم عتيق الفزي للمقاولات</v>
      </c>
      <c r="E10" s="510">
        <f>_xlfn.XLOOKUP(B10,Table4[PO],Table4[بداية المشروع التعاقدية],0)</f>
        <v>45522</v>
      </c>
      <c r="F10" s="510">
        <f>_xlfn.XLOOKUP(B10,Table4[PO],Table4[نهاية المشروع المعدلة PMO LIVE],0)</f>
        <v>46322</v>
      </c>
      <c r="G10" s="511">
        <f>_xlfn.XLOOKUP(B10,Table4[PO],Table4[نسبة الإيقاف%],0)</f>
        <v>0.14230000000000001</v>
      </c>
      <c r="H10" s="511">
        <f>_xlfn.XLOOKUP(B10,Table4[PO],Table4[المنفذ % الفعلي حتي الإسبوع السابق],0)</f>
        <v>0.27450000000000002</v>
      </c>
      <c r="I10" s="511">
        <f>_xlfn.XLOOKUP(B10,Table4[PO],Table4[المخطط % التراكمي],0)</f>
        <v>0.83089999999999997</v>
      </c>
      <c r="J10" s="511">
        <f>_xlfn.XLOOKUP(B10,Table4[PO],Table4[المنفذ % التراكمي],0)</f>
        <v>0.2777</v>
      </c>
      <c r="K10" s="512">
        <f t="shared" si="3"/>
        <v>-0.55319999999999991</v>
      </c>
      <c r="L10" s="512" t="str">
        <f>_xlfn.XLOOKUP(B10,Table1[PO],Table1[حالة المشروع],0)</f>
        <v>متعثر</v>
      </c>
      <c r="M10" s="512">
        <f>_xlfn.XLOOKUP(B10,Table4[PO],Table4[نسبة المخطط التراكمي حتى 31 اكتوبر 2026],0)</f>
        <v>0.9999999991067412</v>
      </c>
      <c r="N10" s="616">
        <f>_xlfn.XLOOKUP(B10,Table4[PO],Table4[النسبة المطلوب زيادتها في اكتوبر 2026 لتجنب / الخروج من التعثر],0)</f>
        <v>0.4732999991067412</v>
      </c>
      <c r="O10" s="532">
        <f>_xlfn.XLOOKUP(B10,Table4[PO],Table4[قيمة المشروع بالضريبة],0)</f>
        <v>25.748422260000002</v>
      </c>
      <c r="P10" s="619">
        <f t="shared" si="4"/>
        <v>46382</v>
      </c>
      <c r="Q10" s="619" t="s">
        <v>339</v>
      </c>
      <c r="R10" s="713" t="str">
        <f>_xlfn.XLOOKUP(B10,Table4[PO],Table4[ملخص خطة المعالجة],0)</f>
        <v>1. معاملة إنهاء التعاقد</v>
      </c>
      <c r="S10" s="517"/>
      <c r="T10" s="517" t="str">
        <f>_xlfn.XLOOKUP(B10,Table4[PO],Table4[الإجراء الفني الحالي],0)</f>
        <v xml:space="preserve">1. تم تقديم طلب التشغيل التجريبي بتاريخ 06/10/2026 وتم ارسال دعوة لتسمية تشكيل اللجنة وذلك لبدء الاستلام الجزئي لمنطقة ينبع النخيل 
2. تم الاجتماع مع المقاول والاستشاري  بتاريخ 11/10/2026  بسرعة الانتهاء من أعمال السفلتة وتسليم المختبر لعدد 6 تصاريح مفتوحة متأخرة خلال اسبوعين
 </v>
      </c>
      <c r="U10" s="517" t="str">
        <f>_xlfn.XLOOKUP(B10,Table4[PO],Table4[الإجراءات الإدارية للمشاريع],0)</f>
        <v>1. معاملة إنهاء العقد من الطرف الأول</v>
      </c>
      <c r="V10" s="517" t="str">
        <f>_xlfn.XLOOKUP(B10,Table4[PO],Table4[اخر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مخطط طلب استشارة قانونية بتاريخ 18/10/2026 م  بخصوص انهاء التعاقد</v>
      </c>
      <c r="W10" s="459" t="s">
        <v>649</v>
      </c>
    </row>
    <row r="11" spans="1:23" s="645" customFormat="1" ht="178.2">
      <c r="A11" s="458">
        <f>SUBTOTAL(3,$D$2:D11)</f>
        <v>10</v>
      </c>
      <c r="B11" s="562">
        <v>901240282</v>
      </c>
      <c r="C11" s="458" t="str">
        <f>_xlfn.XLOOKUP(B11,Table4[PO],Table4[اسم المشروع],0)</f>
        <v>مشروع استبدال خطوط وشبكات المياه المتهالكة بالمدينة المنورة</v>
      </c>
      <c r="D11" s="562" t="str">
        <f>_xlfn.XLOOKUP(B11,Table4[PO],Table4[[المقاول ]],0)</f>
        <v>شركة ثروات المجد للمقاولات العامة</v>
      </c>
      <c r="E11" s="507">
        <f>_xlfn.XLOOKUP(B11,Table4[PO],Table4[بداية المشروع التعاقدية],0)</f>
        <v>45648</v>
      </c>
      <c r="F11" s="507">
        <f>_xlfn.XLOOKUP(B11,Table4[PO],Table4[نهاية المشروع المعدلة PMO LIVE],0)</f>
        <v>47127</v>
      </c>
      <c r="G11" s="508">
        <f>_xlfn.XLOOKUP(B11,Table4[PO],Table4[نسبة الإيقاف%],0)</f>
        <v>0</v>
      </c>
      <c r="H11" s="508">
        <f>_xlfn.XLOOKUP(B11,Table4[PO],Table4[المنفذ % الفعلي حتي الإسبوع السابق],0)</f>
        <v>3.1699999999999999E-2</v>
      </c>
      <c r="I11" s="508">
        <f>_xlfn.XLOOKUP(B11,Table4[PO],Table4[المخطط % التراكمي],0)</f>
        <v>0.11840000000000001</v>
      </c>
      <c r="J11" s="508">
        <f>_xlfn.XLOOKUP(B11,Table4[PO],Table4[المنفذ % التراكمي],0)</f>
        <v>3.1699999999999999E-2</v>
      </c>
      <c r="K11" s="509">
        <f t="shared" si="3"/>
        <v>-8.6699999999999999E-2</v>
      </c>
      <c r="L11" s="509" t="str">
        <f>_xlfn.XLOOKUP(B11,Table1[PO],Table1[حالة المشروع],0)</f>
        <v>منتظم</v>
      </c>
      <c r="M11" s="509">
        <f>_xlfn.XLOOKUP(B11,Table4[PO],Table4[نسبة المخطط التراكمي حتى 31 اكتوبر 2026],0)</f>
        <v>0.12165729881100813</v>
      </c>
      <c r="N11" s="615">
        <f>_xlfn.XLOOKUP(B11,Table1[PO],Table1[النسبة المطلوب زيادتها في أكتوبر 2026 للإنتظام],0)</f>
        <v>0</v>
      </c>
      <c r="O11" s="531">
        <f>_xlfn.XLOOKUP(B11,Table4[PO],Table4[قيمة المشروع بالضريبة],0)</f>
        <v>26.5900125</v>
      </c>
      <c r="P11" s="618">
        <f t="shared" si="4"/>
        <v>47187</v>
      </c>
      <c r="Q11" s="618" t="s">
        <v>339</v>
      </c>
      <c r="R11" s="714" t="str">
        <f>_xlfn.XLOOKUP(B11,Table4[PO],Table4[ملخص خطة المعالجة],0)</f>
        <v>1. انهاء التعاقد</v>
      </c>
      <c r="S11" s="516"/>
      <c r="T11" s="516" t="str">
        <f>_xlfn.XLOOKUP(B11,Table4[PO],Table4[الإجراء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U11" s="516" t="str">
        <f>_xlfn.XLOOKUP(B11,Table4[PO],Table4[الإجراءات الإدارية للمشاريع],0)</f>
        <v>1. اجرءات سحب المشروع (انهاء التعاقد)</v>
      </c>
      <c r="V11" s="516" t="str">
        <f>_xlfn.XLOOKUP(B11,Table4[PO],Table4[اخر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v>
      </c>
      <c r="W11" s="458" t="s">
        <v>649</v>
      </c>
    </row>
    <row r="12" spans="1:23" ht="30" customHeight="1">
      <c r="A12" s="1213" t="s">
        <v>551</v>
      </c>
      <c r="B12" s="1214"/>
      <c r="C12" s="1214"/>
      <c r="D12" s="1214"/>
      <c r="E12" s="1214"/>
      <c r="F12" s="1214"/>
      <c r="G12" s="1214"/>
      <c r="H12" s="1214"/>
      <c r="I12" s="1214"/>
      <c r="J12" s="1214"/>
      <c r="K12" s="1215"/>
      <c r="L12" s="668"/>
      <c r="M12" s="617"/>
      <c r="N12" s="617"/>
      <c r="O12" s="956">
        <f>SUM(O2:O11)</f>
        <v>239.75472360000001</v>
      </c>
      <c r="P12" s="605"/>
      <c r="Q12" s="605"/>
      <c r="R12" s="477"/>
      <c r="S12" s="477"/>
      <c r="T12" s="642"/>
      <c r="U12" s="642"/>
      <c r="V12" s="642"/>
      <c r="W12" s="642"/>
    </row>
  </sheetData>
  <autoFilter ref="A1:W12" xr:uid="{733BFC1D-D875-44BE-B9A5-F5DFB65E31ED}"/>
  <mergeCells count="1">
    <mergeCell ref="A12:K12"/>
  </mergeCells>
  <conditionalFormatting sqref="B1:B1048576">
    <cfRule type="duplicateValues" dxfId="22" priority="3"/>
    <cfRule type="duplicateValues" dxfId="21" priority="5"/>
    <cfRule type="duplicateValues" dxfId="20" priority="505"/>
    <cfRule type="duplicateValues" dxfId="19" priority="506"/>
    <cfRule type="duplicateValues" dxfId="18" priority="541"/>
  </conditionalFormatting>
  <printOptions horizontalCentered="1"/>
  <pageMargins left="0.2" right="0.2" top="0.75" bottom="0.75" header="0.3" footer="0.3"/>
  <pageSetup paperSize="8" scale="59" orientation="landscape" r:id="rId1"/>
  <headerFooter>
    <oddHeader>&amp;C&amp;"-,Bold"&amp;20موقف المشاريع المتعثرة حتي 03 سبتمبر 2026</oddHeader>
    <oddFooter>&amp;C&amp;P / &amp;N</oddFooter>
  </headerFooter>
  <rowBreaks count="1" manualBreakCount="1">
    <brk id="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FC1D-D875-44BE-B9A5-F5DFB65E31ED}">
  <sheetPr>
    <tabColor rgb="FF00B050"/>
  </sheetPr>
  <dimension ref="A1:V7"/>
  <sheetViews>
    <sheetView rightToLeft="1" view="pageBreakPreview" zoomScale="85" zoomScaleNormal="70" zoomScaleSheetLayoutView="85" workbookViewId="0">
      <pane xSplit="4" ySplit="1" topLeftCell="R6" activePane="bottomRight" state="frozen"/>
      <selection pane="topRight" activeCell="E1" sqref="E1"/>
      <selection pane="bottomLeft" activeCell="A2" sqref="A2"/>
      <selection pane="bottomRight" activeCell="U6" sqref="U6"/>
    </sheetView>
  </sheetViews>
  <sheetFormatPr defaultColWidth="8.88671875" defaultRowHeight="14.4"/>
  <cols>
    <col min="1" max="1" width="3.5546875" style="112" customWidth="1"/>
    <col min="2" max="2" width="12.109375" style="574" hidden="1" customWidth="1"/>
    <col min="3" max="3" width="21.44140625" style="112" customWidth="1"/>
    <col min="4" max="4" width="17" style="112" customWidth="1"/>
    <col min="5" max="5" width="12.6640625" style="112" customWidth="1"/>
    <col min="6" max="6" width="13.44140625" style="112" customWidth="1"/>
    <col min="7" max="7" width="8.5546875" style="977" hidden="1" customWidth="1"/>
    <col min="8" max="8" width="8.5546875" style="574" hidden="1" customWidth="1"/>
    <col min="9" max="9" width="10.6640625" style="112" hidden="1" customWidth="1"/>
    <col min="10" max="10" width="10.109375" style="112" hidden="1" customWidth="1"/>
    <col min="11" max="11" width="9.33203125" style="574" hidden="1" customWidth="1"/>
    <col min="12" max="12" width="13.5546875" style="574" hidden="1" customWidth="1"/>
    <col min="13" max="13" width="15.109375" style="574" hidden="1" customWidth="1"/>
    <col min="14" max="14" width="13.109375" style="112" customWidth="1"/>
    <col min="15" max="15" width="12.44140625" style="574" hidden="1" customWidth="1"/>
    <col min="16" max="16" width="12.33203125" style="574" hidden="1" customWidth="1"/>
    <col min="17" max="17" width="21.88671875" style="112" customWidth="1"/>
    <col min="18" max="18" width="40.33203125" style="112" customWidth="1"/>
    <col min="19" max="19" width="51.88671875" style="112" customWidth="1"/>
    <col min="20" max="20" width="42.109375" style="112" customWidth="1"/>
    <col min="21" max="21" width="51.88671875" style="112" customWidth="1"/>
    <col min="22" max="22" width="15.6640625" style="112" customWidth="1"/>
    <col min="23" max="16384" width="8.88671875" style="112"/>
  </cols>
  <sheetData>
    <row r="1" spans="1:22" s="613" customFormat="1" ht="78.599999999999994" customHeight="1">
      <c r="A1" s="612" t="s">
        <v>546</v>
      </c>
      <c r="B1" s="620" t="s">
        <v>556</v>
      </c>
      <c r="C1" s="612" t="s">
        <v>604</v>
      </c>
      <c r="D1" s="612" t="s">
        <v>605</v>
      </c>
      <c r="E1" s="612" t="s">
        <v>606</v>
      </c>
      <c r="F1" s="612" t="s">
        <v>607</v>
      </c>
      <c r="G1" s="620" t="s">
        <v>589</v>
      </c>
      <c r="H1" s="620" t="s">
        <v>575</v>
      </c>
      <c r="I1" s="612" t="s">
        <v>608</v>
      </c>
      <c r="J1" s="612" t="s">
        <v>609</v>
      </c>
      <c r="K1" s="612" t="s">
        <v>558</v>
      </c>
      <c r="L1" s="620" t="s">
        <v>637</v>
      </c>
      <c r="M1" s="620" t="s">
        <v>642</v>
      </c>
      <c r="N1" s="612" t="s">
        <v>610</v>
      </c>
      <c r="O1" s="620" t="s">
        <v>590</v>
      </c>
      <c r="P1" s="620" t="s">
        <v>598</v>
      </c>
      <c r="Q1" s="612" t="s">
        <v>611</v>
      </c>
      <c r="R1" s="612" t="s">
        <v>629</v>
      </c>
      <c r="S1" s="612" t="s">
        <v>554</v>
      </c>
      <c r="T1" s="612" t="s">
        <v>555</v>
      </c>
      <c r="U1" s="612" t="s">
        <v>578</v>
      </c>
      <c r="V1" s="612" t="s">
        <v>550</v>
      </c>
    </row>
    <row r="2" spans="1:22" ht="237.6">
      <c r="A2" s="458">
        <f>SUBTOTAL(3,$D$2:D2)</f>
        <v>1</v>
      </c>
      <c r="B2" s="562">
        <v>901230253</v>
      </c>
      <c r="C2" s="458" t="str">
        <f>_xlfn.XLOOKUP(B2,Table4[PO],Table4[اسم المشروع],0)</f>
        <v xml:space="preserve">إحلال شبكات وخطوط مياه بمدينة ينبع </v>
      </c>
      <c r="D2" s="458" t="str">
        <f>_xlfn.XLOOKUP(B2,Table4[PO],Table4[[المقاول ]],0)</f>
        <v>شبكة الإنشاء للمقاولات</v>
      </c>
      <c r="E2" s="507">
        <f>_xlfn.XLOOKUP(B2,Table4[PO],Table4[بداية المشروع التعاقدية],0)</f>
        <v>45316</v>
      </c>
      <c r="F2" s="507">
        <f>_xlfn.XLOOKUP(B2,Table4[PO],Table4[نهاية المشروع المعدلة PMO LIVE],0)</f>
        <v>46379</v>
      </c>
      <c r="G2" s="542">
        <f>_xlfn.XLOOKUP(B2,Table4[PO],Table4[نسبة الإيقاف%],0)</f>
        <v>0</v>
      </c>
      <c r="H2" s="508">
        <f>_xlfn.XLOOKUP(B2,Table4[PO],Table4[المنفذ % الفعلي حتي الإسبوع السابق],0)</f>
        <v>0.2102</v>
      </c>
      <c r="I2" s="508">
        <f>_xlfn.XLOOKUP(B2,Table4[PO],Table4[المخطط % التراكمي],0)</f>
        <v>0.64480000000000004</v>
      </c>
      <c r="J2" s="508">
        <f>_xlfn.XLOOKUP(B2,Table4[PO],Table4[المنفذ % التراكمي],0)</f>
        <v>0.2102</v>
      </c>
      <c r="K2" s="509">
        <f t="shared" ref="K2:K6" si="0">J2-I2</f>
        <v>-0.43460000000000004</v>
      </c>
      <c r="L2" s="540">
        <f>_xlfn.XLOOKUP(B2,Table4[PO],Table4[نسبة المخطط التراكمي حتى 31 اكتوبر 2026],0)</f>
        <v>0.67958688109856202</v>
      </c>
      <c r="M2" s="615">
        <f>_xlfn.XLOOKUP(B2,Table4[PO],Table4[النسبة المطلوب زيادتها في اكتوبر 2026 لتجنب / الخروج من التعثر],0)</f>
        <v>0.22038688109856203</v>
      </c>
      <c r="N2" s="531">
        <f>_xlfn.XLOOKUP(B2,Table4[PO],Table4[قيمة المشروع بالضريبة],0)</f>
        <v>26.810392749999998</v>
      </c>
      <c r="O2" s="618">
        <f t="shared" ref="O2" si="1">F2+60</f>
        <v>46439</v>
      </c>
      <c r="P2" s="618" t="s">
        <v>339</v>
      </c>
      <c r="Q2" s="714" t="str">
        <f>_xlfn.XLOOKUP(B2,Table4[PO],Table4[ملخص خطة المعالجة],0)</f>
        <v>1. معاملة استئناف الأعمال ثم انهاء التعاقد</v>
      </c>
      <c r="R2" s="516" t="s">
        <v>631</v>
      </c>
      <c r="S2" s="516" t="str">
        <f>_xlfn.XLOOKUP(B2,Table4[PO],Table4[الإجراء الفني الحالي],0)</f>
        <v xml:space="preserve">1. تم بدء أعمال الأسفلت بتاريخ 12/10/2026 لعدد 3 تصاريح مفتوحة متأخرة وذلك للتمهيد لاتمام الاعمال و لاغلاق الرخص  </v>
      </c>
      <c r="T2" s="516" t="str">
        <f>_xlfn.XLOOKUP(B2,Table4[PO],Table4[الإجراءات الإدارية للمشاريع],0)</f>
        <v>1. معاملة استئناف الأعمال ثم إستكمال اجرءات سحب المشروع(انهاء التعاقد)</v>
      </c>
      <c r="U2" s="516" t="str">
        <f>_xlfn.XLOOKUP(B2,Table4[PO],Table4[اخر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مخطط الإنتهاء من التوقيعات و الرفع لمعاملة السحب بتاريخ 18/10/2026 م</v>
      </c>
      <c r="V2" s="458" t="s">
        <v>649</v>
      </c>
    </row>
    <row r="3" spans="1:22" ht="237.6">
      <c r="A3" s="459">
        <f>SUBTOTAL(3,$D$2:D3)</f>
        <v>2</v>
      </c>
      <c r="B3" s="614">
        <v>901250110</v>
      </c>
      <c r="C3" s="459" t="str">
        <f>_xlfn.XLOOKUP(B3,Table4[PO],Table4[اسم المشروع],0)</f>
        <v>استكمال إنشاء أشياب مع ملحقاتها ومحطة تنقية للمياه في مناطق مختلفة بمحافظة الحناكية</v>
      </c>
      <c r="D3" s="459" t="str">
        <f>_xlfn.XLOOKUP(B3,Table4[PO],Table4[[المقاول ]],0)</f>
        <v>شركة بنون و فنون للمقاولات</v>
      </c>
      <c r="E3" s="510">
        <f>_xlfn.XLOOKUP(B3,Table4[PO],Table4[بداية المشروع التعاقدية],0)</f>
        <v>45774</v>
      </c>
      <c r="F3" s="510">
        <f>_xlfn.XLOOKUP(B3,Table4[PO],Table4[نهاية المشروع المعدلة PMO LIVE],0)</f>
        <v>46304</v>
      </c>
      <c r="G3" s="543">
        <f>_xlfn.XLOOKUP(B3,Table4[PO],Table4[نسبة الإيقاف%],0)</f>
        <v>0</v>
      </c>
      <c r="H3" s="511">
        <f>_xlfn.XLOOKUP(B3,Table4[PO],Table4[المنفذ % الفعلي حتي الإسبوع السابق],0)</f>
        <v>0.46910000000000002</v>
      </c>
      <c r="I3" s="511">
        <f>_xlfn.XLOOKUP(B3,Table4[PO],Table4[المخطط % التراكمي],0)</f>
        <v>1</v>
      </c>
      <c r="J3" s="511">
        <f>_xlfn.XLOOKUP(B3,Table4[PO],Table4[المنفذ % التراكمي],0)</f>
        <v>0.46910000000000002</v>
      </c>
      <c r="K3" s="512">
        <f t="shared" si="0"/>
        <v>-0.53089999999999993</v>
      </c>
      <c r="L3" s="541">
        <f>_xlfn.XLOOKUP(B3,Table4[PO],Table4[نسبة المخطط التراكمي حتى 31 اكتوبر 2026],0)</f>
        <v>1</v>
      </c>
      <c r="M3" s="616">
        <f>_xlfn.XLOOKUP(B3,Table4[PO],Table4[النسبة المطلوب زيادتها في اكتوبر 2026 لتجنب / الخروج من التعثر],0)</f>
        <v>0.28189999999999998</v>
      </c>
      <c r="N3" s="532">
        <f>_xlfn.XLOOKUP(B3,Table4[PO],Table4[قيمة المشروع بالضريبة],0)</f>
        <v>4.9367752000000005</v>
      </c>
      <c r="O3" s="619">
        <f t="shared" ref="O3:O4" si="2">F3+60</f>
        <v>46364</v>
      </c>
      <c r="P3" s="619" t="s">
        <v>339</v>
      </c>
      <c r="Q3" s="713" t="str">
        <f>_xlfn.XLOOKUP(B3,Table4[PO],Table4[ملخص خطة المعالجة],0)</f>
        <v>1. انهاء التعاقد</v>
      </c>
      <c r="R3" s="517" t="s">
        <v>630</v>
      </c>
      <c r="S3" s="517" t="str">
        <f>_xlfn.XLOOKUP(B3,Table4[PO],Table4[الإجراء الفني الحالي],0)</f>
        <v>لا يوجد اجراء فني</v>
      </c>
      <c r="T3" s="517" t="str">
        <f>_xlfn.XLOOKUP(B3,Table4[PO],Table4[الإجراءات الإدارية للمشاريع],0)</f>
        <v>1. إستكمال اجرءات سحب المشروع (انهاء التعاقد)</v>
      </c>
      <c r="U3" s="517" t="str">
        <f>_xlfn.XLOOKUP(B3,Table4[PO],Table4[اخر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مخطط الإنتهاء من التوقيعات و الرفع لمعاملة السحب بتاريخ 18/10/2026 م</v>
      </c>
      <c r="V3" s="459" t="s">
        <v>649</v>
      </c>
    </row>
    <row r="4" spans="1:22" ht="237.6">
      <c r="A4" s="458">
        <f>SUBTOTAL(3,$D$2:D4)</f>
        <v>3</v>
      </c>
      <c r="B4" s="562">
        <v>901240123</v>
      </c>
      <c r="C4" s="562" t="str">
        <f>_xlfn.XLOOKUP(B4,Table4[PO],Table4[اسم المشروع],0)</f>
        <v>استكمال مشروع شبكات الصرف الصحي والتوصيلات المنزلية بينبع</v>
      </c>
      <c r="D4" s="562" t="str">
        <f>_xlfn.XLOOKUP(B4,Table4[PO],Table4[[المقاول ]],0)</f>
        <v>مؤسسة إبراهيم عتيق الفزي للمقاولات</v>
      </c>
      <c r="E4" s="507">
        <f>_xlfn.XLOOKUP(B4,Table4[PO],Table4[بداية المشروع التعاقدية],0)</f>
        <v>45522</v>
      </c>
      <c r="F4" s="507">
        <f>_xlfn.XLOOKUP(B4,Table4[PO],Table4[نهاية المشروع المعدلة PMO LIVE],0)</f>
        <v>46322</v>
      </c>
      <c r="G4" s="542">
        <f>_xlfn.XLOOKUP(B4,Table4[PO],Table4[نسبة الإيقاف%],0)</f>
        <v>0.14230000000000001</v>
      </c>
      <c r="H4" s="508">
        <f>_xlfn.XLOOKUP(B4,Table4[PO],Table4[المنفذ % الفعلي حتي الإسبوع السابق],0)</f>
        <v>0.27450000000000002</v>
      </c>
      <c r="I4" s="508">
        <f>_xlfn.XLOOKUP(B4,Table4[PO],Table4[المخطط % التراكمي],0)</f>
        <v>0.83089999999999997</v>
      </c>
      <c r="J4" s="508">
        <f>_xlfn.XLOOKUP(B4,Table4[PO],Table4[المنفذ % التراكمي],0)</f>
        <v>0.2777</v>
      </c>
      <c r="K4" s="509">
        <f t="shared" si="0"/>
        <v>-0.55319999999999991</v>
      </c>
      <c r="L4" s="540">
        <f>_xlfn.XLOOKUP(B4,Table4[PO],Table4[نسبة المخطط التراكمي حتى 31 اكتوبر 2026],0)</f>
        <v>0.9999999991067412</v>
      </c>
      <c r="M4" s="615">
        <f>_xlfn.XLOOKUP(B4,Table4[PO],Table4[النسبة المطلوب زيادتها في اكتوبر 2026 لتجنب / الخروج من التعثر],0)</f>
        <v>0.4732999991067412</v>
      </c>
      <c r="N4" s="531">
        <f>_xlfn.XLOOKUP(B4,Table4[PO],Table4[قيمة المشروع بالضريبة],0)</f>
        <v>25.748422260000002</v>
      </c>
      <c r="O4" s="618">
        <f t="shared" si="2"/>
        <v>46382</v>
      </c>
      <c r="P4" s="618" t="s">
        <v>339</v>
      </c>
      <c r="Q4" s="714" t="str">
        <f>_xlfn.XLOOKUP(B4,Table4[PO],Table4[ملخص خطة المعالجة],0)</f>
        <v>1. معاملة إنهاء التعاقد</v>
      </c>
      <c r="R4" s="516" t="s">
        <v>1010</v>
      </c>
      <c r="S4" s="516" t="str">
        <f>_xlfn.XLOOKUP(B4,Table4[PO],Table4[الإجراء الفني الحالي],0)</f>
        <v xml:space="preserve">1. تم تقديم طلب التشغيل التجريبي بتاريخ 06/10/2026 وتم ارسال دعوة لتسمية تشكيل اللجنة وذلك لبدء الاستلام الجزئي لمنطقة ينبع النخيل 
2. تم الاجتماع مع المقاول والاستشاري  بتاريخ 11/10/2026  بسرعة الانتهاء من أعمال السفلتة وتسليم المختبر لعدد 6 تصاريح مفتوحة متأخرة خلال اسبوعين
 </v>
      </c>
      <c r="T4" s="516" t="str">
        <f>_xlfn.XLOOKUP(B4,Table4[PO],Table4[الإجراءات الإدارية للمشاريع],0)</f>
        <v>1. معاملة إنهاء العقد من الطرف الأول</v>
      </c>
      <c r="U4" s="516" t="str">
        <f>_xlfn.XLOOKUP(B4,Table4[PO],Table4[اخر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مخطط طلب استشارة قانونية بتاريخ 18/10/2026 م  بخصوص انهاء التعاقد</v>
      </c>
      <c r="V4" s="458" t="s">
        <v>649</v>
      </c>
    </row>
    <row r="5" spans="1:22" ht="197.4" customHeight="1">
      <c r="A5" s="459">
        <f>SUBTOTAL(3,$D$2:D5)</f>
        <v>4</v>
      </c>
      <c r="B5" s="614">
        <v>901250275</v>
      </c>
      <c r="C5" s="459" t="str">
        <f>_xlfn.XLOOKUP(B5,Table4[PO],Table4[اسم المشروع],0)</f>
        <v>استكمال تنفيذ الخطوط الرئيسية وشبكات الصرف الصحي بأحياء شوران</v>
      </c>
      <c r="D5" s="614" t="str">
        <f>_xlfn.XLOOKUP(B5,Table4[PO],Table4[[المقاول ]],0)</f>
        <v>شركة عوده مبارك البلادي و أبنائه للمقاولات المحدودة</v>
      </c>
      <c r="E5" s="510">
        <f>_xlfn.XLOOKUP(B5,Table4[PO],Table4[بداية المشروع التعاقدية],0)</f>
        <v>45979</v>
      </c>
      <c r="F5" s="510">
        <f>_xlfn.XLOOKUP(B5,Table4[PO],Table4[نهاية المشروع المعدلة PMO LIVE],0)</f>
        <v>46524</v>
      </c>
      <c r="G5" s="543">
        <f>_xlfn.XLOOKUP(B5,Table4[PO],Table4[نسبة الإيقاف%],0)</f>
        <v>4.3999999999999997E-2</v>
      </c>
      <c r="H5" s="511">
        <f>_xlfn.XLOOKUP(B5,Table4[PO],Table4[المنفذ % الفعلي حتي الإسبوع السابق],0)</f>
        <v>7.51E-2</v>
      </c>
      <c r="I5" s="511">
        <f>_xlfn.XLOOKUP(B5,Table4[PO],Table4[المخطط % التراكمي],0)</f>
        <v>0.41210000000000002</v>
      </c>
      <c r="J5" s="511">
        <f>_xlfn.XLOOKUP(B5,Table4[PO],Table4[المنفذ % التراكمي],0)</f>
        <v>7.51E-2</v>
      </c>
      <c r="K5" s="512">
        <f t="shared" si="0"/>
        <v>-0.33700000000000002</v>
      </c>
      <c r="L5" s="541">
        <f>_xlfn.XLOOKUP(B5,Table4[PO],Table4[نسبة المخطط التراكمي حتى 31 اكتوبر 2026],0)</f>
        <v>0.46285180516040303</v>
      </c>
      <c r="M5" s="616">
        <f>_xlfn.XLOOKUP(B5,Table4[PO],Table4[النسبة المطلوب زيادتها في اكتوبر 2026 لتجنب / الخروج من التعثر],0)</f>
        <v>0.13875180516040303</v>
      </c>
      <c r="N5" s="532">
        <f>_xlfn.XLOOKUP(B5,Table4[PO],Table4[قيمة المشروع بالضريبة],0)</f>
        <v>11.961405880000001</v>
      </c>
      <c r="O5" s="619">
        <f t="shared" ref="O5:O6" si="3">F5+60</f>
        <v>46584</v>
      </c>
      <c r="P5" s="619" t="s">
        <v>339</v>
      </c>
      <c r="Q5" s="713" t="str">
        <f>_xlfn.XLOOKUP(B5,Table4[PO],Table4[ملخص خطة المعالجة],0)</f>
        <v>1. استئناف الاعمال الموقوفة جزئيا بنسبة 4.42%
2.استكمال اجراءات السحب (انهاء التعاقد)</v>
      </c>
      <c r="R5" s="517" t="s">
        <v>630</v>
      </c>
      <c r="S5" s="517" t="str">
        <f>_xlfn.XLOOKUP(B5,Table4[PO],Table4[الإجراء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ولم يستجيب المقاول 
4. تم طلب مالك شركه المقاول في اجتماع اخر بتاريخ  14/10/2026 و لا يوجد استجابه من المقاول حتي الان   
5. يتم اعمال الحفر و التمديد بعدد 2 تصريح  و النتهاء بنهايه شهراكتوبر 2026</v>
      </c>
      <c r="T5" s="517" t="str">
        <f>_xlfn.XLOOKUP(B5,Table4[PO],Table4[الإجراءات الإدارية للمشاريع],0)</f>
        <v>1. استئناف الاعمال الموقوفة جزئيا بنسبة 4.4%
2. استكمال اجراءات السحب (انهاء التعاقد)</v>
      </c>
      <c r="U5" s="517" t="str">
        <f>_xlfn.XLOOKUP(B5,Table4[PO],Table4[اخر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v>
      </c>
      <c r="V5" s="459" t="s">
        <v>644</v>
      </c>
    </row>
    <row r="6" spans="1:22" ht="297">
      <c r="A6" s="458">
        <f>SUBTOTAL(3,$D$2:D6)</f>
        <v>5</v>
      </c>
      <c r="B6" s="562">
        <v>901240075</v>
      </c>
      <c r="C6" s="458" t="str">
        <f>_xlfn.XLOOKUP(B6,Table4[PO],Table4[اسم المشروع],0)</f>
        <v xml:space="preserve">استكمال تنفيذ خطوط وشبكات المياه بأحياء شرق المدينة المنورة والعاقول </v>
      </c>
      <c r="D6" s="562" t="str">
        <f>_xlfn.XLOOKUP(B6,Table4[PO],Table4[[المقاول ]],0)</f>
        <v>شركة دقة الابعاد للمقاولات</v>
      </c>
      <c r="E6" s="507">
        <f>_xlfn.XLOOKUP(B6,Table4[PO],Table4[بداية المشروع التعاقدية],0)</f>
        <v>45468</v>
      </c>
      <c r="F6" s="507">
        <f>_xlfn.XLOOKUP(B6,Table4[PO],Table4[نهاية المشروع المعدلة PMO LIVE],0)</f>
        <v>46480</v>
      </c>
      <c r="G6" s="542">
        <f>_xlfn.XLOOKUP(B6,Table4[PO],Table4[نسبة الإيقاف%],0)</f>
        <v>0.22550000000000001</v>
      </c>
      <c r="H6" s="508">
        <f>_xlfn.XLOOKUP(B6,Table4[PO],Table4[المنفذ % الفعلي حتي الإسبوع السابق],0)</f>
        <v>0.13200000000000001</v>
      </c>
      <c r="I6" s="508">
        <f>_xlfn.XLOOKUP(B6,Table4[PO],Table4[المخطط % التراكمي],0)</f>
        <v>0.45739999999999997</v>
      </c>
      <c r="J6" s="508">
        <f>_xlfn.XLOOKUP(B6,Table4[PO],Table4[المنفذ % التراكمي],0)</f>
        <v>0.13200000000000001</v>
      </c>
      <c r="K6" s="509">
        <f t="shared" si="0"/>
        <v>-0.32539999999999997</v>
      </c>
      <c r="L6" s="540">
        <f>_xlfn.XLOOKUP(B6,Table4[PO],Table4[نسبة المخطط التراكمي حتى 31 اكتوبر 2026],0)</f>
        <v>0.49792576095422014</v>
      </c>
      <c r="M6" s="615">
        <f>_xlfn.XLOOKUP(B6,Table4[PO],Table4[النسبة المطلوب زيادتها في اكتوبر 2026 لتجنب / الخروج من التعثر],0)</f>
        <v>0.11692576095422014</v>
      </c>
      <c r="N6" s="531">
        <f>_xlfn.XLOOKUP(B6,Table4[PO],Table4[قيمة المشروع بالضريبة],0)</f>
        <v>44.879296420000003</v>
      </c>
      <c r="O6" s="618">
        <f t="shared" si="3"/>
        <v>46540</v>
      </c>
      <c r="P6" s="618" t="s">
        <v>339</v>
      </c>
      <c r="Q6" s="714" t="str">
        <f>_xlfn.XLOOKUP(B6,Table4[PO],Table4[ملخص خطة المعالجة],0)</f>
        <v>1. معاملة تخفيض الاعمال ثم انهاء التعاقد</v>
      </c>
      <c r="R6" s="516" t="s">
        <v>758</v>
      </c>
      <c r="S6" s="516"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T6" s="516" t="str">
        <f>_xlfn.XLOOKUP(B6,Table4[PO],Table4[الإجراءات الإدارية للمشاريع],0)</f>
        <v>1.معاملة جدول كميات معدل (تخفيض)
2. إستكمال اجرءات سحب المشروع (انهاء التعاقد)</v>
      </c>
      <c r="U6" s="516" t="str">
        <f>_xlfn.XLOOKUP(B6,Table4[PO],Table4[اخر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مخطط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v>
      </c>
      <c r="V6" s="458" t="s">
        <v>649</v>
      </c>
    </row>
    <row r="7" spans="1:22" ht="30" customHeight="1">
      <c r="A7" s="1009"/>
      <c r="B7" s="930" t="s">
        <v>551</v>
      </c>
      <c r="C7" s="930"/>
      <c r="D7" s="930"/>
      <c r="E7" s="680"/>
      <c r="F7" s="680"/>
      <c r="G7" s="978"/>
      <c r="H7" s="680"/>
      <c r="I7" s="680"/>
      <c r="J7" s="680"/>
      <c r="K7" s="681"/>
      <c r="L7" s="617"/>
      <c r="M7" s="617"/>
      <c r="N7" s="505">
        <f>SUM(N2:N6)</f>
        <v>114.33629251000001</v>
      </c>
      <c r="O7" s="605"/>
      <c r="P7" s="605"/>
      <c r="Q7" s="477"/>
      <c r="R7" s="477"/>
      <c r="S7" s="642"/>
      <c r="T7" s="642"/>
      <c r="U7" s="642"/>
      <c r="V7" s="642"/>
    </row>
  </sheetData>
  <autoFilter ref="A1:V7" xr:uid="{733BFC1D-D875-44BE-B9A5-F5DFB65E31ED}"/>
  <printOptions horizontalCentered="1"/>
  <pageMargins left="0.2" right="0.2" top="0.75" bottom="0.75" header="0.3" footer="0.3"/>
  <pageSetup paperSize="8" scale="59" orientation="landscape" r:id="rId1"/>
  <headerFooter>
    <oddHeader>&amp;C&amp;"-,Bold"&amp;20موقف المشاريع المتعثرة حتي 31 يوليو 2026</oddHeader>
    <oddFooter>&amp;C&amp;P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C0B5-3B76-4166-89CF-0D1A36E6310A}">
  <sheetPr>
    <tabColor rgb="FF00B050"/>
  </sheetPr>
  <dimension ref="A1:V8"/>
  <sheetViews>
    <sheetView rightToLeft="1" view="pageBreakPreview" zoomScale="70" zoomScaleNormal="70" zoomScaleSheetLayoutView="70" workbookViewId="0">
      <pane xSplit="4" ySplit="1" topLeftCell="E2" activePane="bottomRight" state="frozen"/>
      <selection pane="topRight" activeCell="E1" sqref="E1"/>
      <selection pane="bottomLeft" activeCell="A2" sqref="A2"/>
      <selection pane="bottomRight" activeCell="R2" sqref="R2"/>
    </sheetView>
  </sheetViews>
  <sheetFormatPr defaultColWidth="8.88671875" defaultRowHeight="14.4"/>
  <cols>
    <col min="1" max="1" width="5.109375" style="112" customWidth="1"/>
    <col min="2" max="2" width="13.6640625" style="574" hidden="1" customWidth="1"/>
    <col min="3" max="3" width="17.88671875" style="112" customWidth="1"/>
    <col min="4" max="4" width="16.109375" style="112" customWidth="1"/>
    <col min="5" max="5" width="13.5546875" style="112" customWidth="1"/>
    <col min="6" max="6" width="12.6640625" style="112" customWidth="1"/>
    <col min="7" max="7" width="8.6640625" style="977" hidden="1" customWidth="1"/>
    <col min="8" max="8" width="8.6640625" style="574" hidden="1" customWidth="1"/>
    <col min="9" max="9" width="13.33203125" style="112" customWidth="1"/>
    <col min="10" max="10" width="14.109375" style="112" customWidth="1"/>
    <col min="11" max="11" width="12" style="574" customWidth="1"/>
    <col min="12" max="12" width="13.109375" style="574" hidden="1" customWidth="1"/>
    <col min="13" max="13" width="14.88671875" style="574" hidden="1" customWidth="1"/>
    <col min="14" max="14" width="14.44140625" style="112" customWidth="1"/>
    <col min="15" max="16" width="12.33203125" style="574" hidden="1" customWidth="1"/>
    <col min="17" max="17" width="23.33203125" style="112" customWidth="1"/>
    <col min="18" max="18" width="54.44140625" style="112" customWidth="1"/>
    <col min="19" max="19" width="30.33203125" style="1" customWidth="1"/>
    <col min="20" max="20" width="51.21875" style="1" customWidth="1"/>
    <col min="21" max="21" width="16.109375" style="112" customWidth="1"/>
    <col min="22" max="22" width="16.5546875" style="565" hidden="1" customWidth="1"/>
    <col min="23" max="16384" width="8.88671875" style="112"/>
  </cols>
  <sheetData>
    <row r="1" spans="1:22" s="613" customFormat="1" ht="83.4" customHeight="1">
      <c r="A1" s="610" t="s">
        <v>546</v>
      </c>
      <c r="B1" s="611" t="s">
        <v>556</v>
      </c>
      <c r="C1" s="612" t="s">
        <v>604</v>
      </c>
      <c r="D1" s="612" t="s">
        <v>605</v>
      </c>
      <c r="E1" s="612" t="s">
        <v>606</v>
      </c>
      <c r="F1" s="612" t="s">
        <v>607</v>
      </c>
      <c r="G1" s="611" t="s">
        <v>589</v>
      </c>
      <c r="H1" s="611" t="s">
        <v>575</v>
      </c>
      <c r="I1" s="612" t="s">
        <v>608</v>
      </c>
      <c r="J1" s="612" t="s">
        <v>609</v>
      </c>
      <c r="K1" s="610" t="s">
        <v>558</v>
      </c>
      <c r="L1" s="611" t="s">
        <v>637</v>
      </c>
      <c r="M1" s="611" t="s">
        <v>587</v>
      </c>
      <c r="N1" s="612" t="s">
        <v>610</v>
      </c>
      <c r="O1" s="611" t="s">
        <v>590</v>
      </c>
      <c r="P1" s="611" t="s">
        <v>599</v>
      </c>
      <c r="Q1" s="612" t="s">
        <v>611</v>
      </c>
      <c r="R1" s="610" t="s">
        <v>554</v>
      </c>
      <c r="S1" s="610" t="s">
        <v>555</v>
      </c>
      <c r="T1" s="610" t="s">
        <v>578</v>
      </c>
      <c r="U1" s="610" t="s">
        <v>572</v>
      </c>
      <c r="V1" s="610" t="s">
        <v>559</v>
      </c>
    </row>
    <row r="2" spans="1:22" s="518" customFormat="1" ht="356.4">
      <c r="A2" s="478">
        <f>SUBTOTAL(3,$D2:D$2)</f>
        <v>1</v>
      </c>
      <c r="B2" s="520">
        <v>901240141</v>
      </c>
      <c r="C2" s="520" t="str">
        <f>_xlfn.XLOOKUP(B2,Table4[PO],Table4[اسم المشروع],0)</f>
        <v xml:space="preserve">إستكمال تنفيذ شبكات الصرف الصحي بالأماكن المتضررة بالمدينة المنورة </v>
      </c>
      <c r="D2" s="478" t="str">
        <f>_xlfn.XLOOKUP(B2,Table4[PO],Table4[[المقاول ]],0)</f>
        <v xml:space="preserve">شركة البنايات العربية للمقاولات العامة </v>
      </c>
      <c r="E2" s="501">
        <f>_xlfn.XLOOKUP(B2,Table4[PO],Table4[بداية المشروع التعاقدية],0)</f>
        <v>45510</v>
      </c>
      <c r="F2" s="501">
        <f>_xlfn.XLOOKUP(B2,Table4[PO],Table4[نهاية المشروع المعدلة PMO LIVE],0)</f>
        <v>46232</v>
      </c>
      <c r="G2" s="975">
        <f>_xlfn.XLOOKUP(B2,Table4[PO],Table4[نسبة الإيقاف%],0)</f>
        <v>0</v>
      </c>
      <c r="H2" s="502">
        <f>_xlfn.XLOOKUP(B2,Table4[PO],Table4[المنفذ % الفعلي حتي الإسبوع السابق],0)</f>
        <v>0.75</v>
      </c>
      <c r="I2" s="502">
        <f>_xlfn.XLOOKUP(B2,Table4[PO],Table4[المخطط % التراكمي],0)</f>
        <v>1</v>
      </c>
      <c r="J2" s="502">
        <f>_xlfn.XLOOKUP(B2,Table4[PO],Table4[المنفذ % التراكمي],0)</f>
        <v>0.75</v>
      </c>
      <c r="K2" s="606">
        <f t="shared" ref="K2:K4" si="0">J2-I2</f>
        <v>-0.25</v>
      </c>
      <c r="L2" s="603">
        <f>_xlfn.XLOOKUP(B2,Table4[PO],Table4[نسبة المخطط التراكمي حتى 31 اكتوبر 2026],0)</f>
        <v>1</v>
      </c>
      <c r="M2" s="607">
        <f>_xlfn.XLOOKUP(B2,Table4[PO],Table4[النسبة المطلوب زيادتها في اكتوبر 2026 للإنتظام],0)</f>
        <v>0.15100000000000002</v>
      </c>
      <c r="N2" s="503">
        <f>_xlfn.XLOOKUP(B2,Table4[PO],Table4[قيمة المشروع بالضريبة],0)</f>
        <v>26.01690632</v>
      </c>
      <c r="O2" s="536">
        <v>46387</v>
      </c>
      <c r="P2" s="536" t="s">
        <v>338</v>
      </c>
      <c r="Q2" s="671" t="str">
        <f>_xlfn.XLOOKUP(B2,Table4[PO],Table4[ملخص خطة المعالجة],0)</f>
        <v xml:space="preserve">1.زيادة معدلات الأداء و الإستلام الإبتدائي للمشروع
</v>
      </c>
      <c r="R2" s="1016" t="str">
        <f>_xlfn.XLOOKUP(B2,Table4[PO],Table4[الإجراء الفني الحالي],0)</f>
        <v>1.تم اعداد خطه اصدار تصاريح بجميع الاعمال المتبقيه بالمشروع 
2. تم رفع عدد 11 تصريح بطول حوالي  1 كم تحت الجراء حاليا  
3. تم تشكيل لجنه الاختبار التشغيلي و توجيه استشاري الاشراف بالتنسيق  لشخوص اللجنه  للبدء في اجراءات  الاختبار التشغيلي
4. تم  توجيه الاستشاري و المقاول  بإستكمال الاختبار التشغيلي للمحطات التي لم يتم إيصال التيار الكهربائي  لها بإستخدام مولدات  كهرباء الطواريء المورده ( بنود تعاقديه بجدول الكميات ) بتاريخ12/10/2026</v>
      </c>
      <c r="S2" s="1016" t="str">
        <f>_xlfn.XLOOKUP(B2,Table4[PO],Table4[الإجراءات الإدارية للمشاريع],0)</f>
        <v>1. الإستلام الإبتدائي للمشروع 
2.إستكمال اجرءات سحب المشروع (انهاء التعاقد)</v>
      </c>
      <c r="T2" s="504"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v>
      </c>
      <c r="U2" s="478" t="s">
        <v>649</v>
      </c>
      <c r="V2" s="572" t="str">
        <f>_xlfn.XLOOKUP(B2,Table4[PO],Table4[التاريخ المتوقع للتعثر- متوسط نسب انجاز],0)</f>
        <v>غير متوقع تعثره</v>
      </c>
    </row>
    <row r="3" spans="1:22" ht="257.39999999999998">
      <c r="A3" s="479">
        <f>SUBTOTAL(3,$D$2:D3)</f>
        <v>2</v>
      </c>
      <c r="B3" s="530">
        <v>901230191</v>
      </c>
      <c r="C3" s="530" t="str">
        <f>_xlfn.XLOOKUP(B3,Table4[PO],Table4[اسم المشروع],0)</f>
        <v xml:space="preserve">تنفيذ خطوط فرعية وتوصيلات منزلية للصرف الصحي مع اعادة تأهيل محطة الضخ بينبع </v>
      </c>
      <c r="D3" s="479" t="str">
        <f>_xlfn.XLOOKUP(B3,Table4[PO],Table4[[المقاول ]],0)</f>
        <v>شركة العزم للإنشاء والتعمير</v>
      </c>
      <c r="E3" s="497">
        <f>_xlfn.XLOOKUP(B3,Table4[PO],Table4[بداية المشروع التعاقدية],0)</f>
        <v>45237</v>
      </c>
      <c r="F3" s="497">
        <f>_xlfn.XLOOKUP(B3,Table4[PO],Table4[نهاية المشروع المعدلة PMO LIVE],0)</f>
        <v>46430</v>
      </c>
      <c r="G3" s="976">
        <f>_xlfn.XLOOKUP(B3,Table4[PO],Table4[نسبة الإيقاف%],0)</f>
        <v>0.24160000000000001</v>
      </c>
      <c r="H3" s="498">
        <f>_xlfn.XLOOKUP(B3,Table4[PO],Table4[المنفذ % الفعلي حتي الإسبوع السابق],0)</f>
        <v>0.53600000000000003</v>
      </c>
      <c r="I3" s="498">
        <f>_xlfn.XLOOKUP(B3,Table4[PO],Table4[المخطط % التراكمي],0)</f>
        <v>0.68720000000000003</v>
      </c>
      <c r="J3" s="498">
        <f>_xlfn.XLOOKUP(B3,Table4[PO],Table4[المنفذ % التراكمي],0)</f>
        <v>0.53749999999999998</v>
      </c>
      <c r="K3" s="580">
        <f t="shared" si="0"/>
        <v>-0.14970000000000006</v>
      </c>
      <c r="L3" s="604">
        <f>_xlfn.XLOOKUP(B3,Table4[PO],Table4[نسبة المخطط التراكمي حتى 31 اكتوبر 2026],0)</f>
        <v>0.6959943869779105</v>
      </c>
      <c r="M3" s="608">
        <f>_xlfn.XLOOKUP(B3,Table4[PO],Table4[النسبة المطلوب زيادتها في اكتوبر 2026 للإنتظام],0)</f>
        <v>5.9494386977910541E-2</v>
      </c>
      <c r="N3" s="499">
        <f>_xlfn.XLOOKUP(B3,Table4[PO],Table4[قيمة المشروع بالضريبة],0)</f>
        <v>48.3797134</v>
      </c>
      <c r="O3" s="519" t="s">
        <v>600</v>
      </c>
      <c r="P3" s="519" t="s">
        <v>339</v>
      </c>
      <c r="Q3" s="672" t="str">
        <f>_xlfn.XLOOKUP(B3,Table4[PO],Table4[ملخص خطة المعالجة],0)</f>
        <v xml:space="preserve">1. معاملة فتح نطاق جديد </v>
      </c>
      <c r="R3" s="1017" t="str">
        <f>_xlfn.XLOOKUP(B3,Table4[PO],Table4[الإجراء الفني الحالي],0)</f>
        <v xml:space="preserve">1. تم تقديم المخططات التنفيذية  للنطاق البديل بحي المروج  للاستشاري من قبل المقاول  بعد تلافي الملاحظات  بتاريخ 13/10/2026 
2. تم طلب تشغيل تجريبي لمنطقة 2 بحي الحوراء بتاريخ 07/10/2026  للبدء في تشكيل اللجنة ومن ثم الاستلام الابتدائي الجزئي لتلك المنطقة   </v>
      </c>
      <c r="S3" s="1017" t="str">
        <f>_xlfn.XLOOKUP(B3,Table4[PO],Table4[الإجراءات الإدارية للمشاريع],0)</f>
        <v xml:space="preserve">1. معاملة تمديد العقد بمدة (25) يوم نتيجة تأخر صرف المستخلصات
2. معاملة فتح نطاق جديد </v>
      </c>
      <c r="T3" s="500" t="str">
        <f>_xlfn.XLOOKUP(B3,Table4[PO],Table4[اخر تحديث الإجراء الإداري الحالي للمشروع],0)</f>
        <v>1. تم اعادة رفع معاملة التمديد من ادارة الانشاءات بتاريخ 08/09/2026م
2. تم إحالة معامله التمديد من ادارة المشتريات الي الادارة القانونية بتاريخ 14/10/2026م
3. تم التواصل مع ادارة الانشاءات بتاريخ 14/10/2026م للتعجيل باعداد معامله فتح النطاق لتكون جاهزه بمجرد اعتماد طلب التمديد
4. تم اعتماد الخطة التصحيحية المرسل من جانب المقاول بتاريخ 13/10/2026 م و اخفق المقاول في تحقيق النسب المخططة  54.56%
5. تم اعتماد معامله التمديد علي النظام بتاريخ 15/10/2026 و تم احالة الطلب الي ادارة المشتريات بالقطاع لاضدار امر الشراء
6. تم إرسال بريد الكتروني من الجدولة و التحكم  إلي ادارة المشتريات لسرعة اصدار P.O</v>
      </c>
      <c r="U3" s="497" t="s">
        <v>900</v>
      </c>
      <c r="V3" s="578" t="s">
        <v>602</v>
      </c>
    </row>
    <row r="4" spans="1:22" ht="79.2">
      <c r="A4" s="478">
        <f>SUBTOTAL(3,$D$2:D4)</f>
        <v>3</v>
      </c>
      <c r="B4" s="520">
        <v>901240102</v>
      </c>
      <c r="C4" s="520" t="str">
        <f>_xlfn.XLOOKUP(B4,Table4[PO],Table4[اسم المشروع],0)</f>
        <v xml:space="preserve">توريد وتركيب وحدات معالجة الحمأة ميكانيكيا بالمدينة المنورة </v>
      </c>
      <c r="D4" s="478" t="str">
        <f>_xlfn.XLOOKUP(B4,Table4[PO],Table4[[المقاول ]],0)</f>
        <v>شركة البنايات العربية</v>
      </c>
      <c r="E4" s="501">
        <f>_xlfn.XLOOKUP(B4,Table4[PO],Table4[بداية المشروع التعاقدية],0)</f>
        <v>45481</v>
      </c>
      <c r="F4" s="501">
        <f>_xlfn.XLOOKUP(B4,Table4[PO],Table4[نهاية المشروع المعدلة PMO LIVE],0)</f>
        <v>46269</v>
      </c>
      <c r="G4" s="975">
        <f>_xlfn.XLOOKUP(B4,Table4[PO],Table4[نسبة الإيقاف%],0)</f>
        <v>0</v>
      </c>
      <c r="H4" s="502">
        <f>_xlfn.XLOOKUP(B4,Table4[PO],Table4[المنفذ % الفعلي حتي الإسبوع السابق],0)</f>
        <v>0.82</v>
      </c>
      <c r="I4" s="502">
        <f>_xlfn.XLOOKUP(B4,Table4[PO],Table4[المخطط % التراكمي],0)</f>
        <v>1</v>
      </c>
      <c r="J4" s="502">
        <f>_xlfn.XLOOKUP(B4,Table4[PO],Table4[المنفذ % التراكمي],0)</f>
        <v>0.82</v>
      </c>
      <c r="K4" s="606">
        <f t="shared" si="0"/>
        <v>-0.18000000000000005</v>
      </c>
      <c r="L4" s="603">
        <f>_xlfn.XLOOKUP(B4,Table4[PO],Table4[نسبة المخطط التراكمي حتى 31 اكتوبر 2026],0)</f>
        <v>1</v>
      </c>
      <c r="M4" s="607">
        <f>_xlfn.XLOOKUP(B4,Table4[PO],Table4[النسبة المطلوب زيادتها في اكتوبر 2026 للإنتظام],0)</f>
        <v>8.1000000000000072E-2</v>
      </c>
      <c r="N4" s="503">
        <f>_xlfn.XLOOKUP(B4,Table4[PO],Table4[قيمة المشروع بالضريبة],0)</f>
        <v>18.565680499999999</v>
      </c>
      <c r="O4" s="536">
        <f t="shared" ref="O4" si="1">F4+60</f>
        <v>46329</v>
      </c>
      <c r="P4" s="536" t="s">
        <v>339</v>
      </c>
      <c r="Q4" s="671" t="str">
        <f>_xlfn.XLOOKUP(B4,Table4[PO],Table4[ملخص خطة المعالجة],0)</f>
        <v>1. الإستلام الإبتدائي للمشروع</v>
      </c>
      <c r="R4" s="1016" t="str">
        <f>_xlfn.XLOOKUP(B4,Table4[PO],Table4[الإجراء الفني الحالي],0)</f>
        <v>1. تم الانتهاء من الاختبارات التشغيليه بالكامل و اختبار نظام الكبس و التحبيب و التعبئه في اكياس بتاريخ 13/10/2026</v>
      </c>
      <c r="S4" s="1016" t="str">
        <f>_xlfn.XLOOKUP(B4,Table4[PO],Table4[الإجراءات الإدارية للمشاريع],0)</f>
        <v>1. الاستلام الابتدائي للمشروع</v>
      </c>
      <c r="T4" s="504" t="str">
        <f>_xlfn.XLOOKUP(B4,Table4[PO],Table4[اخر تحديث الإجراء الإداري الحالي للمشروع],0)</f>
        <v>1.مخطط إصدار طلب خطاب الإستلام الإبتدائي من المقاول قبل 22/10/2026 م</v>
      </c>
      <c r="U4" s="478" t="s">
        <v>649</v>
      </c>
      <c r="V4" s="579" t="str">
        <f>_xlfn.XLOOKUP(B4,Table4[PO],Table4[التاريخ المتوقع للتعثر- متوسط نسب انجاز],0)</f>
        <v>غير متوقع تعثره</v>
      </c>
    </row>
    <row r="5" spans="1:22" ht="118.8">
      <c r="A5" s="479">
        <f>SUBTOTAL(3,$D$2:D5)</f>
        <v>4</v>
      </c>
      <c r="B5" s="530">
        <v>901230176</v>
      </c>
      <c r="C5" s="530" t="str">
        <f>_xlfn.XLOOKUP(B5,Table4[PO],Table4[اسم المشروع],0)</f>
        <v xml:space="preserve">تنفيذ شبكات الصرف الصحي بمخططات الرانوناء واحياء جنوب المدينة (المرحلة الأولى) </v>
      </c>
      <c r="D5" s="479" t="str">
        <f>_xlfn.XLOOKUP(B5,Table4[PO],Table4[[المقاول ]],0)</f>
        <v>الشركة الوطنية لأعمال المياه</v>
      </c>
      <c r="E5" s="497">
        <f>_xlfn.XLOOKUP(B5,Table4[PO],Table4[بداية المشروع التعاقدية],0)</f>
        <v>45249</v>
      </c>
      <c r="F5" s="497">
        <f>_xlfn.XLOOKUP(B5,Table4[PO],Table4[نهاية المشروع المعدلة PMO LIVE],0)</f>
        <v>46379</v>
      </c>
      <c r="G5" s="976">
        <f>_xlfn.XLOOKUP(B5,Table4[PO],Table4[نسبة الإيقاف%],0)</f>
        <v>1.1599999999999999E-2</v>
      </c>
      <c r="H5" s="498">
        <f>_xlfn.XLOOKUP(B5,Table4[PO],Table4[المنفذ % الفعلي حتي الإسبوع السابق],0)</f>
        <v>0.55920000000000003</v>
      </c>
      <c r="I5" s="498">
        <f>_xlfn.XLOOKUP(B5,Table4[PO],Table4[المخطط % التراكمي],0)</f>
        <v>0.74339999999999995</v>
      </c>
      <c r="J5" s="498">
        <f>_xlfn.XLOOKUP(B5,Table4[PO],Table4[المنفذ % التراكمي],0)</f>
        <v>0.55979999999999996</v>
      </c>
      <c r="K5" s="580">
        <f t="shared" ref="K5:K6" si="2">J5-I5</f>
        <v>-0.18359999999999999</v>
      </c>
      <c r="L5" s="604">
        <f>_xlfn.XLOOKUP(B5,Table4[PO],Table4[نسبة المخطط التراكمي حتى 31 اكتوبر 2026],0)</f>
        <v>0.80262937197552331</v>
      </c>
      <c r="M5" s="608">
        <f>_xlfn.XLOOKUP(B5,Table4[PO],Table4[النسبة المطلوب زيادتها في اكتوبر 2026 للإنتظام],0)</f>
        <v>0.14382937197552337</v>
      </c>
      <c r="N5" s="499">
        <f>_xlfn.XLOOKUP(B5,Table4[PO],Table4[قيمة المشروع بالضريبة],0)</f>
        <v>37.84142842</v>
      </c>
      <c r="O5" s="519" t="s">
        <v>600</v>
      </c>
      <c r="P5" s="519" t="s">
        <v>339</v>
      </c>
      <c r="Q5" s="672" t="str">
        <f>_xlfn.XLOOKUP(B5,Table4[PO],Table4[ملخص خطة المعالجة],0)</f>
        <v>1. معاملة استحداث بند لاعمال الاسفلت
2. زيادة معدلات الإنجاز</v>
      </c>
      <c r="R5" s="1017" t="str">
        <f>_xlfn.XLOOKUP(B5,Table4[PO],Table4[الإجراء الفني الحالي],0)</f>
        <v xml:space="preserve">1.تم الاجتماع مع المقاول و الاستشاري  بالموقع بتاريخ  الخميس 08/10/2026 و الاتفاق علي خطه لانجاز الاعمال المتبقيه  بالمشروع بطول 9,400 متر بتاريخ 23/12/2026علي ان يتم المتابعه  تنفيذ الخطه بصوره يوميه 
2.تم التوجيه بضروره  حضور مدير مشاريع المقاول للاجتماع الاسبوعي  للتأكد من توفير الدعم الكافي للمشروع  بتاريخ12/10/2026 </v>
      </c>
      <c r="S5" s="1017" t="str">
        <f>_xlfn.XLOOKUP(B5,Table4[PO],Table4[الإجراءات الإدارية للمشاريع],0)</f>
        <v>1. معاملة استحداث بند لاعمال الاسفلت
2. معاملة تمديد لتأخر صرف المستخلصات بمدة 24 يوم
3. معاملة استئناف الأعمال</v>
      </c>
      <c r="T5" s="500" t="str">
        <f>_xlfn.XLOOKUP(B5,Table4[PO],Table4[اخر تحديث الإجراء الإداري الحالي للمشروع],0)</f>
        <v>1. تم توجيه الإستشاري فيوتشر بالبريد الإلكتروني بتاريخ 15/10/2026 لإعداد معاملة تمديد لتأخر صرف المستخلصات بمدة 24 يوم
2. مخطط إرسال معاملة تمديد تأخر صرف المستخلصات بمدة 24 يوم إلي الجدولة و التحكم بتاريخ 18/10/2026 م</v>
      </c>
      <c r="U5" s="497" t="s">
        <v>649</v>
      </c>
      <c r="V5" s="578" t="s">
        <v>602</v>
      </c>
    </row>
    <row r="6" spans="1:22" ht="138.6">
      <c r="A6" s="478">
        <f>SUBTOTAL(3,$D$2:D6)</f>
        <v>5</v>
      </c>
      <c r="B6" s="520">
        <v>901250499</v>
      </c>
      <c r="C6" s="520" t="str">
        <f>_xlfn.XLOOKUP(B6,Table4[PO],Table4[اسم المشروع],0)</f>
        <v>عبارة تصريف مياه الفائض لمحطة معالجة الصرف الصحي بالمدينة المنورة</v>
      </c>
      <c r="D6" s="478" t="str">
        <f>_xlfn.XLOOKUP(B6,Table4[PO],Table4[[المقاول ]],0)</f>
        <v>شركة مسعود بالعيد حيدر ال حيدر وشركاه للتجاره والمقاولات العامه</v>
      </c>
      <c r="E6" s="501">
        <f>_xlfn.XLOOKUP(B6,Table4[PO],Table4[بداية المشروع التعاقدية],0)</f>
        <v>46035</v>
      </c>
      <c r="F6" s="501">
        <f>_xlfn.XLOOKUP(B6,Table4[PO],Table4[نهاية المشروع المعدلة PMO LIVE],0)</f>
        <v>46569</v>
      </c>
      <c r="G6" s="975">
        <f>_xlfn.XLOOKUP(B6,Table4[PO],Table4[نسبة الإيقاف%],0)</f>
        <v>0</v>
      </c>
      <c r="H6" s="502">
        <f>_xlfn.XLOOKUP(B6,Table4[PO],Table4[المنفذ % الفعلي حتي الإسبوع السابق],0)</f>
        <v>0</v>
      </c>
      <c r="I6" s="502">
        <f>_xlfn.XLOOKUP(B6,Table4[PO],Table4[المخطط % التراكمي],0)</f>
        <v>0.14660000000000001</v>
      </c>
      <c r="J6" s="502">
        <f>_xlfn.XLOOKUP(B6,Table4[PO],Table4[المنفذ % التراكمي],0)</f>
        <v>0</v>
      </c>
      <c r="K6" s="606">
        <f t="shared" si="2"/>
        <v>-0.14660000000000001</v>
      </c>
      <c r="L6" s="603">
        <f>_xlfn.XLOOKUP(B6,Table4[PO],Table4[نسبة المخطط التراكمي حتى 31 اكتوبر 2026],0)</f>
        <v>0.16283936723324852</v>
      </c>
      <c r="M6" s="607">
        <f>_xlfn.XLOOKUP(B6,Table4[PO],Table4[النسبة المطلوب زيادتها في اكتوبر 2026 للإنتظام],0)</f>
        <v>6.3839367233248512E-2</v>
      </c>
      <c r="N6" s="503">
        <f>_xlfn.XLOOKUP(B6,Table4[PO],Table4[قيمة المشروع بالضريبة],0)</f>
        <v>14.397855099999999</v>
      </c>
      <c r="O6" s="536">
        <f t="shared" ref="O6" si="3">F6+60</f>
        <v>46629</v>
      </c>
      <c r="P6" s="536" t="s">
        <v>339</v>
      </c>
      <c r="Q6" s="671" t="str">
        <f>_xlfn.XLOOKUP(B6,Table4[PO],Table4[ملخص خطة المعالجة],0)</f>
        <v>1. معاملة التمديد الزمني نتيجة الإستئناف بعد الإيقاف الكلي بمدة 255 يوم</v>
      </c>
      <c r="R6" s="1016" t="str">
        <f>_xlfn.XLOOKUP(B6,Table4[PO],Table4[الإجراء الفني الحالي],0)</f>
        <v xml:space="preserve">1.تم الاجتماع مع  اداره المحطه م عدنان الجابري بتاريخ 11/10/2026  و تنسيق   مكان نقطه الربط    داخل المحطه 
2.تم استأجر قطعه ارض من المقاول  و جاري تجهيز المكاتب  و منطقه التشوين و المعدات لبدء العمل   .
3.تم رفع تصريح بتاريخ 12/10/2026  تحت الاجراء حاليا  </v>
      </c>
      <c r="S6" s="1016" t="str">
        <f>_xlfn.XLOOKUP(B6,Table4[PO],Table4[الإجراءات الإدارية للمشاريع],0)</f>
        <v>1. معاملة التمديد الزمني نتيجة الإستئناف بعد الإيقاف الكلي بمدة 255 يوم</v>
      </c>
      <c r="T6" s="504" t="str">
        <f>_xlfn.XLOOKUP(B6,Table4[PO],Table4[اخر تحديث الإجراء الإداري الحالي للمشروع],0)</f>
        <v xml:space="preserve">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v>
      </c>
      <c r="U6" s="478" t="s">
        <v>644</v>
      </c>
      <c r="V6" s="579">
        <f>_xlfn.XLOOKUP(B6,Table4[PO],Table4[التاريخ المتوقع للتعثر- متوسط نسب انجاز],0)</f>
        <v>46402</v>
      </c>
    </row>
    <row r="7" spans="1:22" ht="158.4">
      <c r="A7" s="479">
        <f>SUBTOTAL(3,$D$2:D7)</f>
        <v>6</v>
      </c>
      <c r="B7" s="530">
        <v>901240091</v>
      </c>
      <c r="C7" s="530" t="str">
        <f>_xlfn.XLOOKUP(B7,Table4[PO],Table4[اسم المشروع],0)</f>
        <v xml:space="preserve">تنفيذ شبكات الصرف الصحي بمحافظة ينبع </v>
      </c>
      <c r="D7" s="479" t="str">
        <f>_xlfn.XLOOKUP(B7,Table4[PO],Table4[[المقاول ]],0)</f>
        <v>مؤسسة منصور  الغامدي للمقاولات العامة</v>
      </c>
      <c r="E7" s="497">
        <f>_xlfn.XLOOKUP(B7,Table4[PO],Table4[بداية المشروع التعاقدية],0)</f>
        <v>45490</v>
      </c>
      <c r="F7" s="497">
        <f>_xlfn.XLOOKUP(B7,Table4[PO],Table4[نهاية المشروع المعدلة PMO LIVE],0)</f>
        <v>46411</v>
      </c>
      <c r="G7" s="976">
        <f>_xlfn.XLOOKUP(B7,Table4[PO],Table4[نسبة الإيقاف%],0)</f>
        <v>0.10299999999999999</v>
      </c>
      <c r="H7" s="498">
        <f>_xlfn.XLOOKUP(B7,Table4[PO],Table4[المنفذ % الفعلي حتي الإسبوع السابق],0)</f>
        <v>0.47570000000000001</v>
      </c>
      <c r="I7" s="498">
        <f>_xlfn.XLOOKUP(B7,Table4[PO],Table4[المخطط % التراكمي],0)</f>
        <v>0.60029999999999994</v>
      </c>
      <c r="J7" s="498">
        <f>_xlfn.XLOOKUP(B7,Table4[PO],Table4[المنفذ % التراكمي],0)</f>
        <v>0.47570000000000001</v>
      </c>
      <c r="K7" s="580">
        <f t="shared" ref="K7" si="4">J7-I7</f>
        <v>-0.12459999999999993</v>
      </c>
      <c r="L7" s="604">
        <f>_xlfn.XLOOKUP(B7,Table4[PO],Table4[نسبة المخطط التراكمي حتى 31 اكتوبر 2026],0)</f>
        <v>0.635619514756668</v>
      </c>
      <c r="M7" s="608">
        <f>_xlfn.XLOOKUP(B7,Table4[PO],Table4[النسبة المطلوب زيادتها في اكتوبر 2026 للإنتظام],0)</f>
        <v>6.0919514756668014E-2</v>
      </c>
      <c r="N7" s="499">
        <f>_xlfn.XLOOKUP(B7,Table4[PO],Table4[قيمة المشروع بالضريبة],0)</f>
        <v>22.6795203</v>
      </c>
      <c r="O7" s="519" t="s">
        <v>600</v>
      </c>
      <c r="P7" s="519" t="s">
        <v>339</v>
      </c>
      <c r="Q7" s="672" t="str">
        <f>_xlfn.XLOOKUP(B7,Table4[PO],Table4[ملخص خطة المعالجة],0)</f>
        <v>1. زيادة معدلات الانجاز</v>
      </c>
      <c r="R7" s="1017" t="str">
        <f>_xlfn.XLOOKUP(B7,Table4[PO],Table4[الإجراء الفني الحالي],0)</f>
        <v xml:space="preserve">1. تم الاجتماع مع المقاول بتاريخ 12/10/2026 للالتزام بالخطة التصحييحة والنسب المستهدفة في شهر أكتوبر ونوفمبر وكذلك التوصيات بزيادة عدد الفرق في منطقة 1   
2. تم توجيه المقاول لرفع تصاريح لمنطقة رقم 6 ، 8  وتم ادراجها في المتابعة اليومية والمستهدف فيها في شهري أكتوبر ونوفمبر 2026 للانتهاء من الاعمال المتبقية بالمنطقتين   
3. تم رفع تصريح بطول 400 متر في منطقة رقم 1 وتم اصداره وتم بدء الاعمال به اليوم بتاريخ 13/10/2026 </v>
      </c>
      <c r="S7" s="1017" t="str">
        <f>_xlfn.XLOOKUP(B7,Table4[PO],Table4[الإجراءات الإدارية للمشاريع],0)</f>
        <v xml:space="preserve">1. معاملة تمديد زمني (17) يوم نتيجة تأخر صرف المستخلصات
2.جدول الكميات المعدل رقم (1)
</v>
      </c>
      <c r="T7" s="500" t="str">
        <f>_xlfn.XLOOKUP(B7,Table4[PO],Table4[اخر تحديث الإجراء الإداري الحالي للمشروع],0)</f>
        <v>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v>
      </c>
      <c r="U7" s="497" t="s">
        <v>644</v>
      </c>
      <c r="V7" s="578" t="s">
        <v>602</v>
      </c>
    </row>
    <row r="8" spans="1:22" s="117" customFormat="1" ht="30" customHeight="1">
      <c r="A8" s="1216" t="s">
        <v>551</v>
      </c>
      <c r="B8" s="1217"/>
      <c r="C8" s="1217"/>
      <c r="D8" s="1217"/>
      <c r="E8" s="1217"/>
      <c r="F8" s="1217"/>
      <c r="G8" s="1217"/>
      <c r="H8" s="1217"/>
      <c r="I8" s="1217"/>
      <c r="J8" s="1217"/>
      <c r="K8" s="922"/>
      <c r="L8" s="922"/>
      <c r="M8" s="922"/>
      <c r="N8" s="923">
        <f>SUM(N2:N7)</f>
        <v>167.88110404</v>
      </c>
      <c r="O8" s="924"/>
      <c r="P8" s="924"/>
      <c r="Q8" s="925"/>
      <c r="R8" s="926"/>
      <c r="S8" s="921"/>
      <c r="T8" s="921"/>
      <c r="U8" s="927"/>
      <c r="V8" s="928"/>
    </row>
  </sheetData>
  <autoFilter ref="A1:V8" xr:uid="{525AC0B5-3B76-4166-89CF-0D1A36E6310A}"/>
  <mergeCells count="1">
    <mergeCell ref="A8:J8"/>
  </mergeCells>
  <printOptions horizontalCentered="1"/>
  <pageMargins left="0.2" right="0.27" top="0.75" bottom="0.48" header="0.3" footer="0.3"/>
  <pageSetup paperSize="8" scale="65" orientation="landscape" r:id="rId1"/>
  <headerFooter>
    <oddHeader>&amp;C&amp;"-,Bold"&amp;20موقف المشاريع المتأخرة حتي 31 يوليو 2026</oddHeader>
    <oddFooter>&amp;C&amp;P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E6CB-B1D4-4296-B603-D5B371CA6256}">
  <sheetPr>
    <tabColor rgb="FF00B0F0"/>
  </sheetPr>
  <dimension ref="A1:BV18"/>
  <sheetViews>
    <sheetView rightToLeft="1" view="pageBreakPreview" zoomScale="70" zoomScaleNormal="85" zoomScaleSheetLayoutView="70" workbookViewId="0">
      <pane xSplit="3" ySplit="2" topLeftCell="K3" activePane="bottomRight" state="frozen"/>
      <selection activeCell="U2" sqref="U2:U5"/>
      <selection pane="topRight" activeCell="U2" sqref="U2:U5"/>
      <selection pane="bottomLeft" activeCell="U2" sqref="U2:U5"/>
      <selection pane="bottomRight" activeCell="U2" sqref="U2:U5"/>
    </sheetView>
  </sheetViews>
  <sheetFormatPr defaultColWidth="9.109375" defaultRowHeight="14.4"/>
  <cols>
    <col min="1" max="1" width="4" style="1" customWidth="1"/>
    <col min="2" max="2" width="12" style="1" customWidth="1"/>
    <col min="3" max="3" width="22.5546875" style="118" customWidth="1"/>
    <col min="4" max="4" width="8.5546875" style="118" customWidth="1"/>
    <col min="5" max="5" width="7.6640625" style="118" customWidth="1"/>
    <col min="6" max="6" width="8.33203125" style="118" customWidth="1"/>
    <col min="7" max="7" width="8.5546875" style="118" customWidth="1"/>
    <col min="8" max="8" width="12" style="118" customWidth="1"/>
    <col min="9" max="11" width="11.5546875" style="118" customWidth="1"/>
    <col min="12" max="12" width="11.5546875" style="112" customWidth="1"/>
    <col min="13" max="13" width="11.5546875" style="118" customWidth="1"/>
    <col min="14" max="14" width="11.5546875" style="112" customWidth="1"/>
    <col min="15" max="15" width="11.5546875" style="118" customWidth="1"/>
    <col min="16" max="16" width="11.5546875" style="112" customWidth="1"/>
    <col min="17" max="17" width="10.33203125" style="112" customWidth="1"/>
    <col min="18" max="19" width="11.5546875" style="112" customWidth="1"/>
    <col min="20" max="20" width="32.5546875" style="112" customWidth="1"/>
    <col min="21" max="21" width="31.6640625" style="112" customWidth="1"/>
    <col min="22" max="22" width="10.6640625" style="1" customWidth="1"/>
    <col min="23" max="23" width="33.109375" style="112" hidden="1" customWidth="1"/>
    <col min="24" max="24" width="110.44140625" style="112" hidden="1" customWidth="1"/>
    <col min="25" max="16384" width="9.109375" style="112"/>
  </cols>
  <sheetData>
    <row r="1" spans="1:74" ht="45.6" customHeight="1" thickTop="1">
      <c r="A1" s="1227" t="s">
        <v>9</v>
      </c>
      <c r="B1" s="1229" t="s">
        <v>340</v>
      </c>
      <c r="C1" s="1231" t="s">
        <v>326</v>
      </c>
      <c r="D1" s="1221" t="s">
        <v>22</v>
      </c>
      <c r="E1" s="1221" t="s">
        <v>327</v>
      </c>
      <c r="F1" s="1221" t="s">
        <v>328</v>
      </c>
      <c r="G1" s="1221" t="s">
        <v>329</v>
      </c>
      <c r="H1" s="1220" t="s">
        <v>531</v>
      </c>
      <c r="I1" s="1220" t="s">
        <v>532</v>
      </c>
      <c r="J1" s="1220"/>
      <c r="K1" s="1220" t="s">
        <v>533</v>
      </c>
      <c r="L1" s="1220"/>
      <c r="M1" s="1220" t="s">
        <v>534</v>
      </c>
      <c r="N1" s="1220"/>
      <c r="O1" s="1220" t="s">
        <v>535</v>
      </c>
      <c r="P1" s="1220"/>
      <c r="Q1" s="1225" t="s">
        <v>347</v>
      </c>
      <c r="R1" s="1221" t="s">
        <v>348</v>
      </c>
      <c r="S1" s="1221" t="s">
        <v>565</v>
      </c>
      <c r="T1" s="1221" t="s">
        <v>529</v>
      </c>
      <c r="U1" s="1221" t="s">
        <v>539</v>
      </c>
      <c r="V1" s="1223" t="s">
        <v>536</v>
      </c>
      <c r="W1" s="1218" t="s">
        <v>461</v>
      </c>
      <c r="X1" s="1218" t="s">
        <v>454</v>
      </c>
    </row>
    <row r="2" spans="1:74" s="116" customFormat="1" ht="39.6" customHeight="1" thickBot="1">
      <c r="A2" s="1228"/>
      <c r="B2" s="1230"/>
      <c r="C2" s="1232"/>
      <c r="D2" s="1222"/>
      <c r="E2" s="1222"/>
      <c r="F2" s="1222"/>
      <c r="G2" s="1222"/>
      <c r="H2" s="1233"/>
      <c r="I2" s="113" t="s">
        <v>330</v>
      </c>
      <c r="J2" s="114" t="s">
        <v>331</v>
      </c>
      <c r="K2" s="113" t="s">
        <v>332</v>
      </c>
      <c r="L2" s="114" t="s">
        <v>333</v>
      </c>
      <c r="M2" s="113" t="s">
        <v>334</v>
      </c>
      <c r="N2" s="114" t="s">
        <v>335</v>
      </c>
      <c r="O2" s="113" t="s">
        <v>431</v>
      </c>
      <c r="P2" s="114" t="s">
        <v>432</v>
      </c>
      <c r="Q2" s="1226"/>
      <c r="R2" s="1222"/>
      <c r="S2" s="1222"/>
      <c r="T2" s="1222"/>
      <c r="U2" s="1222"/>
      <c r="V2" s="1224"/>
      <c r="W2" s="1219"/>
      <c r="X2" s="1219"/>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c r="BU2" s="115"/>
      <c r="BV2" s="115"/>
    </row>
    <row r="3" spans="1:74" s="117" customFormat="1" ht="75" customHeight="1" thickTop="1">
      <c r="A3" s="217">
        <v>1</v>
      </c>
      <c r="B3" s="218">
        <v>901240075</v>
      </c>
      <c r="C3" s="480" t="s">
        <v>54</v>
      </c>
      <c r="D3" s="132" t="s">
        <v>177</v>
      </c>
      <c r="E3" s="132" t="s">
        <v>336</v>
      </c>
      <c r="F3" s="132" t="s">
        <v>337</v>
      </c>
      <c r="G3" s="132" t="s">
        <v>339</v>
      </c>
      <c r="H3" s="294">
        <v>0.13200000000000001</v>
      </c>
      <c r="I3" s="219">
        <v>0.55559999999999998</v>
      </c>
      <c r="J3" s="219">
        <v>0.13200000000000001</v>
      </c>
      <c r="K3" s="219">
        <v>0.56599999999999995</v>
      </c>
      <c r="L3" s="219">
        <v>0.13200000000000001</v>
      </c>
      <c r="M3" s="219">
        <v>0.99880000000000002</v>
      </c>
      <c r="N3" s="219">
        <v>0.13200000000000001</v>
      </c>
      <c r="O3" s="219">
        <v>1</v>
      </c>
      <c r="P3" s="219">
        <f>_xlfn.XLOOKUP(B3,Table1[PO],Table1[المنفذ % التراكمي],0)</f>
        <v>0.13200000000000001</v>
      </c>
      <c r="Q3" s="220">
        <f>P3-O3</f>
        <v>-0.86799999999999999</v>
      </c>
      <c r="R3" s="220">
        <f>P3-N3</f>
        <v>0</v>
      </c>
      <c r="S3" s="220">
        <f>((J3-H3)+(L3-J3)+(N3-L3)+(P3-N3))/4</f>
        <v>0</v>
      </c>
      <c r="T3" s="169" t="s">
        <v>569</v>
      </c>
      <c r="U3" s="428" t="s">
        <v>568</v>
      </c>
      <c r="V3" s="343" t="s">
        <v>537</v>
      </c>
      <c r="W3" s="344" t="s">
        <v>514</v>
      </c>
      <c r="X3" s="339" t="s">
        <v>462</v>
      </c>
    </row>
    <row r="4" spans="1:74" s="117" customFormat="1" ht="108.6" customHeight="1">
      <c r="A4" s="469">
        <v>2</v>
      </c>
      <c r="B4" s="470">
        <v>901240141</v>
      </c>
      <c r="C4" s="481" t="s">
        <v>67</v>
      </c>
      <c r="D4" s="471" t="s">
        <v>17</v>
      </c>
      <c r="E4" s="471" t="s">
        <v>336</v>
      </c>
      <c r="F4" s="471" t="s">
        <v>337</v>
      </c>
      <c r="G4" s="471" t="s">
        <v>339</v>
      </c>
      <c r="H4" s="472">
        <v>0.51</v>
      </c>
      <c r="I4" s="473">
        <v>0.98850000000000005</v>
      </c>
      <c r="J4" s="473">
        <v>0.51500000000000001</v>
      </c>
      <c r="K4" s="473">
        <v>1</v>
      </c>
      <c r="L4" s="473">
        <v>0.59660000000000002</v>
      </c>
      <c r="M4" s="473">
        <v>1</v>
      </c>
      <c r="N4" s="473">
        <v>0.59660000000000002</v>
      </c>
      <c r="O4" s="473">
        <v>1</v>
      </c>
      <c r="P4" s="473">
        <f>_xlfn.XLOOKUP(B4,Table1[PO],Table1[المنفذ % التراكمي],0)</f>
        <v>0.75</v>
      </c>
      <c r="Q4" s="474">
        <f t="shared" ref="Q4:Q5" si="0">P4-O4</f>
        <v>-0.25</v>
      </c>
      <c r="R4" s="474">
        <f t="shared" ref="R4:R5" si="1">P4-N4</f>
        <v>0.15339999999999998</v>
      </c>
      <c r="S4" s="220">
        <f t="shared" ref="S4:S5" si="2">((J4-H4)+(L4-J4)+(N4-L4)+(P4-N4))/4</f>
        <v>0.06</v>
      </c>
      <c r="T4" s="199" t="s">
        <v>545</v>
      </c>
      <c r="U4" s="475" t="s">
        <v>567</v>
      </c>
      <c r="V4" s="476" t="s">
        <v>537</v>
      </c>
      <c r="W4" s="344" t="s">
        <v>514</v>
      </c>
      <c r="X4" s="339" t="s">
        <v>462</v>
      </c>
    </row>
    <row r="5" spans="1:74" s="117" customFormat="1" ht="99" customHeight="1" thickBot="1">
      <c r="A5" s="460">
        <v>3</v>
      </c>
      <c r="B5" s="461">
        <v>901240386</v>
      </c>
      <c r="C5" s="482" t="s">
        <v>88</v>
      </c>
      <c r="D5" s="462" t="s">
        <v>29</v>
      </c>
      <c r="E5" s="462" t="s">
        <v>336</v>
      </c>
      <c r="F5" s="462" t="s">
        <v>337</v>
      </c>
      <c r="G5" s="462" t="s">
        <v>339</v>
      </c>
      <c r="H5" s="463">
        <v>0.1774</v>
      </c>
      <c r="I5" s="464">
        <v>1</v>
      </c>
      <c r="J5" s="464">
        <v>0.1774</v>
      </c>
      <c r="K5" s="464">
        <v>1</v>
      </c>
      <c r="L5" s="464">
        <v>0.1774</v>
      </c>
      <c r="M5" s="464">
        <v>1</v>
      </c>
      <c r="N5" s="464">
        <v>0.1774</v>
      </c>
      <c r="O5" s="464">
        <v>1</v>
      </c>
      <c r="P5" s="464">
        <f>_xlfn.XLOOKUP(B5,Table1[PO],Table1[المنفذ % التراكمي],0)</f>
        <v>0</v>
      </c>
      <c r="Q5" s="465">
        <f t="shared" si="0"/>
        <v>-1</v>
      </c>
      <c r="R5" s="465">
        <f t="shared" si="1"/>
        <v>-0.1774</v>
      </c>
      <c r="S5" s="465">
        <f t="shared" si="2"/>
        <v>-4.4350000000000001E-2</v>
      </c>
      <c r="T5" s="466" t="s">
        <v>560</v>
      </c>
      <c r="U5" s="467" t="s">
        <v>557</v>
      </c>
      <c r="V5" s="468" t="s">
        <v>544</v>
      </c>
      <c r="W5" s="345" t="s">
        <v>513</v>
      </c>
      <c r="X5" s="340" t="s">
        <v>463</v>
      </c>
    </row>
    <row r="6" spans="1:74" s="117" customFormat="1" ht="66.599999999999994" customHeight="1" thickTop="1">
      <c r="A6" s="303"/>
      <c r="B6" s="303"/>
      <c r="C6" s="420"/>
      <c r="D6" s="420"/>
      <c r="E6" s="420"/>
      <c r="F6" s="420"/>
      <c r="G6" s="420"/>
      <c r="H6" s="421"/>
      <c r="I6" s="422"/>
      <c r="J6" s="422"/>
      <c r="K6" s="422"/>
      <c r="L6" s="422"/>
      <c r="M6" s="422"/>
      <c r="N6" s="422"/>
      <c r="O6" s="422"/>
      <c r="P6" s="422"/>
      <c r="Q6" s="423"/>
      <c r="R6" s="423"/>
      <c r="S6" s="423"/>
      <c r="T6" s="420"/>
      <c r="U6" s="427"/>
      <c r="V6" s="424"/>
      <c r="W6" s="425"/>
      <c r="X6" s="426"/>
    </row>
    <row r="7" spans="1:74" ht="33" customHeight="1"/>
    <row r="12" spans="1:74" s="118" customFormat="1" ht="15">
      <c r="A12" s="1"/>
      <c r="B12" s="1"/>
      <c r="F12" s="119"/>
      <c r="L12" s="112"/>
      <c r="N12" s="112"/>
      <c r="P12" s="112"/>
      <c r="Q12" s="112"/>
      <c r="R12" s="112"/>
      <c r="S12" s="112"/>
      <c r="T12" s="112"/>
      <c r="U12" s="112"/>
      <c r="V12" s="1"/>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row>
    <row r="13" spans="1:74" s="118" customFormat="1">
      <c r="A13" s="1"/>
      <c r="B13" s="1"/>
      <c r="C13" s="112"/>
      <c r="D13" s="112"/>
      <c r="E13" s="112"/>
      <c r="L13" s="112"/>
      <c r="N13" s="112"/>
      <c r="P13" s="112"/>
      <c r="Q13" s="112"/>
      <c r="R13" s="112"/>
      <c r="S13" s="112"/>
      <c r="T13" s="112"/>
      <c r="U13" s="112"/>
      <c r="V13" s="1"/>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row>
    <row r="14" spans="1:74" s="118" customFormat="1">
      <c r="A14" s="1"/>
      <c r="B14" s="1"/>
      <c r="C14" s="112"/>
      <c r="D14" s="112"/>
      <c r="E14" s="112"/>
      <c r="L14" s="112"/>
      <c r="N14" s="112"/>
      <c r="P14" s="112"/>
      <c r="Q14" s="112"/>
      <c r="R14" s="112"/>
      <c r="S14" s="112"/>
      <c r="T14" s="112"/>
      <c r="U14" s="112"/>
      <c r="V14" s="1"/>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row>
    <row r="15" spans="1:74" s="118" customFormat="1">
      <c r="A15" s="1"/>
      <c r="B15" s="1"/>
      <c r="C15" s="112"/>
      <c r="D15" s="112"/>
      <c r="E15" s="112"/>
      <c r="L15" s="112"/>
      <c r="N15" s="112"/>
      <c r="P15" s="112"/>
      <c r="Q15" s="112"/>
      <c r="R15" s="112"/>
      <c r="S15" s="112"/>
      <c r="T15" s="112"/>
      <c r="U15" s="112"/>
      <c r="V15" s="1"/>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row>
    <row r="16" spans="1:74" s="118" customFormat="1">
      <c r="A16" s="1"/>
      <c r="B16" s="1"/>
      <c r="C16" s="112"/>
      <c r="D16" s="112"/>
      <c r="E16" s="112"/>
      <c r="L16" s="112"/>
      <c r="N16" s="112"/>
      <c r="P16" s="112"/>
      <c r="Q16" s="112"/>
      <c r="R16" s="112"/>
      <c r="S16" s="112"/>
      <c r="T16" s="112"/>
      <c r="U16" s="112"/>
      <c r="V16" s="1"/>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row>
    <row r="17" spans="1:74" s="118" customFormat="1">
      <c r="A17" s="1"/>
      <c r="B17" s="1"/>
      <c r="C17" s="112"/>
      <c r="D17" s="112"/>
      <c r="E17" s="112"/>
      <c r="L17" s="112"/>
      <c r="N17" s="112"/>
      <c r="P17" s="112"/>
      <c r="Q17" s="112"/>
      <c r="R17" s="112"/>
      <c r="S17" s="112"/>
      <c r="T17" s="112"/>
      <c r="U17" s="112"/>
      <c r="V17" s="1"/>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row>
    <row r="18" spans="1:74" s="118" customFormat="1">
      <c r="A18" s="1"/>
      <c r="B18" s="1"/>
      <c r="C18" s="112"/>
      <c r="D18" s="112"/>
      <c r="E18" s="112"/>
      <c r="L18" s="112"/>
      <c r="N18" s="112"/>
      <c r="P18" s="112"/>
      <c r="Q18" s="112"/>
      <c r="R18" s="112"/>
      <c r="S18" s="112"/>
      <c r="T18" s="112"/>
      <c r="U18" s="112"/>
      <c r="V18" s="1"/>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row>
  </sheetData>
  <autoFilter ref="A2:BV3" xr:uid="{A78A6233-9C2D-4464-9BCF-C693D847A945}">
    <sortState xmlns:xlrd2="http://schemas.microsoft.com/office/spreadsheetml/2017/richdata2" ref="A4:BV4">
      <sortCondition ref="A2"/>
    </sortState>
  </autoFilter>
  <mergeCells count="20">
    <mergeCell ref="K1:L1"/>
    <mergeCell ref="A1:A2"/>
    <mergeCell ref="B1:B2"/>
    <mergeCell ref="C1:C2"/>
    <mergeCell ref="D1:D2"/>
    <mergeCell ref="E1:E2"/>
    <mergeCell ref="F1:F2"/>
    <mergeCell ref="G1:G2"/>
    <mergeCell ref="H1:H2"/>
    <mergeCell ref="I1:J1"/>
    <mergeCell ref="X1:X2"/>
    <mergeCell ref="M1:N1"/>
    <mergeCell ref="O1:P1"/>
    <mergeCell ref="T1:T2"/>
    <mergeCell ref="U1:U2"/>
    <mergeCell ref="V1:V2"/>
    <mergeCell ref="W1:W2"/>
    <mergeCell ref="Q1:Q2"/>
    <mergeCell ref="R1:R2"/>
    <mergeCell ref="S1:S2"/>
  </mergeCells>
  <printOptions horizontalCentered="1"/>
  <pageMargins left="0.14000000000000001" right="0.2" top="0.38" bottom="0.75" header="0.3" footer="0.3"/>
  <pageSetup paperSize="8" scale="68" orientation="landscape" r:id="rId1"/>
  <headerFooter>
    <oddFooter>&amp;C&amp;P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DB19-CD8C-4E70-B967-545EF4F2266B}">
  <sheetPr>
    <tabColor rgb="FF00B050"/>
  </sheetPr>
  <dimension ref="A1:X5"/>
  <sheetViews>
    <sheetView rightToLeft="1" view="pageBreakPreview" zoomScale="55" zoomScaleNormal="70" zoomScaleSheetLayoutView="55" workbookViewId="0">
      <pane xSplit="4" ySplit="1" topLeftCell="E2" activePane="bottomRight" state="frozen"/>
      <selection activeCell="T1" sqref="T1"/>
      <selection pane="topRight" activeCell="T1" sqref="T1"/>
      <selection pane="bottomLeft" activeCell="T1" sqref="T1"/>
      <selection pane="bottomRight" activeCell="J4" sqref="J4"/>
    </sheetView>
  </sheetViews>
  <sheetFormatPr defaultColWidth="8.88671875" defaultRowHeight="14.4"/>
  <cols>
    <col min="1" max="1" width="3.5546875" style="112" customWidth="1"/>
    <col min="2" max="2" width="12.44140625" style="574" hidden="1" customWidth="1"/>
    <col min="3" max="3" width="21.6640625" style="112" customWidth="1"/>
    <col min="4" max="4" width="15.5546875" style="112" customWidth="1"/>
    <col min="5" max="6" width="12.6640625" style="112" customWidth="1"/>
    <col min="7" max="8" width="8.6640625" style="574" hidden="1" customWidth="1"/>
    <col min="9" max="9" width="11.44140625" style="574" customWidth="1"/>
    <col min="10" max="10" width="11.44140625" style="112" customWidth="1"/>
    <col min="11" max="11" width="8.6640625" style="574" hidden="1" customWidth="1"/>
    <col min="12" max="12" width="14.44140625" style="574" hidden="1" customWidth="1"/>
    <col min="13" max="13" width="16.44140625" style="574" hidden="1" customWidth="1"/>
    <col min="14" max="14" width="15.88671875" style="574" customWidth="1"/>
    <col min="15" max="15" width="10" style="112" customWidth="1"/>
    <col min="16" max="16" width="10.33203125" style="574" hidden="1" customWidth="1"/>
    <col min="17" max="18" width="13.6640625" style="574" hidden="1" customWidth="1"/>
    <col min="19" max="19" width="18.88671875" style="112" customWidth="1"/>
    <col min="20" max="20" width="59.33203125" style="112" customWidth="1"/>
    <col min="21" max="21" width="51.44140625" style="112" customWidth="1"/>
    <col min="22" max="22" width="45.33203125" style="112" customWidth="1"/>
    <col min="23" max="23" width="16.109375" style="574" hidden="1" customWidth="1"/>
    <col min="24" max="24" width="16.88671875" style="112" customWidth="1"/>
    <col min="25" max="16384" width="8.88671875" style="112"/>
  </cols>
  <sheetData>
    <row r="1" spans="1:24" s="613" customFormat="1" ht="83.4" customHeight="1">
      <c r="A1" s="610" t="s">
        <v>546</v>
      </c>
      <c r="B1" s="611" t="s">
        <v>556</v>
      </c>
      <c r="C1" s="612" t="s">
        <v>604</v>
      </c>
      <c r="D1" s="612" t="s">
        <v>605</v>
      </c>
      <c r="E1" s="612" t="s">
        <v>606</v>
      </c>
      <c r="F1" s="612" t="s">
        <v>607</v>
      </c>
      <c r="G1" s="611" t="s">
        <v>589</v>
      </c>
      <c r="H1" s="611" t="s">
        <v>575</v>
      </c>
      <c r="I1" s="612" t="s">
        <v>608</v>
      </c>
      <c r="J1" s="612" t="s">
        <v>609</v>
      </c>
      <c r="K1" s="611" t="s">
        <v>558</v>
      </c>
      <c r="L1" s="611" t="s">
        <v>637</v>
      </c>
      <c r="M1" s="611" t="s">
        <v>636</v>
      </c>
      <c r="N1" s="610" t="s">
        <v>973</v>
      </c>
      <c r="O1" s="612" t="s">
        <v>610</v>
      </c>
      <c r="P1" s="611" t="s">
        <v>76</v>
      </c>
      <c r="Q1" s="611" t="s">
        <v>590</v>
      </c>
      <c r="R1" s="611" t="s">
        <v>599</v>
      </c>
      <c r="S1" s="610" t="s">
        <v>563</v>
      </c>
      <c r="T1" s="610" t="s">
        <v>554</v>
      </c>
      <c r="U1" s="610" t="s">
        <v>555</v>
      </c>
      <c r="V1" s="610" t="s">
        <v>578</v>
      </c>
      <c r="W1" s="611" t="s">
        <v>572</v>
      </c>
      <c r="X1" s="610" t="s">
        <v>559</v>
      </c>
    </row>
    <row r="2" spans="1:24" s="518" customFormat="1" ht="119.4" customHeight="1">
      <c r="A2" s="520">
        <f>SUBTOTAL(3,$D$2:D2)</f>
        <v>1</v>
      </c>
      <c r="B2" s="520">
        <v>901230176</v>
      </c>
      <c r="C2" s="520" t="str">
        <f>_xlfn.XLOOKUP(B2,Table4[PO],Table4[اسم المشروع],0)</f>
        <v xml:space="preserve">تنفيذ شبكات الصرف الصحي بمخططات الرانوناء واحياء جنوب المدينة (المرحلة الأولى) </v>
      </c>
      <c r="D2" s="520" t="str">
        <f>_xlfn.XLOOKUP(B2,Table4[PO],Table4[[المقاول ]],0)</f>
        <v>الشركة الوطنية لأعمال المياه</v>
      </c>
      <c r="E2" s="536">
        <f>_xlfn.XLOOKUP(B2,Table4[PO],Table4[بداية المشروع التعاقدية],0)</f>
        <v>45249</v>
      </c>
      <c r="F2" s="536">
        <f>_xlfn.XLOOKUP(B2,Table4[PO],Table4[نهاية المشروع المعدلة PMO LIVE],0)</f>
        <v>46379</v>
      </c>
      <c r="G2" s="502">
        <f>_xlfn.XLOOKUP(B2,Table4[PO],Table4[نسبة الإيقاف%],0)</f>
        <v>1.1599999999999999E-2</v>
      </c>
      <c r="H2" s="502">
        <f>_xlfn.XLOOKUP(B2,Table4[PO],Table4[المنفذ % الفعلي حتي الإسبوع السابق],0)</f>
        <v>0.55920000000000003</v>
      </c>
      <c r="I2" s="502">
        <f>_xlfn.XLOOKUP(B2,Table4[PO],Table4[المخطط % التراكمي],0)</f>
        <v>0.74339999999999995</v>
      </c>
      <c r="J2" s="502">
        <f>_xlfn.XLOOKUP(B2,Table4[PO],Table4[المنفذ % التراكمي],0)</f>
        <v>0.55979999999999996</v>
      </c>
      <c r="K2" s="606">
        <v>1.2999999999999956E-2</v>
      </c>
      <c r="L2" s="603">
        <f>_xlfn.XLOOKUP(B2,Table4[PO],Table4[نسبة المخطط التراكمي حتى 31 اكتوبر 2026],0)</f>
        <v>0.80262937197552331</v>
      </c>
      <c r="M2" s="607">
        <f>_xlfn.XLOOKUP(B2,Table4[PO],Table4[النسبة المطلوب زيادتها في اكتوبر 2026 للإنتظام],0)</f>
        <v>0.14382937197552337</v>
      </c>
      <c r="N2" s="603">
        <f>_xlfn.XLOOKUP(B2,Table4[PO],Table4[النسبة المطلوب زيادتها في اكتوبر 2026 لتجنب / الخروج من التعثر],0)</f>
        <v>0</v>
      </c>
      <c r="O2" s="537">
        <f>_xlfn.XLOOKUP(B2,Table4[PO],Table4[قيمة المشروع بالضريبة],0)</f>
        <v>37.84142842</v>
      </c>
      <c r="P2" s="537" t="str">
        <f>_xlfn.XLOOKUP(B2,Table4[PO],Table4[حالة المشروع])</f>
        <v>متأخر</v>
      </c>
      <c r="Q2" s="536">
        <f>F2+60</f>
        <v>46439</v>
      </c>
      <c r="R2" s="536" t="s">
        <v>339</v>
      </c>
      <c r="S2" s="537" t="s">
        <v>581</v>
      </c>
      <c r="T2" s="538" t="str">
        <f>_xlfn.XLOOKUP(B2,Table4[PO],Table4[الإجراء الفني الحالي],0)</f>
        <v xml:space="preserve">1.تم الاجتماع مع المقاول و الاستشاري  بالموقع بتاريخ  الخميس 08/10/2026 و الاتفاق علي خطه لانجاز الاعمال المتبقيه  بالمشروع بطول 9,400 متر بتاريخ 23/12/2026علي ان يتم المتابعه  تنفيذ الخطه بصوره يوميه 
2.تم التوجيه بضروره  حضور مدير مشاريع المقاول للاجتماع الاسبوعي  للتأكد من توفير الدعم الكافي للمشروع  بتاريخ12/10/2026 </v>
      </c>
      <c r="U2" s="520" t="str">
        <f>_xlfn.XLOOKUP(B2,Table4[PO],Table4[الإجراءات الإدارية للمشاريع],0)</f>
        <v>1. معاملة استحداث بند لاعمال الاسفلت
2. معاملة تمديد لتأخر صرف المستخلصات بمدة 24 يوم
3. معاملة استئناف الأعمال</v>
      </c>
      <c r="V2" s="520" t="str">
        <f>_xlfn.XLOOKUP(B2,Table4[PO],Table4[اخر تحديث الإجراء الإداري الحالي للمشروع],0)</f>
        <v>1. تم توجيه الإستشاري فيوتشر بالبريد الإلكتروني بتاريخ 15/10/2026 لإعداد معاملة تمديد لتأخر صرف المستخلصات بمدة 24 يوم
2. مخطط إرسال معاملة تمديد تأخر صرف المستخلصات بمدة 24 يوم إلي الجدولة و التحكم بتاريخ 18/10/2026 م</v>
      </c>
      <c r="W2" s="520" t="s">
        <v>101</v>
      </c>
      <c r="X2" s="539">
        <f>_xlfn.XLOOKUP(B2,Table4[PO],Table4[التاريخ المتوقع للتعثر- متوسط نسب انجاز],0)</f>
        <v>46331</v>
      </c>
    </row>
    <row r="3" spans="1:24" s="645" customFormat="1" ht="142.19999999999999" customHeight="1">
      <c r="A3" s="530">
        <f>SUBTOTAL(3,$D$2:D3)</f>
        <v>2</v>
      </c>
      <c r="B3" s="530">
        <v>901260326</v>
      </c>
      <c r="C3" s="530" t="str">
        <f>_xlfn.XLOOKUP(B3,Table4[PO],Table4[اسم المشروع],0)</f>
        <v>مشروع ايصال خدمة الصرف الصحي لمشروع بوابة سمو المطل علي تقاطع طريقيالملك فيصل و الملك فهد الكائن بحي المصانع بالمدينة المنورة</v>
      </c>
      <c r="D3" s="530" t="str">
        <f>_xlfn.XLOOKUP(B3,Table4[PO],Table4[[المقاول ]],0)</f>
        <v>شركه اعمال المحترفون للتجارة والمقاولات</v>
      </c>
      <c r="E3" s="519">
        <f>_xlfn.XLOOKUP(B3,Table4[PO],Table4[بداية المشروع التعاقدية],0)</f>
        <v>46245</v>
      </c>
      <c r="F3" s="519">
        <f>_xlfn.XLOOKUP(B3,Table4[PO],Table4[نهاية المشروع المعدلة PMO LIVE],0)</f>
        <v>46488</v>
      </c>
      <c r="G3" s="498">
        <f>_xlfn.XLOOKUP(B3,Table4[PO],Table4[نسبة الإيقاف%],0)</f>
        <v>0</v>
      </c>
      <c r="H3" s="498" t="str">
        <f>_xlfn.XLOOKUP(B3,Table4[PO],Table4[المنفذ % الفعلي حتي الإسبوع السابق],0)</f>
        <v>0.00%</v>
      </c>
      <c r="I3" s="498">
        <f>_xlfn.XLOOKUP(B3,Table4[PO],Table4[المخطط % التراكمي],0)</f>
        <v>5.91E-2</v>
      </c>
      <c r="J3" s="498" t="str">
        <f>_xlfn.XLOOKUP(B3,Table4[PO],Table4[المنفذ % التراكمي],0)</f>
        <v>0.00%</v>
      </c>
      <c r="K3" s="580">
        <v>1.2999999999999956E-2</v>
      </c>
      <c r="L3" s="604">
        <f>_xlfn.XLOOKUP(B3,Table4[PO],Table4[نسبة المخطط التراكمي حتى 31 اكتوبر 2026],0)</f>
        <v>0.10638623326959847</v>
      </c>
      <c r="M3" s="608">
        <f>_xlfn.XLOOKUP(B3,Table4[PO],Table4[النسبة المطلوب زيادتها في اكتوبر 2026 للإنتظام],0)</f>
        <v>7.3862332695984606E-3</v>
      </c>
      <c r="N3" s="604">
        <f>_xlfn.XLOOKUP(B3,Table4[PO],Table4[النسبة المطلوب زيادتها في اكتوبر 2026 لتجنب / الخروج من التعثر],0)</f>
        <v>0</v>
      </c>
      <c r="O3" s="533">
        <f>_xlfn.XLOOKUP(B3,Table4[PO],Table4[قيمة المشروع بالضريبة],0)</f>
        <v>3.7590625000000002</v>
      </c>
      <c r="P3" s="533" t="str">
        <f>_xlfn.XLOOKUP(B3,Table4[PO],Table4[حالة المشروع])</f>
        <v>منتظم</v>
      </c>
      <c r="Q3" s="519">
        <f>F3+60</f>
        <v>46548</v>
      </c>
      <c r="R3" s="519" t="s">
        <v>339</v>
      </c>
      <c r="S3" s="533" t="s">
        <v>581</v>
      </c>
      <c r="T3" s="534" t="str">
        <f>_xlfn.XLOOKUP(B3,Table4[PO],Table4[الإجراء الفني الحالي],0)</f>
        <v>1.تم إعاده رفع  تصريح  الحفر( بطول 93 متر حفر مكشوف )  بعد استيفاء متطلبات الامانه و تم  رفع تصريح اخر  لغرفه الدفع للثقب الافقي بتاريخ 12/10/2026  
2- تم جدوله اجتماع  مع المقاول يوم 15/10/2026  لمناقشه البدء في الاعمال و انهاء المشروع بالمده التعاقديه 
3- تم توجيه الاستشاري بالايميل  12/10/2026 بإعداد تقرير يوثق حاله عدم البدء بالاعمال بالموقع و تحديد  تواريخ البدء  في  كل من اعمال الثقب الاقي و الحفر المكشوف</v>
      </c>
      <c r="U3" s="530" t="str">
        <f>_xlfn.XLOOKUP(B3,Table4[PO],Table4[الإجراءات الإدارية للمشاريع],0)</f>
        <v>لا يوجد</v>
      </c>
      <c r="V3" s="530" t="str">
        <f>_xlfn.XLOOKUP(B3,Table4[PO],Table4[اخر تحديث الإجراء الإداري الحالي للمشروع],0)</f>
        <v>لا يوجد</v>
      </c>
      <c r="W3" s="530" t="s">
        <v>101</v>
      </c>
      <c r="X3" s="535">
        <f>_xlfn.XLOOKUP(B3,Table4[PO],Table4[التاريخ المتوقع للتعثر- متوسط نسب انجاز],0)</f>
        <v>46338</v>
      </c>
    </row>
    <row r="4" spans="1:24" s="518" customFormat="1" ht="158.4">
      <c r="A4" s="520">
        <f>SUBTOTAL(3,$D$2:D4)</f>
        <v>3</v>
      </c>
      <c r="B4" s="520">
        <v>901240091</v>
      </c>
      <c r="C4" s="520" t="str">
        <f>_xlfn.XLOOKUP(B4,Table4[PO],Table4[اسم المشروع],0)</f>
        <v xml:space="preserve">تنفيذ شبكات الصرف الصحي بمحافظة ينبع </v>
      </c>
      <c r="D4" s="520" t="str">
        <f>_xlfn.XLOOKUP(B4,Table4[PO],Table4[[المقاول ]],0)</f>
        <v>مؤسسة منصور  الغامدي للمقاولات العامة</v>
      </c>
      <c r="E4" s="536">
        <f>_xlfn.XLOOKUP(B4,Table4[PO],Table4[بداية المشروع التعاقدية],0)</f>
        <v>45490</v>
      </c>
      <c r="F4" s="536">
        <f>_xlfn.XLOOKUP(B4,Table4[PO],Table4[نهاية المشروع المعدلة PMO LIVE],0)</f>
        <v>46411</v>
      </c>
      <c r="G4" s="502">
        <f>_xlfn.XLOOKUP(B4,Table4[PO],Table4[نسبة الإيقاف%],0)</f>
        <v>0.10299999999999999</v>
      </c>
      <c r="H4" s="502">
        <f>_xlfn.XLOOKUP(B4,Table4[PO],Table4[المنفذ % الفعلي حتي الإسبوع السابق],0)</f>
        <v>0.47570000000000001</v>
      </c>
      <c r="I4" s="502">
        <f>_xlfn.XLOOKUP(B4,Table4[PO],Table4[المخطط % التراكمي],0)</f>
        <v>0.60029999999999994</v>
      </c>
      <c r="J4" s="502">
        <f>_xlfn.XLOOKUP(B4,Table4[PO],Table4[المنفذ % التراكمي],0)</f>
        <v>0.47570000000000001</v>
      </c>
      <c r="K4" s="606">
        <f>J4-I4</f>
        <v>-0.12459999999999993</v>
      </c>
      <c r="L4" s="603">
        <f>_xlfn.XLOOKUP(B4,Table4[PO],Table4[نسبة المخطط التراكمي حتى 31 اكتوبر 2026],0)</f>
        <v>0.635619514756668</v>
      </c>
      <c r="M4" s="607">
        <f>_xlfn.XLOOKUP(B4,Table4[PO],Table4[النسبة المطلوب زيادتها في اكتوبر 2026 للإنتظام],0)</f>
        <v>6.0919514756668014E-2</v>
      </c>
      <c r="N4" s="603">
        <f>_xlfn.XLOOKUP(B4,Table4[PO],Table4[النسبة المطلوب زيادتها في اكتوبر 2026 لتجنب / الخروج من التعثر],0)</f>
        <v>0</v>
      </c>
      <c r="O4" s="537">
        <f>_xlfn.XLOOKUP(B4,Table4[PO],Table4[قيمة المشروع بالضريبة],0)</f>
        <v>22.6795203</v>
      </c>
      <c r="P4" s="537" t="str">
        <f>_xlfn.XLOOKUP(B4,Table4[PO],Table4[حالة المشروع])</f>
        <v>متأخر</v>
      </c>
      <c r="Q4" s="536">
        <f>F4+60</f>
        <v>46471</v>
      </c>
      <c r="R4" s="536" t="s">
        <v>339</v>
      </c>
      <c r="S4" s="537" t="s">
        <v>635</v>
      </c>
      <c r="T4" s="538" t="str">
        <f>_xlfn.XLOOKUP(B4,Table4[PO],Table4[الإجراء الفني الحالي],0)</f>
        <v xml:space="preserve">1. تم الاجتماع مع المقاول بتاريخ 12/10/2026 للالتزام بالخطة التصحييحة والنسب المستهدفة في شهر أكتوبر ونوفمبر وكذلك التوصيات بزيادة عدد الفرق في منطقة 1   
2. تم توجيه المقاول لرفع تصاريح لمنطقة رقم 6 ، 8  وتم ادراجها في المتابعة اليومية والمستهدف فيها في شهري أكتوبر ونوفمبر 2026 للانتهاء من الاعمال المتبقية بالمنطقتين   
3. تم رفع تصريح بطول 400 متر في منطقة رقم 1 وتم اصداره وتم بدء الاعمال به اليوم بتاريخ 13/10/2026 </v>
      </c>
      <c r="U4" s="520" t="str">
        <f>_xlfn.XLOOKUP(B4,Table4[PO],Table4[الإجراءات الإدارية للمشاريع],0)</f>
        <v xml:space="preserve">1. معاملة تمديد زمني (17) يوم نتيجة تأخر صرف المستخلصات
2.جدول الكميات المعدل رقم (1)
</v>
      </c>
      <c r="V4" s="538" t="str">
        <f>_xlfn.XLOOKUP(B4,Table4[PO],Table4[اخر تحديث الإجراء الإداري الحالي للمشروع],0)</f>
        <v>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v>
      </c>
      <c r="W4" s="520" t="s">
        <v>612</v>
      </c>
      <c r="X4" s="539">
        <f>_xlfn.XLOOKUP(B4,Table4[PO],Table4[التاريخ المتوقع للتعثر- متوسط نسب انجاز],0)</f>
        <v>46359</v>
      </c>
    </row>
    <row r="5" spans="1:24" ht="30" customHeight="1">
      <c r="A5" s="679"/>
      <c r="B5" s="1008" t="s">
        <v>551</v>
      </c>
      <c r="C5" s="1008"/>
      <c r="D5" s="1008"/>
      <c r="E5" s="679"/>
      <c r="F5" s="679"/>
      <c r="G5" s="679"/>
      <c r="H5" s="679"/>
      <c r="I5" s="679"/>
      <c r="J5" s="679"/>
      <c r="K5" s="583"/>
      <c r="L5" s="605"/>
      <c r="M5" s="605"/>
      <c r="N5" s="605"/>
      <c r="O5" s="505">
        <f>SUM(O2:O4)</f>
        <v>64.280011220000006</v>
      </c>
      <c r="P5" s="609"/>
      <c r="Q5" s="609"/>
      <c r="R5" s="609"/>
      <c r="S5" s="505"/>
      <c r="T5" s="506"/>
      <c r="U5" s="506"/>
      <c r="V5" s="506"/>
      <c r="W5" s="506"/>
      <c r="X5" s="506"/>
    </row>
  </sheetData>
  <autoFilter ref="A1:X5" xr:uid="{A851DB19-CD8C-4E70-B967-545EF4F2266B}">
    <sortState xmlns:xlrd2="http://schemas.microsoft.com/office/spreadsheetml/2017/richdata2" ref="A2:X5">
      <sortCondition ref="X1:X5"/>
    </sortState>
  </autoFilter>
  <printOptions horizontalCentered="1"/>
  <pageMargins left="0.2" right="0.27" top="0.75" bottom="0.75" header="0.3" footer="0.3"/>
  <pageSetup paperSize="8" scale="58" orientation="landscape" r:id="rId1"/>
  <headerFooter>
    <oddHeader>&amp;C&amp;"-,Bold"&amp;20موقف المشاريع المتوقع تعثرها حتي 16 يوليو 2026</oddHeader>
    <oddFooter>&amp;C&amp;P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B91-E2C2-4838-A2B1-670A4BF188FF}">
  <sheetPr>
    <tabColor rgb="FF00B050"/>
  </sheetPr>
  <dimension ref="A1:W7"/>
  <sheetViews>
    <sheetView rightToLeft="1" view="pageBreakPreview" zoomScale="55" zoomScaleNormal="70" zoomScaleSheetLayoutView="55" workbookViewId="0">
      <pane xSplit="4" ySplit="1" topLeftCell="E4" activePane="bottomRight" state="frozen"/>
      <selection activeCell="T1" sqref="T1"/>
      <selection pane="topRight" activeCell="T1" sqref="T1"/>
      <selection pane="bottomLeft" activeCell="T1" sqref="T1"/>
      <selection pane="bottomRight" activeCell="O4" sqref="O4"/>
    </sheetView>
  </sheetViews>
  <sheetFormatPr defaultColWidth="8.88671875" defaultRowHeight="14.4"/>
  <cols>
    <col min="1" max="1" width="3.5546875" style="112" customWidth="1"/>
    <col min="2" max="2" width="13.6640625" style="574" hidden="1" customWidth="1"/>
    <col min="3" max="3" width="23.44140625" style="112" customWidth="1"/>
    <col min="4" max="4" width="17.109375" style="112" customWidth="1"/>
    <col min="5" max="5" width="12.88671875" style="112" customWidth="1"/>
    <col min="6" max="6" width="15.44140625" style="112" customWidth="1"/>
    <col min="7" max="8" width="8.6640625" style="574" hidden="1" customWidth="1"/>
    <col min="9" max="10" width="11.33203125" style="112" customWidth="1"/>
    <col min="11" max="11" width="9.109375" style="574" hidden="1" customWidth="1"/>
    <col min="12" max="12" width="14.33203125" style="574" hidden="1" customWidth="1"/>
    <col min="13" max="13" width="14.33203125" style="574" customWidth="1"/>
    <col min="14" max="14" width="12.44140625" style="112" customWidth="1"/>
    <col min="15" max="15" width="10" style="574" customWidth="1"/>
    <col min="16" max="17" width="13.88671875" style="574" hidden="1" customWidth="1"/>
    <col min="18" max="18" width="14.5546875" style="112" customWidth="1"/>
    <col min="19" max="19" width="51.33203125" style="112" customWidth="1"/>
    <col min="20" max="20" width="25.5546875" style="112" customWidth="1"/>
    <col min="21" max="21" width="46.6640625" style="112" customWidth="1"/>
    <col min="22" max="22" width="16.109375" style="112" hidden="1" customWidth="1"/>
    <col min="23" max="23" width="16.88671875" style="112" customWidth="1"/>
    <col min="24" max="16384" width="8.88671875" style="112"/>
  </cols>
  <sheetData>
    <row r="1" spans="1:23" s="613" customFormat="1" ht="83.4" customHeight="1">
      <c r="A1" s="610" t="s">
        <v>546</v>
      </c>
      <c r="B1" s="611" t="s">
        <v>556</v>
      </c>
      <c r="C1" s="612" t="s">
        <v>604</v>
      </c>
      <c r="D1" s="612" t="s">
        <v>605</v>
      </c>
      <c r="E1" s="612" t="s">
        <v>606</v>
      </c>
      <c r="F1" s="612" t="s">
        <v>607</v>
      </c>
      <c r="G1" s="611" t="s">
        <v>589</v>
      </c>
      <c r="H1" s="611" t="s">
        <v>575</v>
      </c>
      <c r="I1" s="612" t="s">
        <v>608</v>
      </c>
      <c r="J1" s="612" t="s">
        <v>609</v>
      </c>
      <c r="K1" s="611" t="s">
        <v>558</v>
      </c>
      <c r="L1" s="611" t="s">
        <v>637</v>
      </c>
      <c r="M1" s="610" t="s">
        <v>974</v>
      </c>
      <c r="N1" s="612" t="s">
        <v>610</v>
      </c>
      <c r="O1" s="610" t="s">
        <v>76</v>
      </c>
      <c r="P1" s="611" t="s">
        <v>590</v>
      </c>
      <c r="Q1" s="611" t="s">
        <v>599</v>
      </c>
      <c r="R1" s="610" t="s">
        <v>563</v>
      </c>
      <c r="S1" s="610" t="s">
        <v>554</v>
      </c>
      <c r="T1" s="610" t="s">
        <v>555</v>
      </c>
      <c r="U1" s="610" t="s">
        <v>578</v>
      </c>
      <c r="V1" s="611" t="s">
        <v>572</v>
      </c>
      <c r="W1" s="610" t="s">
        <v>577</v>
      </c>
    </row>
    <row r="2" spans="1:23" ht="75" customHeight="1">
      <c r="A2" s="530">
        <f>SUBTOTAL(3,$D$2:D2)</f>
        <v>1</v>
      </c>
      <c r="B2" s="530">
        <v>901260326</v>
      </c>
      <c r="C2" s="530" t="str">
        <f>_xlfn.XLOOKUP(B2,Table4[PO],Table4[اسم المشروع],0)</f>
        <v>مشروع ايصال خدمة الصرف الصحي لمشروع بوابة سمو المطل علي تقاطع طريقيالملك فيصل و الملك فهد الكائن بحي المصانع بالمدينة المنورة</v>
      </c>
      <c r="D2" s="530" t="str">
        <f>_xlfn.XLOOKUP(B2,Table4[PO],Table4[[المقاول ]],0)</f>
        <v>شركه اعمال المحترفون للتجارة والمقاولات</v>
      </c>
      <c r="E2" s="519">
        <f>_xlfn.XLOOKUP(B2,Table4[PO],Table4[بداية المشروع التعاقدية],0)</f>
        <v>46245</v>
      </c>
      <c r="F2" s="519">
        <f>_xlfn.XLOOKUP(B2,Table4[PO],Table4[نهاية المشروع المعدلة PMO LIVE],0)</f>
        <v>46488</v>
      </c>
      <c r="G2" s="498">
        <f>_xlfn.XLOOKUP(B2,Table4[PO],Table4[نسبة الإيقاف%],0)</f>
        <v>0</v>
      </c>
      <c r="H2" s="498" t="str">
        <f>_xlfn.XLOOKUP(B2,Table4[PO],Table4[المنفذ % الفعلي حتي الإسبوع السابق],0)</f>
        <v>0.00%</v>
      </c>
      <c r="I2" s="498">
        <f>_xlfn.XLOOKUP(B2,Table4[PO],Table4[المخطط % التراكمي],0)</f>
        <v>5.91E-2</v>
      </c>
      <c r="J2" s="498" t="str">
        <f>_xlfn.XLOOKUP(B2,Table4[PO],Table4[المنفذ % التراكمي],0)</f>
        <v>0.00%</v>
      </c>
      <c r="K2" s="580">
        <f t="shared" ref="K2:K6" si="0">J2-I2</f>
        <v>-5.91E-2</v>
      </c>
      <c r="L2" s="604">
        <f>_xlfn.XLOOKUP(B2,Table4[PO],Table4[نسبة المخطط التراكمي حتى 31 اكتوبر 2026],0)</f>
        <v>0.10638623326959847</v>
      </c>
      <c r="M2" s="608">
        <f>_xlfn.XLOOKUP(B2,Table4[PO],Table4[النسبة المطلوب زيادتها في اكتوبر 2026 للإنتظام],0)</f>
        <v>7.3862332695984606E-3</v>
      </c>
      <c r="N2" s="533">
        <f>_xlfn.XLOOKUP(B2,Table4[PO],Table4[قيمة المشروع بالضريبة],0)</f>
        <v>3.7590625000000002</v>
      </c>
      <c r="O2" s="533" t="str">
        <f>_xlfn.XLOOKUP(B2,Table4[PO],Table4[حالة المشروع],0)</f>
        <v>منتظم</v>
      </c>
      <c r="P2" s="519">
        <f t="shared" ref="P2:P6" si="1">F2+60</f>
        <v>46548</v>
      </c>
      <c r="Q2" s="519" t="s">
        <v>339</v>
      </c>
      <c r="R2" s="1019" t="str">
        <f>_xlfn.XLOOKUP(B2,Table4[PO],Table4[ملخص خطة المعالجة],0)</f>
        <v>لا يوجد</v>
      </c>
      <c r="S2" s="534" t="str">
        <f>_xlfn.XLOOKUP(B2,Table4[PO],Table4[الإجراء الفني الحالي],0)</f>
        <v>1.تم إعاده رفع  تصريح  الحفر( بطول 93 متر حفر مكشوف )  بعد استيفاء متطلبات الامانه و تم  رفع تصريح اخر  لغرفه الدفع للثقب الافقي بتاريخ 12/10/2026  
2- تم جدوله اجتماع  مع المقاول يوم 15/10/2026  لمناقشه البدء في الاعمال و انهاء المشروع بالمده التعاقديه 
3- تم توجيه الاستشاري بالايميل  12/10/2026 بإعداد تقرير يوثق حاله عدم البدء بالاعمال بالموقع و تحديد  تواريخ البدء  في  كل من اعمال الثقب الاقي و الحفر المكشوف</v>
      </c>
      <c r="T2" s="534" t="str">
        <f>_xlfn.XLOOKUP(B2,Table4[PO],Table4[الإجراءات الإدارية للمشاريع],0)</f>
        <v>لا يوجد</v>
      </c>
      <c r="U2" s="534" t="str">
        <f>_xlfn.XLOOKUP(B2,Table4[PO],Table4[اخر تحديث الإجراء الإداري الحالي للمشروع],0)</f>
        <v>لا يوجد</v>
      </c>
      <c r="V2" s="519" t="s">
        <v>101</v>
      </c>
      <c r="W2" s="535">
        <f>_xlfn.XLOOKUP(B2,Table4[PO],Table4[التاريخ المتوقع للتأخر - متوسط نسب انجاز],0)</f>
        <v>46316</v>
      </c>
    </row>
    <row r="3" spans="1:23" ht="79.2">
      <c r="A3" s="520">
        <f>SUBTOTAL(3,$D$2:D3)</f>
        <v>2</v>
      </c>
      <c r="B3" s="520">
        <v>901240095</v>
      </c>
      <c r="C3" s="520" t="str">
        <f>_xlfn.XLOOKUP(B3,Table4[PO],Table4[اسم المشروع],0)</f>
        <v xml:space="preserve">مشروع تنفيذ شبكة توزيع المياه في حي المحاميد بالمدينة المنورة </v>
      </c>
      <c r="D3" s="520" t="str">
        <f>_xlfn.XLOOKUP(B3,Table4[PO],Table4[[المقاول ]],0)</f>
        <v>شركة خزام ناصر سعيد الشهراني للمقاولات</v>
      </c>
      <c r="E3" s="536">
        <f>_xlfn.XLOOKUP(B3,Table4[PO],Table4[بداية المشروع التعاقدية],0)</f>
        <v>45526</v>
      </c>
      <c r="F3" s="536">
        <f>_xlfn.XLOOKUP(B3,Table4[PO],Table4[نهاية المشروع المعدلة PMO LIVE],0)</f>
        <v>46694</v>
      </c>
      <c r="G3" s="502">
        <f>_xlfn.XLOOKUP(B3,Table4[PO],Table4[نسبة الإيقاف%],0)</f>
        <v>0.1908</v>
      </c>
      <c r="H3" s="502">
        <f>_xlfn.XLOOKUP(B3,Table4[PO],Table4[المنفذ % الفعلي حتي الإسبوع السابق],0)</f>
        <v>0.18959999999999999</v>
      </c>
      <c r="I3" s="502">
        <f>_xlfn.XLOOKUP(B3,Table4[PO],Table4[المخطط % التراكمي],0)</f>
        <v>0.2722</v>
      </c>
      <c r="J3" s="502">
        <f>_xlfn.XLOOKUP(B3,Table4[PO],Table4[المنفذ % التراكمي],0)</f>
        <v>0.18959999999999999</v>
      </c>
      <c r="K3" s="606">
        <f t="shared" si="0"/>
        <v>-8.2600000000000007E-2</v>
      </c>
      <c r="L3" s="603">
        <f>_xlfn.XLOOKUP(B3,Table4[PO],Table4[نسبة المخطط التراكمي حتى 31 اكتوبر 2026],0)</f>
        <v>0.28294161297571085</v>
      </c>
      <c r="M3" s="607">
        <f>_xlfn.XLOOKUP(B3,Table4[PO],Table4[النسبة المطلوب زيادتها في اكتوبر 2026 للإنتظام],0)</f>
        <v>0</v>
      </c>
      <c r="N3" s="537">
        <f>_xlfn.XLOOKUP(B3,Table4[PO],Table4[قيمة المشروع بالضريبة],0)</f>
        <v>29.432727159999999</v>
      </c>
      <c r="O3" s="537" t="str">
        <f>_xlfn.XLOOKUP(B3,Table4[PO],Table4[حالة المشروع],0)</f>
        <v>منتظم</v>
      </c>
      <c r="P3" s="536">
        <f t="shared" si="1"/>
        <v>46754</v>
      </c>
      <c r="Q3" s="536" t="s">
        <v>339</v>
      </c>
      <c r="R3" s="1018" t="str">
        <f>_xlfn.XLOOKUP(B3,Table4[PO],Table4[ملخص خطة المعالجة],0)</f>
        <v>1. انهاء التعاقد</v>
      </c>
      <c r="S3" s="538" t="str">
        <f>_xlfn.XLOOKUP(B3,Table4[PO],Table4[الإجراء الفني الحالي],0)</f>
        <v>1. تم الاجتماع مع المقاول للتوجيه بالانتهاء من اعمال الاسفلت للتصريح المفتوح والمتأخر وكذلك سداد الغرامات لعدد 3 تصاريح أخري متأخرة مفتوحة علي النظام قبل 31/10/2026</v>
      </c>
      <c r="T3" s="538" t="str">
        <f>_xlfn.XLOOKUP(B3,Table4[PO],Table4[الإجراءات الإدارية للمشاريع],0)</f>
        <v>1. إستكمال اجرءات سحب المشروع(انهاء التعاقد)</v>
      </c>
      <c r="U3" s="538" t="str">
        <f>_xlfn.XLOOKUP(B3,Table4[PO],Table4[اخر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V3" s="520" t="s">
        <v>101</v>
      </c>
      <c r="W3" s="539">
        <f>_xlfn.XLOOKUP(B3,Table4[PO],Table4[التاريخ المتوقع للتأخر - متوسط نسب انجاز],0)</f>
        <v>46331</v>
      </c>
    </row>
    <row r="4" spans="1:23" ht="213" customHeight="1">
      <c r="A4" s="530">
        <f>SUBTOTAL(3,$D$2:D4)</f>
        <v>3</v>
      </c>
      <c r="B4" s="530">
        <v>901240282</v>
      </c>
      <c r="C4" s="530" t="str">
        <f>_xlfn.XLOOKUP(B4,Table4[PO],Table4[اسم المشروع],0)</f>
        <v>مشروع استبدال خطوط وشبكات المياه المتهالكة بالمدينة المنورة</v>
      </c>
      <c r="D4" s="530" t="str">
        <f>_xlfn.XLOOKUP(B4,Table4[PO],Table4[[المقاول ]],0)</f>
        <v>شركة ثروات المجد للمقاولات العامة</v>
      </c>
      <c r="E4" s="519">
        <f>_xlfn.XLOOKUP(B4,Table4[PO],Table4[بداية المشروع التعاقدية],0)</f>
        <v>45648</v>
      </c>
      <c r="F4" s="519">
        <f>_xlfn.XLOOKUP(B4,Table4[PO],Table4[نهاية المشروع المعدلة PMO LIVE],0)</f>
        <v>47127</v>
      </c>
      <c r="G4" s="498">
        <f>_xlfn.XLOOKUP(B4,Table4[PO],Table4[نسبة الإيقاف%],0)</f>
        <v>0</v>
      </c>
      <c r="H4" s="498">
        <f>_xlfn.XLOOKUP(B4,Table4[PO],Table4[المنفذ % الفعلي حتي الإسبوع السابق],0)</f>
        <v>3.1699999999999999E-2</v>
      </c>
      <c r="I4" s="498">
        <f>_xlfn.XLOOKUP(B4,Table4[PO],Table4[المخطط % التراكمي],0)</f>
        <v>0.11840000000000001</v>
      </c>
      <c r="J4" s="498">
        <f>_xlfn.XLOOKUP(B4,Table4[PO],Table4[المنفذ % التراكمي],0)</f>
        <v>3.1699999999999999E-2</v>
      </c>
      <c r="K4" s="580">
        <f t="shared" si="0"/>
        <v>-8.6699999999999999E-2</v>
      </c>
      <c r="L4" s="604">
        <f>_xlfn.XLOOKUP(B4,Table4[PO],Table4[نسبة المخطط التراكمي حتى 31 اكتوبر 2026],0)</f>
        <v>0.12165729881100813</v>
      </c>
      <c r="M4" s="608">
        <f>_xlfn.XLOOKUP(B4,Table4[PO],Table4[النسبة المطلوب زيادتها في اكتوبر 2026 للإنتظام],0)</f>
        <v>0</v>
      </c>
      <c r="N4" s="533">
        <f>_xlfn.XLOOKUP(B4,Table4[PO],Table4[قيمة المشروع بالضريبة],0)</f>
        <v>26.5900125</v>
      </c>
      <c r="O4" s="533" t="str">
        <f>_xlfn.XLOOKUP(B4,Table4[PO],Table4[حالة المشروع],0)</f>
        <v>منتظم</v>
      </c>
      <c r="P4" s="519">
        <f t="shared" si="1"/>
        <v>47187</v>
      </c>
      <c r="Q4" s="519" t="s">
        <v>339</v>
      </c>
      <c r="R4" s="1019" t="str">
        <f>_xlfn.XLOOKUP(B4,Table4[PO],Table4[ملخص خطة المعالجة],0)</f>
        <v>1. انهاء التعاقد</v>
      </c>
      <c r="S4" s="534" t="str">
        <f>_xlfn.XLOOKUP(B4,Table4[PO],Table4[الإجراء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T4" s="534" t="str">
        <f>_xlfn.XLOOKUP(B4,Table4[PO],Table4[الإجراءات الإدارية للمشاريع],0)</f>
        <v>1. اجرءات سحب المشروع (انهاء التعاقد)</v>
      </c>
      <c r="U4" s="534" t="str">
        <f>_xlfn.XLOOKUP(B4,Table4[PO],Table4[اخر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v>
      </c>
      <c r="V4" s="519" t="s">
        <v>101</v>
      </c>
      <c r="W4" s="535">
        <f>_xlfn.XLOOKUP(B4,Table4[PO],Table4[التاريخ المتوقع للتأخر - متوسط نسب انجاز],0)</f>
        <v>46358</v>
      </c>
    </row>
    <row r="5" spans="1:23" ht="59.4">
      <c r="A5" s="520">
        <f>SUBTOTAL(3,$D$2:D5)</f>
        <v>4</v>
      </c>
      <c r="B5" s="520">
        <v>601250198</v>
      </c>
      <c r="C5" s="520" t="str">
        <f>_xlfn.XLOOKUP(B5,Table4[PO],Table4[اسم المشروع],0)</f>
        <v>استكمال انشاء شبكات الصرف الصحي بالأحياء الجنوبية بمدينة ضبا</v>
      </c>
      <c r="D5" s="520" t="str">
        <f>_xlfn.XLOOKUP(B5,Table4[PO],Table4[[المقاول ]],0)</f>
        <v>شركة اثمار التشييد للبناء والمقاولات</v>
      </c>
      <c r="E5" s="536">
        <f>_xlfn.XLOOKUP(B5,Table4[PO],Table4[بداية المشروع التعاقدية],0)</f>
        <v>46014</v>
      </c>
      <c r="F5" s="536">
        <f>_xlfn.XLOOKUP(B5,Table4[PO],Table4[نهاية المشروع المعدلة PMO LIVE],0)</f>
        <v>46743</v>
      </c>
      <c r="G5" s="502">
        <f>_xlfn.XLOOKUP(B5,Table4[PO],Table4[نسبة الإيقاف%],0)</f>
        <v>0.49</v>
      </c>
      <c r="H5" s="502">
        <f>_xlfn.XLOOKUP(B5,Table4[PO],Table4[المنفذ % الفعلي حتي الإسبوع السابق],0)</f>
        <v>0</v>
      </c>
      <c r="I5" s="502">
        <f>_xlfn.XLOOKUP(B5,Table4[PO],Table4[المخطط % التراكمي],0)</f>
        <v>5.8299999999999998E-2</v>
      </c>
      <c r="J5" s="502">
        <f>_xlfn.XLOOKUP(B5,Table4[PO],Table4[المنفذ % التراكمي],0)</f>
        <v>2.0000000000000001E-4</v>
      </c>
      <c r="K5" s="606">
        <f t="shared" si="0"/>
        <v>-5.8099999999999999E-2</v>
      </c>
      <c r="L5" s="603">
        <f>_xlfn.XLOOKUP(B5,Table4[PO],Table4[نسبة المخطط التراكمي حتى 31 اكتوبر 2026],0)</f>
        <v>6.2600000000000003E-2</v>
      </c>
      <c r="M5" s="607">
        <f>_xlfn.XLOOKUP(B5,Table4[PO],Table4[النسبة المطلوب زيادتها في اكتوبر 2026 للإنتظام],0)</f>
        <v>0</v>
      </c>
      <c r="N5" s="537">
        <f>_xlfn.XLOOKUP(B5,Table4[PO],Table4[قيمة المشروع بالضريبة],0)</f>
        <v>33.339954030000001</v>
      </c>
      <c r="O5" s="537" t="str">
        <f>_xlfn.XLOOKUP(B5,Table4[PO],Table4[حالة المشروع],0)</f>
        <v>منتظم</v>
      </c>
      <c r="P5" s="536">
        <f t="shared" si="1"/>
        <v>46803</v>
      </c>
      <c r="Q5" s="536" t="s">
        <v>339</v>
      </c>
      <c r="R5" s="1018" t="str">
        <f>_xlfn.XLOOKUP(B5,Table4[PO],Table4[ملخص خطة المعالجة],0)</f>
        <v>لا يوجد</v>
      </c>
      <c r="S5" s="538" t="str">
        <f>_xlfn.XLOOKUP(B5,Table4[PO],Table4[الإجراء الفني الحالي],0)</f>
        <v>1. توجيه المقاول بعمل خطة اصدار تصاريح لتحقيق النسب المستهدفة و تعويض المدة الماضية بدون أعمال و تم تقديم الخطة بتاريخ 13/10/2026.</v>
      </c>
      <c r="T5" s="538" t="str">
        <f>_xlfn.XLOOKUP(B5,Table4[PO],Table4[الإجراءات الإدارية للمشاريع],0)</f>
        <v>لا يوجد</v>
      </c>
      <c r="U5" s="538" t="str">
        <f>_xlfn.XLOOKUP(B5,Table4[PO],Table4[اخر تحديث الإجراء الإداري الحالي للمشروع],0)</f>
        <v>لا يوجد</v>
      </c>
      <c r="V5" s="520" t="s">
        <v>101</v>
      </c>
      <c r="W5" s="539">
        <f>_xlfn.XLOOKUP(B5,Table4[PO],Table4[التاريخ المتوقع للتأخر - متوسط نسب انجاز],0)</f>
        <v>46361</v>
      </c>
    </row>
    <row r="6" spans="1:23" s="518" customFormat="1" ht="259.2" customHeight="1">
      <c r="A6" s="530">
        <f>SUBTOTAL(3,$D$2:D6)</f>
        <v>5</v>
      </c>
      <c r="B6" s="530">
        <v>901240327</v>
      </c>
      <c r="C6" s="530" t="str">
        <f>_xlfn.XLOOKUP(B6,Table4[PO],Table4[اسم المشروع],0)</f>
        <v>مشروع إستكمال تنفيذ الخطوط الرئيسية والشبكات الفرعية لمخططات شوران ( المرحلة الثانية )</v>
      </c>
      <c r="D6" s="530" t="str">
        <f>_xlfn.XLOOKUP(B6,Table4[PO],Table4[[المقاول ]],0)</f>
        <v xml:space="preserve">شركه أفاق الدولية </v>
      </c>
      <c r="E6" s="519">
        <f>_xlfn.XLOOKUP(B6,Table4[PO],Table4[بداية المشروع التعاقدية],0)</f>
        <v>45753</v>
      </c>
      <c r="F6" s="519">
        <f>_xlfn.XLOOKUP(B6,Table4[PO],Table4[نهاية المشروع المعدلة PMO LIVE],0)</f>
        <v>46866</v>
      </c>
      <c r="G6" s="498">
        <f>_xlfn.XLOOKUP(B6,Table4[PO],Table4[نسبة الإيقاف%],0)</f>
        <v>0</v>
      </c>
      <c r="H6" s="498">
        <f>_xlfn.XLOOKUP(B6,Table4[PO],Table4[المنفذ % الفعلي حتي الإسبوع السابق],0)</f>
        <v>7.0000000000000007E-2</v>
      </c>
      <c r="I6" s="498">
        <f>_xlfn.XLOOKUP(B6,Table4[PO],Table4[المخطط % التراكمي],0)</f>
        <v>0.1045</v>
      </c>
      <c r="J6" s="498">
        <f>_xlfn.XLOOKUP(B6,Table4[PO],Table4[المنفذ % التراكمي],0)</f>
        <v>7.0000000000000007E-2</v>
      </c>
      <c r="K6" s="580">
        <f t="shared" si="0"/>
        <v>-3.4499999999999989E-2</v>
      </c>
      <c r="L6" s="604">
        <f>_xlfn.XLOOKUP(B6,Table4[PO],Table4[نسبة المخطط التراكمي حتى 31 اكتوبر 2026],0)</f>
        <v>0.12158999681921717</v>
      </c>
      <c r="M6" s="608">
        <f>_xlfn.XLOOKUP(B6,Table4[PO],Table4[النسبة المطلوب زيادتها في اكتوبر 2026 للإنتظام],0)</f>
        <v>0</v>
      </c>
      <c r="N6" s="533">
        <f>_xlfn.XLOOKUP(B6,Table4[PO],Table4[قيمة المشروع بالضريبة],0)</f>
        <v>15.456482429999999</v>
      </c>
      <c r="O6" s="533" t="str">
        <f>_xlfn.XLOOKUP(B6,Table4[PO],Table4[حالة المشروع],0)</f>
        <v>منتظم</v>
      </c>
      <c r="P6" s="519">
        <f t="shared" si="1"/>
        <v>46926</v>
      </c>
      <c r="Q6" s="519" t="s">
        <v>339</v>
      </c>
      <c r="R6" s="1019" t="str">
        <f>_xlfn.XLOOKUP(B6,Table4[PO],Table4[ملخص خطة المعالجة],0)</f>
        <v>1. انهاء التعاقد</v>
      </c>
      <c r="S6" s="534" t="str">
        <f>_xlfn.XLOOKUP(B6,Table4[PO],Table4[الإجراء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T6" s="534" t="str">
        <f>_xlfn.XLOOKUP(B6,Table4[PO],Table4[الإجراءات الإدارية للمشاريع],0)</f>
        <v>1. إستكمال اجرءات سحب المشروع (انهاء التعاقد)</v>
      </c>
      <c r="U6" s="534" t="str">
        <f>_xlfn.XLOOKUP(B6,Table4[PO],Table4[اخر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V6" s="530" t="s">
        <v>101</v>
      </c>
      <c r="W6" s="535">
        <f>_xlfn.XLOOKUP(B6,Table4[PO],Table4[التاريخ المتوقع للتأخر - متوسط نسب انجاز],0)</f>
        <v>46366</v>
      </c>
    </row>
    <row r="7" spans="1:23" ht="30" customHeight="1">
      <c r="A7" s="1007" t="s">
        <v>551</v>
      </c>
      <c r="B7" s="1007"/>
      <c r="C7" s="1007"/>
      <c r="D7" s="1007"/>
      <c r="E7" s="1007"/>
      <c r="F7" s="1007"/>
      <c r="G7" s="1007"/>
      <c r="H7" s="1007"/>
      <c r="I7" s="1007"/>
      <c r="J7" s="1007"/>
      <c r="K7" s="1007"/>
      <c r="L7" s="605"/>
      <c r="M7" s="605"/>
      <c r="N7" s="505">
        <f>SUM(N2:N6)</f>
        <v>108.57823861999999</v>
      </c>
      <c r="O7" s="609"/>
      <c r="P7" s="609"/>
      <c r="Q7" s="609"/>
      <c r="R7" s="1020"/>
      <c r="S7" s="1021"/>
      <c r="T7" s="1021"/>
      <c r="U7" s="1021"/>
      <c r="V7" s="506"/>
      <c r="W7" s="506"/>
    </row>
  </sheetData>
  <autoFilter ref="A1:W7" xr:uid="{B9D76B91-E2C2-4838-A2B1-670A4BF188FF}">
    <sortState xmlns:xlrd2="http://schemas.microsoft.com/office/spreadsheetml/2017/richdata2" ref="A2:W7">
      <sortCondition ref="W1:W7"/>
    </sortState>
  </autoFilter>
  <printOptions horizontalCentered="1"/>
  <pageMargins left="0.2" right="0.27" top="0.75" bottom="0.57999999999999996" header="0.3" footer="0.3"/>
  <pageSetup paperSize="8" scale="55" orientation="landscape" r:id="rId1"/>
  <headerFooter>
    <oddHeader>&amp;C&amp;"-,Bold"&amp;20موقف المشاريع المتوقع تأخرها حتي 16 يوليو 2026</oddHeader>
    <oddFooter>&amp;C&amp;P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7FEB-D44F-4D33-81EB-164FCC7540B4}">
  <sheetPr>
    <tabColor rgb="FF00B050"/>
  </sheetPr>
  <dimension ref="A1:AC27"/>
  <sheetViews>
    <sheetView rightToLeft="1" view="pageBreakPreview" zoomScale="55" zoomScaleNormal="70" zoomScaleSheetLayoutView="55" workbookViewId="0">
      <pane xSplit="4" ySplit="1" topLeftCell="E2" activePane="bottomRight" state="frozen"/>
      <selection pane="topRight" activeCell="E1" sqref="E1"/>
      <selection pane="bottomLeft" activeCell="A2" sqref="A2"/>
      <selection pane="bottomRight" activeCell="W13" sqref="W13"/>
    </sheetView>
  </sheetViews>
  <sheetFormatPr defaultColWidth="8.88671875" defaultRowHeight="14.4"/>
  <cols>
    <col min="1" max="1" width="4.6640625" style="112" customWidth="1"/>
    <col min="2" max="2" width="11.5546875" style="565" customWidth="1"/>
    <col min="3" max="3" width="28.6640625" style="112" customWidth="1"/>
    <col min="4" max="4" width="15.109375" style="112" customWidth="1"/>
    <col min="5" max="5" width="10.33203125" style="112" customWidth="1"/>
    <col min="6" max="6" width="13.33203125" style="565" hidden="1" customWidth="1"/>
    <col min="7" max="7" width="16.44140625" style="565" hidden="1" customWidth="1"/>
    <col min="8" max="9" width="8.6640625" style="565" hidden="1" customWidth="1"/>
    <col min="10" max="10" width="11.33203125" style="112" customWidth="1"/>
    <col min="11" max="12" width="10.5546875" style="112" customWidth="1"/>
    <col min="13" max="13" width="8" style="112" customWidth="1"/>
    <col min="14" max="14" width="13.33203125" style="565" hidden="1" customWidth="1"/>
    <col min="15" max="15" width="13.6640625" style="565" hidden="1" customWidth="1"/>
    <col min="16" max="16" width="20.44140625" style="565" hidden="1" customWidth="1"/>
    <col min="17" max="17" width="11.33203125" style="586" customWidth="1"/>
    <col min="18" max="18" width="15.6640625" style="582" customWidth="1"/>
    <col min="19" max="19" width="47.33203125" style="591" customWidth="1"/>
    <col min="20" max="20" width="23.44140625" style="817" customWidth="1"/>
    <col min="21" max="21" width="62.88671875" style="565" customWidth="1"/>
    <col min="22" max="22" width="33.6640625" style="817" customWidth="1"/>
    <col min="23" max="23" width="48.5546875" style="817" customWidth="1"/>
    <col min="24" max="24" width="15.88671875" style="565" hidden="1" customWidth="1"/>
    <col min="25" max="25" width="18.6640625" style="112" customWidth="1"/>
    <col min="26" max="16384" width="8.88671875" style="112"/>
  </cols>
  <sheetData>
    <row r="1" spans="1:29" ht="83.4" customHeight="1">
      <c r="A1" s="937" t="s">
        <v>9</v>
      </c>
      <c r="B1" s="938" t="s">
        <v>556</v>
      </c>
      <c r="C1" s="939" t="s">
        <v>552</v>
      </c>
      <c r="D1" s="940" t="s">
        <v>553</v>
      </c>
      <c r="E1" s="939" t="s">
        <v>613</v>
      </c>
      <c r="F1" s="941" t="s">
        <v>547</v>
      </c>
      <c r="G1" s="941" t="s">
        <v>548</v>
      </c>
      <c r="H1" s="941" t="s">
        <v>589</v>
      </c>
      <c r="I1" s="941" t="s">
        <v>575</v>
      </c>
      <c r="J1" s="939" t="s">
        <v>615</v>
      </c>
      <c r="K1" s="939" t="s">
        <v>616</v>
      </c>
      <c r="L1" s="939" t="s">
        <v>617</v>
      </c>
      <c r="M1" s="939" t="s">
        <v>614</v>
      </c>
      <c r="N1" s="941" t="s">
        <v>585</v>
      </c>
      <c r="O1" s="941" t="s">
        <v>584</v>
      </c>
      <c r="P1" s="941" t="s">
        <v>590</v>
      </c>
      <c r="Q1" s="942" t="s">
        <v>192</v>
      </c>
      <c r="R1" s="943" t="s">
        <v>618</v>
      </c>
      <c r="S1" s="943" t="s">
        <v>619</v>
      </c>
      <c r="T1" s="944" t="s">
        <v>563</v>
      </c>
      <c r="U1" s="944" t="s">
        <v>554</v>
      </c>
      <c r="V1" s="944" t="s">
        <v>555</v>
      </c>
      <c r="W1" s="944" t="s">
        <v>578</v>
      </c>
      <c r="X1" s="941" t="s">
        <v>579</v>
      </c>
      <c r="Y1" s="945" t="s">
        <v>580</v>
      </c>
    </row>
    <row r="2" spans="1:29" s="518" customFormat="1" ht="181.8" customHeight="1">
      <c r="A2" s="932">
        <f>SUBTOTAL(3,$D$2:D2)</f>
        <v>1</v>
      </c>
      <c r="B2" s="530">
        <v>901250110</v>
      </c>
      <c r="C2" s="479" t="str">
        <f>_xlfn.XLOOKUP(B2,Table4[PO],Table4[اسم المشروع],0)</f>
        <v>استكمال إنشاء أشياب مع ملحقاتها ومحطة تنقية للمياه في مناطق مختلفة بمحافظة الحناكية</v>
      </c>
      <c r="D2" s="479" t="str">
        <f>_xlfn.XLOOKUP(B2,Table4[PO],Table4[[المقاول ]],0)</f>
        <v>شركة بنون و فنون للمقاولات</v>
      </c>
      <c r="E2" s="499">
        <f>_xlfn.XLOOKUP(B2,Table4[PO],Table4[قيمة المشروع بالضريبة],0)</f>
        <v>4.9367752000000005</v>
      </c>
      <c r="F2" s="571">
        <f>_xlfn.XLOOKUP(B2,Table4[PO],Table4[بداية المشروع التعاقدية],0)</f>
        <v>45774</v>
      </c>
      <c r="G2" s="571">
        <f>_xlfn.XLOOKUP(B2,Table4[PO],Table4[نهاية المشروع المعدلة PMO LIVE],0)</f>
        <v>46304</v>
      </c>
      <c r="H2" s="569">
        <f>_xlfn.XLOOKUP(B2,Table1[PO],Table1[نسبة الإيقاف%],0)</f>
        <v>0</v>
      </c>
      <c r="I2" s="569">
        <f>_xlfn.XLOOKUP(B2,Table1[PO],Table1[المنفذ % - الإسبوع السابق],0)</f>
        <v>0.46910000000000002</v>
      </c>
      <c r="J2" s="498">
        <f>_xlfn.XLOOKUP(B2,Table4[PO],Table4[المخطط % التراكمي],0)</f>
        <v>1</v>
      </c>
      <c r="K2" s="498">
        <f>_xlfn.XLOOKUP(B2,Table4[PO],Table4[المنفذ % التراكمي],0)</f>
        <v>0.46910000000000002</v>
      </c>
      <c r="L2" s="580">
        <f t="shared" ref="L2:L18" si="0">K2-J2</f>
        <v>-0.53089999999999993</v>
      </c>
      <c r="M2" s="499" t="str">
        <f>_xlfn.XLOOKUP(B2,Table4[PO],Table4[حالة المشروع],0)</f>
        <v>متعثر</v>
      </c>
      <c r="N2" s="544">
        <f>_xlfn.XLOOKUP(B2,Table4[PO],Table4[نسبة المخطط التراكمي حتى 31 اكتوبر 2026],0)</f>
        <v>1</v>
      </c>
      <c r="O2" s="570">
        <f>_xlfn.XLOOKUP(B2,Table4[PO],Table4[النسبة المطلوب زيادتها في اكتوبر 2026 للإنتظام],0)</f>
        <v>0.43190000000000001</v>
      </c>
      <c r="P2" s="577">
        <f t="shared" ref="P2:P18" si="1">G2+60</f>
        <v>46364</v>
      </c>
      <c r="Q2" s="498">
        <f>_xlfn.XLOOKUP(B2,Table4[PO],Table4[نسبة المدة المنقضية %],0)</f>
        <v>1.0113207547169811</v>
      </c>
      <c r="R2" s="587" t="s">
        <v>621</v>
      </c>
      <c r="S2" s="589" t="s">
        <v>684</v>
      </c>
      <c r="T2" s="672" t="str">
        <f>_xlfn.XLOOKUP(B2,Table4[PO],Table4[ملخص خطة المعالجة],0)</f>
        <v>1. انهاء التعاقد</v>
      </c>
      <c r="U2" s="534" t="str">
        <f>_xlfn.XLOOKUP(B2,Table4[PO],Table4[الإجراء الفني الحالي],0)</f>
        <v>لا يوجد اجراء فني</v>
      </c>
      <c r="V2" s="534" t="str">
        <f>_xlfn.XLOOKUP(B2,Table4[PO],Table4[الإجراءات الإدارية للمشاريع],0)</f>
        <v>1. إستكمال اجرءات سحب المشروع (انهاء التعاقد)</v>
      </c>
      <c r="W2" s="534" t="str">
        <f>_xlfn.XLOOKUP(B2,Table4[PO],Table4[اخر تحديث الإجراء الإداري الحالي للمشروع],0)</f>
        <v>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مخطط الإنتهاء من التوقيعات و الرفع لمعاملة السحب بتاريخ 18/10/2026 م</v>
      </c>
      <c r="X2" s="568" t="s">
        <v>576</v>
      </c>
      <c r="Y2" s="934" t="str">
        <f>_xlfn.XLOOKUP(B2,Table4[PO],Table4[التاريخ المتوقع للتعثر- متوسط نسب انجاز],0)</f>
        <v>متعثر</v>
      </c>
      <c r="AC2" s="643"/>
    </row>
    <row r="3" spans="1:29" s="645" customFormat="1" ht="237.6">
      <c r="A3" s="931">
        <f>SUBTOTAL(3,$D$2:D3)</f>
        <v>2</v>
      </c>
      <c r="B3" s="520">
        <v>901240123</v>
      </c>
      <c r="C3" s="478" t="str">
        <f>_xlfn.XLOOKUP(B3,Table4[PO],Table4[اسم المشروع],0)</f>
        <v>استكمال مشروع شبكات الصرف الصحي والتوصيلات المنزلية بينبع</v>
      </c>
      <c r="D3" s="478" t="str">
        <f>_xlfn.XLOOKUP(B3,Table4[PO],Table4[[المقاول ]],0)</f>
        <v>مؤسسة إبراهيم عتيق الفزي للمقاولات</v>
      </c>
      <c r="E3" s="503">
        <f>_xlfn.XLOOKUP(B3,Table4[PO],Table4[قيمة المشروع بالضريبة],0)</f>
        <v>25.748422260000002</v>
      </c>
      <c r="F3" s="689">
        <f>_xlfn.XLOOKUP(B3,Table4[PO],Table4[بداية المشروع التعاقدية],0)</f>
        <v>45522</v>
      </c>
      <c r="G3" s="689">
        <f>_xlfn.XLOOKUP(B3,Table4[PO],Table4[نهاية المشروع المعدلة PMO LIVE],0)</f>
        <v>46322</v>
      </c>
      <c r="H3" s="690"/>
      <c r="I3" s="690"/>
      <c r="J3" s="502">
        <f>_xlfn.XLOOKUP(B3,Table4[PO],Table4[المخطط % التراكمي],0)</f>
        <v>0.83089999999999997</v>
      </c>
      <c r="K3" s="502">
        <f>_xlfn.XLOOKUP(B3,Table4[PO],Table4[المنفذ % التراكمي],0)</f>
        <v>0.2777</v>
      </c>
      <c r="L3" s="606">
        <f t="shared" si="0"/>
        <v>-0.55319999999999991</v>
      </c>
      <c r="M3" s="503" t="str">
        <f>_xlfn.XLOOKUP(B3,Table4[PO],Table4[حالة المشروع],0)</f>
        <v>متعثر</v>
      </c>
      <c r="N3" s="691">
        <f>_xlfn.XLOOKUP(B3,Table4[PO],Table4[نسبة المخطط التراكمي حتى 31 اكتوبر 2026],0)</f>
        <v>0.9999999991067412</v>
      </c>
      <c r="O3" s="692">
        <f>_xlfn.XLOOKUP(B3,Table4[PO],Table4[النسبة المطلوب زيادتها في اكتوبر 2026 للإنتظام],0)</f>
        <v>0.62329999910674116</v>
      </c>
      <c r="P3" s="693">
        <f t="shared" si="1"/>
        <v>46382</v>
      </c>
      <c r="Q3" s="502">
        <f>_xlfn.XLOOKUP(B3,Table4[PO],Table4[نسبة المدة المنقضية %],0)</f>
        <v>0.98499999999999999</v>
      </c>
      <c r="R3" s="694" t="s">
        <v>621</v>
      </c>
      <c r="S3" s="695" t="s">
        <v>685</v>
      </c>
      <c r="T3" s="671" t="str">
        <f>_xlfn.XLOOKUP(B3,Table4[PO],Table4[ملخص خطة المعالجة],0)</f>
        <v>1. معاملة إنهاء التعاقد</v>
      </c>
      <c r="U3" s="538" t="str">
        <f>_xlfn.XLOOKUP(B3,Table4[PO],Table4[الإجراء الفني الحالي],0)</f>
        <v xml:space="preserve">1. تم تقديم طلب التشغيل التجريبي بتاريخ 06/10/2026 وتم ارسال دعوة لتسمية تشكيل اللجنة وذلك لبدء الاستلام الجزئي لمنطقة ينبع النخيل 
2. تم الاجتماع مع المقاول والاستشاري  بتاريخ 11/10/2026  بسرعة الانتهاء من أعمال السفلتة وتسليم المختبر لعدد 6 تصاريح مفتوحة متأخرة خلال اسبوعين
 </v>
      </c>
      <c r="V3" s="538" t="str">
        <f>_xlfn.XLOOKUP(B3,Table4[PO],Table4[الإجراءات الإدارية للمشاريع],0)</f>
        <v>1. معاملة إنهاء العقد من الطرف الأول</v>
      </c>
      <c r="W3" s="538" t="str">
        <f>_xlfn.XLOOKUP(B3,Table4[PO],Table4[اخر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مخطط طلب استشارة قانونية بتاريخ 18/10/2026 م  بخصوص انهاء التعاقد</v>
      </c>
      <c r="X3" s="696" t="s">
        <v>101</v>
      </c>
      <c r="Y3" s="933" t="str">
        <f>_xlfn.XLOOKUP(B3,Table4[PO],Table4[التاريخ المتوقع للتعثر- متوسط نسب انجاز],0)</f>
        <v>متعثر</v>
      </c>
    </row>
    <row r="4" spans="1:29" s="518" customFormat="1" ht="237.6">
      <c r="A4" s="932">
        <f>SUBTOTAL(3,$D$2:D4)</f>
        <v>3</v>
      </c>
      <c r="B4" s="530">
        <v>901230253</v>
      </c>
      <c r="C4" s="479" t="str">
        <f>_xlfn.XLOOKUP(B4,Table4[PO],Table4[اسم المشروع],0)</f>
        <v xml:space="preserve">إحلال شبكات وخطوط مياه بمدينة ينبع </v>
      </c>
      <c r="D4" s="479" t="str">
        <f>_xlfn.XLOOKUP(B4,Table4[PO],Table4[[المقاول ]],0)</f>
        <v>شبكة الإنشاء للمقاولات</v>
      </c>
      <c r="E4" s="499">
        <f>_xlfn.XLOOKUP(B4,Table4[PO],Table4[قيمة المشروع بالضريبة],0)</f>
        <v>26.810392749999998</v>
      </c>
      <c r="F4" s="571">
        <f>_xlfn.XLOOKUP(B4,Table4[PO],Table4[بداية المشروع التعاقدية],0)</f>
        <v>45316</v>
      </c>
      <c r="G4" s="571">
        <f>_xlfn.XLOOKUP(B4,Table4[PO],Table4[نهاية المشروع المعدلة PMO LIVE],0)</f>
        <v>46379</v>
      </c>
      <c r="H4" s="569">
        <f>_xlfn.XLOOKUP(B4,Table1[PO],Table1[نسبة الإيقاف%],0)</f>
        <v>0</v>
      </c>
      <c r="I4" s="569">
        <f>_xlfn.XLOOKUP(B4,Table1[PO],Table1[المنفذ % - الإسبوع السابق],0)</f>
        <v>0.2102</v>
      </c>
      <c r="J4" s="498">
        <f>_xlfn.XLOOKUP(B4,Table4[PO],Table4[المخطط % التراكمي],0)</f>
        <v>0.64480000000000004</v>
      </c>
      <c r="K4" s="498">
        <f>_xlfn.XLOOKUP(B4,Table4[PO],Table4[المنفذ % التراكمي],0)</f>
        <v>0.2102</v>
      </c>
      <c r="L4" s="580">
        <f t="shared" si="0"/>
        <v>-0.43460000000000004</v>
      </c>
      <c r="M4" s="499" t="str">
        <f>_xlfn.XLOOKUP(B4,Table4[PO],Table4[حالة المشروع],0)</f>
        <v>متعثر</v>
      </c>
      <c r="N4" s="544">
        <f>_xlfn.XLOOKUP(B4,Table4[PO],Table4[نسبة المخطط التراكمي حتى 31 اكتوبر 2026],0)</f>
        <v>0.67958688109856202</v>
      </c>
      <c r="O4" s="570">
        <f>_xlfn.XLOOKUP(B4,Table4[PO],Table4[النسبة المطلوب زيادتها في اكتوبر 2026 للإنتظام],0)</f>
        <v>0.37038688109856205</v>
      </c>
      <c r="P4" s="576">
        <f t="shared" si="1"/>
        <v>46439</v>
      </c>
      <c r="Q4" s="498">
        <f>_xlfn.XLOOKUP(B4,Table4[PO],Table4[نسبة المدة المنقضية %],0)</f>
        <v>0.93508936970837253</v>
      </c>
      <c r="R4" s="587" t="s">
        <v>621</v>
      </c>
      <c r="S4" s="589" t="s">
        <v>627</v>
      </c>
      <c r="T4" s="672" t="str">
        <f>_xlfn.XLOOKUP(B4,Table4[PO],Table4[ملخص خطة المعالجة],0)</f>
        <v>1. معاملة استئناف الأعمال ثم انهاء التعاقد</v>
      </c>
      <c r="U4" s="534" t="str">
        <f>_xlfn.XLOOKUP(B4,Table4[PO],Table4[الإجراء الفني الحالي],0)</f>
        <v xml:space="preserve">1. تم بدء أعمال الأسفلت بتاريخ 12/10/2026 لعدد 3 تصاريح مفتوحة متأخرة وذلك للتمهيد لاتمام الاعمال و لاغلاق الرخص  </v>
      </c>
      <c r="V4" s="534" t="str">
        <f>_xlfn.XLOOKUP(B4,Table4[PO],Table4[الإجراءات الإدارية للمشاريع],0)</f>
        <v>1. معاملة استئناف الأعمال ثم إستكمال اجرءات سحب المشروع(انهاء التعاقد)</v>
      </c>
      <c r="W4" s="534" t="str">
        <f>_xlfn.XLOOKUP(B4,Table4[PO],Table4[اخر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مخطط الإنتهاء من التوقيعات و الرفع لمعاملة السحب بتاريخ 18/10/2026 م</v>
      </c>
      <c r="X4" s="571" t="s">
        <v>576</v>
      </c>
      <c r="Y4" s="935" t="str">
        <f>_xlfn.XLOOKUP(B4,Table4[PO],Table4[التاريخ المتوقع للتعثر- متوسط نسب انجاز],0)</f>
        <v>متعثر</v>
      </c>
    </row>
    <row r="5" spans="1:29" s="645" customFormat="1" ht="316.8">
      <c r="A5" s="931">
        <f>SUBTOTAL(3,$D$2:D5)</f>
        <v>4</v>
      </c>
      <c r="B5" s="520">
        <v>901240075</v>
      </c>
      <c r="C5" s="478" t="str">
        <f>_xlfn.XLOOKUP(B5,Table4[PO],Table4[اسم المشروع],0)</f>
        <v xml:space="preserve">استكمال تنفيذ خطوط وشبكات المياه بأحياء شرق المدينة المنورة والعاقول </v>
      </c>
      <c r="D5" s="478" t="str">
        <f>_xlfn.XLOOKUP(B5,Table4[PO],Table4[[المقاول ]],0)</f>
        <v>شركة دقة الابعاد للمقاولات</v>
      </c>
      <c r="E5" s="503">
        <f>_xlfn.XLOOKUP(B5,Table4[PO],Table4[قيمة المشروع بالضريبة],0)</f>
        <v>44.879296420000003</v>
      </c>
      <c r="F5" s="689">
        <f>_xlfn.XLOOKUP(B5,Table4[PO],Table4[بداية المشروع التعاقدية],0)</f>
        <v>45468</v>
      </c>
      <c r="G5" s="689">
        <f>_xlfn.XLOOKUP(B5,Table4[PO],Table4[نهاية المشروع المعدلة PMO LIVE],0)</f>
        <v>46480</v>
      </c>
      <c r="H5" s="690">
        <f>_xlfn.XLOOKUP(B5,Table1[PO],Table1[نسبة الإيقاف%],0)</f>
        <v>0.22550000000000001</v>
      </c>
      <c r="I5" s="690">
        <f>_xlfn.XLOOKUP(B5,Table1[PO],Table1[المنفذ % - الإسبوع السابق],0)</f>
        <v>0.13200000000000001</v>
      </c>
      <c r="J5" s="502">
        <f>_xlfn.XLOOKUP(B5,Table4[PO],Table4[المخطط % التراكمي],0)</f>
        <v>0.45739999999999997</v>
      </c>
      <c r="K5" s="502">
        <f>_xlfn.XLOOKUP(B5,Table4[PO],Table4[المنفذ % التراكمي],0)</f>
        <v>0.13200000000000001</v>
      </c>
      <c r="L5" s="606">
        <f t="shared" si="0"/>
        <v>-0.32539999999999997</v>
      </c>
      <c r="M5" s="503" t="str">
        <f>_xlfn.XLOOKUP(B5,Table4[PO],Table4[حالة المشروع],0)</f>
        <v>متعثر</v>
      </c>
      <c r="N5" s="691">
        <f>_xlfn.XLOOKUP(B5,Table4[PO],Table4[نسبة المخطط التراكمي حتى 31 اكتوبر 2026],0)</f>
        <v>0.49792576095422014</v>
      </c>
      <c r="O5" s="692">
        <f>_xlfn.XLOOKUP(B5,Table4[PO],Table4[النسبة المطلوب زيادتها في اكتوبر 2026 للإنتظام],0)</f>
        <v>0.26692576095422016</v>
      </c>
      <c r="P5" s="698">
        <f t="shared" si="1"/>
        <v>46540</v>
      </c>
      <c r="Q5" s="502">
        <f>_xlfn.XLOOKUP(B5,Table4[PO],Table4[نسبة المدة المنقضية %],0)</f>
        <v>0.83201581027667981</v>
      </c>
      <c r="R5" s="694" t="s">
        <v>683</v>
      </c>
      <c r="S5" s="695" t="s">
        <v>623</v>
      </c>
      <c r="T5" s="671" t="str">
        <f>_xlfn.XLOOKUP(B5,Table4[PO],Table4[ملخص خطة المعالجة],0)</f>
        <v>1. معاملة تخفيض الاعمال ثم انهاء التعاقد</v>
      </c>
      <c r="U5" s="538" t="str">
        <f>_xlfn.XLOOKUP(B5,Table4[PO],Table4[الإجراء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V5" s="538" t="str">
        <f>_xlfn.XLOOKUP(B5,Table4[PO],Table4[الإجراءات الإدارية للمشاريع],0)</f>
        <v>1.معاملة جدول كميات معدل (تخفيض)
2. إستكمال اجرءات سحب المشروع (انهاء التعاقد)</v>
      </c>
      <c r="W5" s="538" t="str">
        <f>_xlfn.XLOOKUP(B5,Table4[PO],Table4[اخر تحديث الإجراء الإداري الحالي للمشروع],0)</f>
        <v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مخطط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v>
      </c>
      <c r="X5" s="696" t="s">
        <v>601</v>
      </c>
      <c r="Y5" s="933" t="str">
        <f>_xlfn.XLOOKUP(B5,Table4[PO],Table4[التاريخ المتوقع للتعثر- متوسط نسب انجاز],0)</f>
        <v>متعثر</v>
      </c>
    </row>
    <row r="6" spans="1:29" s="353" customFormat="1" ht="217.8">
      <c r="A6" s="932">
        <f>SUBTOTAL(3,$D$2:D6)</f>
        <v>5</v>
      </c>
      <c r="B6" s="530">
        <v>901250275</v>
      </c>
      <c r="C6" s="479" t="str">
        <f>_xlfn.XLOOKUP(B6,Table4[PO],Table4[اسم المشروع],0)</f>
        <v>استكمال تنفيذ الخطوط الرئيسية وشبكات الصرف الصحي بأحياء شوران</v>
      </c>
      <c r="D6" s="479" t="str">
        <f>_xlfn.XLOOKUP(B6,Table4[PO],Table4[[المقاول ]],0)</f>
        <v>شركة عوده مبارك البلادي و أبنائه للمقاولات المحدودة</v>
      </c>
      <c r="E6" s="499">
        <f>_xlfn.XLOOKUP(B6,Table4[PO],Table4[قيمة المشروع بالضريبة],0)</f>
        <v>11.961405880000001</v>
      </c>
      <c r="F6" s="571">
        <f>_xlfn.XLOOKUP(B6,Table4[PO],Table4[بداية المشروع التعاقدية],0)</f>
        <v>45979</v>
      </c>
      <c r="G6" s="571">
        <f>_xlfn.XLOOKUP(B6,Table4[PO],Table4[نهاية المشروع المعدلة PMO LIVE],0)</f>
        <v>46524</v>
      </c>
      <c r="H6" s="569">
        <f>_xlfn.XLOOKUP(B6,Table1[PO],Table1[نسبة الإيقاف%],0)</f>
        <v>4.3999999999999997E-2</v>
      </c>
      <c r="I6" s="569">
        <f>_xlfn.XLOOKUP(B6,Table1[PO],Table1[المنفذ % - الإسبوع السابق],0)</f>
        <v>7.51E-2</v>
      </c>
      <c r="J6" s="498">
        <f>_xlfn.XLOOKUP(B6,Table4[PO],Table4[المخطط % التراكمي],0)</f>
        <v>0.41210000000000002</v>
      </c>
      <c r="K6" s="498">
        <f>_xlfn.XLOOKUP(B6,Table4[PO],Table4[المنفذ % التراكمي],0)</f>
        <v>7.51E-2</v>
      </c>
      <c r="L6" s="580">
        <f t="shared" si="0"/>
        <v>-0.33700000000000002</v>
      </c>
      <c r="M6" s="499" t="str">
        <f>_xlfn.XLOOKUP(B6,Table4[PO],Table4[حالة المشروع],0)</f>
        <v>متعثر</v>
      </c>
      <c r="N6" s="544">
        <f>_xlfn.XLOOKUP(B6,Table4[PO],Table4[نسبة المخطط التراكمي حتى 31 اكتوبر 2026],0)</f>
        <v>0.46285180516040303</v>
      </c>
      <c r="O6" s="570">
        <f>_xlfn.XLOOKUP(B6,Table4[PO],Table4[النسبة المطلوب زيادتها في اكتوبر 2026 للإنتظام],0)</f>
        <v>0.28875180516040305</v>
      </c>
      <c r="P6" s="576">
        <f t="shared" si="1"/>
        <v>46584</v>
      </c>
      <c r="Q6" s="498">
        <f>_xlfn.XLOOKUP(B6,Table4[PO],Table4[نسبة المدة المنقضية %],0)</f>
        <v>0.60733944954128438</v>
      </c>
      <c r="R6" s="697" t="s">
        <v>621</v>
      </c>
      <c r="S6" s="589" t="s">
        <v>634</v>
      </c>
      <c r="T6" s="672" t="str">
        <f>_xlfn.XLOOKUP(B6,Table4[PO],Table4[ملخص خطة المعالجة],0)</f>
        <v>1. استئناف الاعمال الموقوفة جزئيا بنسبة 4.42%
2.استكمال اجراءات السحب (انهاء التعاقد)</v>
      </c>
      <c r="U6" s="534" t="str">
        <f>_xlfn.XLOOKUP(B6,Table4[PO],Table4[الإجراء الفني الحالي],0)</f>
        <v>1. طلب المقاول فسخ  العقد بسبب عدم التعويض عن تأهيل الاعمال المسحوبه و التعويض عن كميات الاسفلت
2. تم الاجتماع مع مالك الشركة بتاريخ 09/09/2026م، حيث أفاد بعدم البدء في أعمال جديدة أو إصدار تصاريح إضافية لحين البت في مطالباته المتعلقة بتعويض أعمال تأهيل المشروع المسحوب، وكميات الأسفلت الإضافية، واستكمال نطاق الأعمال
3. تم طلب مالك الشركه لاجتماع بشركه المياه الوطنيه بتاريخ 06/10/2026 ولم يستجيب المقاول 
4. تم طلب مالك شركه المقاول في اجتماع اخر بتاريخ  14/10/2026 و لا يوجد استجابه من المقاول حتي الان   
5. يتم اعمال الحفر و التمديد بعدد 2 تصريح  و النتهاء بنهايه شهراكتوبر 2026</v>
      </c>
      <c r="V6" s="534" t="str">
        <f>_xlfn.XLOOKUP(B6,Table4[PO],Table4[الإجراءات الإدارية للمشاريع],0)</f>
        <v>1. استئناف الاعمال الموقوفة جزئيا بنسبة 4.4%
2. استكمال اجراءات السحب (انهاء التعاقد)</v>
      </c>
      <c r="W6" s="534" t="str">
        <f>_xlfn.XLOOKUP(B6,Table4[PO],Table4[اخر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v>
      </c>
      <c r="X6" s="571" t="s">
        <v>644</v>
      </c>
      <c r="Y6" s="935" t="str">
        <f>_xlfn.XLOOKUP(B6,Table4[PO],Table4[التاريخ المتوقع للتعثر- متوسط نسب انجاز],0)</f>
        <v>متعثر</v>
      </c>
    </row>
    <row r="7" spans="1:29" s="700" customFormat="1" ht="198">
      <c r="A7" s="931">
        <f>SUBTOTAL(3,$D$2:D7)</f>
        <v>6</v>
      </c>
      <c r="B7" s="520">
        <v>901240282</v>
      </c>
      <c r="C7" s="478" t="str">
        <f>_xlfn.XLOOKUP(B7,Table4[PO],Table4[اسم المشروع],0)</f>
        <v>مشروع استبدال خطوط وشبكات المياه المتهالكة بالمدينة المنورة</v>
      </c>
      <c r="D7" s="478" t="str">
        <f>_xlfn.XLOOKUP(B7,Table4[PO],Table4[[المقاول ]],0)</f>
        <v>شركة ثروات المجد للمقاولات العامة</v>
      </c>
      <c r="E7" s="503">
        <f>_xlfn.XLOOKUP(B7,Table4[PO],Table4[قيمة المشروع بالضريبة],0)</f>
        <v>26.5900125</v>
      </c>
      <c r="F7" s="689">
        <f>_xlfn.XLOOKUP(B7,Table4[PO],Table4[بداية المشروع التعاقدية],0)</f>
        <v>45648</v>
      </c>
      <c r="G7" s="689">
        <f>_xlfn.XLOOKUP(B7,Table4[PO],Table4[نهاية المشروع المعدلة PMO LIVE],0)</f>
        <v>47127</v>
      </c>
      <c r="H7" s="690">
        <f>_xlfn.XLOOKUP(B7,Table1[PO],Table1[نسبة الإيقاف%],0)</f>
        <v>0</v>
      </c>
      <c r="I7" s="690">
        <f>_xlfn.XLOOKUP(B7,Table1[PO],Table1[المنفذ % - الإسبوع السابق],0)</f>
        <v>3.1699999999999999E-2</v>
      </c>
      <c r="J7" s="502">
        <f>_xlfn.XLOOKUP(B7,Table4[PO],Table4[المخطط % التراكمي],0)</f>
        <v>0.11840000000000001</v>
      </c>
      <c r="K7" s="502">
        <f>_xlfn.XLOOKUP(B7,Table4[PO],Table4[المنفذ % التراكمي],0)</f>
        <v>3.1699999999999999E-2</v>
      </c>
      <c r="L7" s="606">
        <f t="shared" si="0"/>
        <v>-8.6699999999999999E-2</v>
      </c>
      <c r="M7" s="503" t="str">
        <f>_xlfn.XLOOKUP(B7,Table4[PO],Table4[حالة المشروع],0)</f>
        <v>منتظم</v>
      </c>
      <c r="N7" s="691">
        <f>_xlfn.XLOOKUP(B7,Table4[PO],Table4[نسبة المخطط التراكمي حتى 31 اكتوبر 2026],0)</f>
        <v>0.12165729881100813</v>
      </c>
      <c r="O7" s="692">
        <f>_xlfn.XLOOKUP(B7,Table4[PO],Table4[النسبة المطلوب زيادتها في اكتوبر 2026 للإنتظام],0)</f>
        <v>0</v>
      </c>
      <c r="P7" s="698">
        <f t="shared" si="1"/>
        <v>47187</v>
      </c>
      <c r="Q7" s="502">
        <f>_xlfn.XLOOKUP(B7,Table4[PO],Table4[نسبة المدة المنقضية %],0)</f>
        <v>0.44759972954699123</v>
      </c>
      <c r="R7" s="699" t="s">
        <v>751</v>
      </c>
      <c r="S7" s="695" t="s">
        <v>645</v>
      </c>
      <c r="T7" s="671" t="str">
        <f>_xlfn.XLOOKUP(B7,Table4[PO],Table4[ملخص خطة المعالجة],0)</f>
        <v>1. انهاء التعاقد</v>
      </c>
      <c r="U7" s="538" t="str">
        <f>_xlfn.XLOOKUP(B7,Table4[PO],Table4[الإجراء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V7" s="538" t="str">
        <f>_xlfn.XLOOKUP(B7,Table4[PO],Table4[الإجراءات الإدارية للمشاريع],0)</f>
        <v>1. اجرءات سحب المشروع (انهاء التعاقد)</v>
      </c>
      <c r="W7" s="538" t="str">
        <f>_xlfn.XLOOKUP(B7,Table4[PO],Table4[اخر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v>
      </c>
      <c r="X7" s="696" t="s">
        <v>101</v>
      </c>
      <c r="Y7" s="936">
        <f>_xlfn.XLOOKUP(B7,Table4[PO],Table4[التاريخ المتوقع للتأخر - متوسط نسب انجاز],0)</f>
        <v>46358</v>
      </c>
    </row>
    <row r="8" spans="1:29" s="353" customFormat="1" ht="39.6">
      <c r="A8" s="932">
        <f>SUBTOTAL(3,$D$2:D8)</f>
        <v>7</v>
      </c>
      <c r="B8" s="530">
        <v>601250198</v>
      </c>
      <c r="C8" s="479" t="str">
        <f>_xlfn.XLOOKUP(B8,Table4[PO],Table4[اسم المشروع],0)</f>
        <v>استكمال انشاء شبكات الصرف الصحي بالأحياء الجنوبية بمدينة ضبا</v>
      </c>
      <c r="D8" s="479" t="str">
        <f>_xlfn.XLOOKUP(B8,Table4[PO],Table4[[المقاول ]],0)</f>
        <v>شركة اثمار التشييد للبناء والمقاولات</v>
      </c>
      <c r="E8" s="499">
        <f>_xlfn.XLOOKUP(B8,Table4[PO],Table4[قيمة المشروع بالضريبة],0)</f>
        <v>33.339954030000001</v>
      </c>
      <c r="F8" s="571">
        <f>_xlfn.XLOOKUP(B8,Table4[PO],Table4[بداية المشروع التعاقدية],0)</f>
        <v>46014</v>
      </c>
      <c r="G8" s="571">
        <f>_xlfn.XLOOKUP(B8,Table4[PO],Table4[نهاية المشروع المعدلة PMO LIVE],0)</f>
        <v>46743</v>
      </c>
      <c r="H8" s="569">
        <f>_xlfn.XLOOKUP(B8,Table1[PO],Table1[نسبة الإيقاف%],0)</f>
        <v>0</v>
      </c>
      <c r="I8" s="569">
        <f>_xlfn.XLOOKUP(B8,Table1[PO],Table1[المنفذ % - الإسبوع السابق],0)</f>
        <v>0</v>
      </c>
      <c r="J8" s="498">
        <f>_xlfn.XLOOKUP(B8,Table4[PO],Table4[المخطط % التراكمي],0)</f>
        <v>5.8299999999999998E-2</v>
      </c>
      <c r="K8" s="498">
        <f>_xlfn.XLOOKUP(B8,Table4[PO],Table4[المنفذ % التراكمي],0)</f>
        <v>2.0000000000000001E-4</v>
      </c>
      <c r="L8" s="580">
        <f t="shared" si="0"/>
        <v>-5.8099999999999999E-2</v>
      </c>
      <c r="M8" s="499" t="str">
        <f>_xlfn.XLOOKUP(B8,Table4[PO],Table4[حالة المشروع],0)</f>
        <v>منتظم</v>
      </c>
      <c r="N8" s="544">
        <f>_xlfn.XLOOKUP(B8,Table4[PO],Table4[نسبة المخطط التراكمي حتى 31 اكتوبر 2026],0)</f>
        <v>6.2600000000000003E-2</v>
      </c>
      <c r="O8" s="570">
        <f>_xlfn.XLOOKUP(B8,Table4[PO],Table4[النسبة المطلوب زيادتها في اكتوبر 2026 للإنتظام],0)</f>
        <v>0</v>
      </c>
      <c r="P8" s="577">
        <f t="shared" si="1"/>
        <v>46803</v>
      </c>
      <c r="Q8" s="498">
        <f>_xlfn.XLOOKUP(B8,Table4[PO],Table4[نسبة المدة المنقضية %],0)</f>
        <v>0.40192043895747598</v>
      </c>
      <c r="R8" s="588" t="s">
        <v>621</v>
      </c>
      <c r="S8" s="589" t="s">
        <v>624</v>
      </c>
      <c r="T8" s="672" t="str">
        <f>_xlfn.XLOOKUP(B8,Table4[PO],Table4[ملخص خطة المعالجة],0)</f>
        <v>لا يوجد</v>
      </c>
      <c r="U8" s="534" t="str">
        <f>_xlfn.XLOOKUP(B8,Table4[PO],Table4[الإجراء الفني الحالي],0)</f>
        <v>1. توجيه المقاول بعمل خطة اصدار تصاريح لتحقيق النسب المستهدفة و تعويض المدة الماضية بدون أعمال و تم تقديم الخطة بتاريخ 13/10/2026.</v>
      </c>
      <c r="V8" s="534" t="str">
        <f>_xlfn.XLOOKUP(B8,Table4[PO],Table4[الإجراءات الإدارية للمشاريع],0)</f>
        <v>لا يوجد</v>
      </c>
      <c r="W8" s="534" t="str">
        <f>_xlfn.XLOOKUP(B8,Table4[PO],Table4[اخر تحديث الإجراء الإداري الحالي للمشروع],0)</f>
        <v>لا يوجد</v>
      </c>
      <c r="X8" s="568" t="s">
        <v>591</v>
      </c>
      <c r="Y8" s="935">
        <f>_xlfn.XLOOKUP(B8,Table4[PO],Table4[التاريخ المتوقع للتأخر - متوسط نسب انجاز],0)</f>
        <v>46361</v>
      </c>
    </row>
    <row r="9" spans="1:29" s="700" customFormat="1" ht="96.6" customHeight="1">
      <c r="A9" s="931">
        <f>SUBTOTAL(3,$D$2:D9)</f>
        <v>8</v>
      </c>
      <c r="B9" s="520">
        <v>901240136</v>
      </c>
      <c r="C9" s="478" t="str">
        <f>_xlfn.XLOOKUP(B9,Table4[PO],Table4[اسم المشروع],0)</f>
        <v xml:space="preserve">مشروع خطوط وشبكات المياه بمنطقة شمال وشرق المدينة المنورة </v>
      </c>
      <c r="D9" s="478" t="str">
        <f>_xlfn.XLOOKUP(B9,Table4[PO],Table4[[المقاول ]],0)</f>
        <v xml:space="preserve">شركة كيان كاك المملكة </v>
      </c>
      <c r="E9" s="503">
        <f>_xlfn.XLOOKUP(B9,Table4[PO],Table4[قيمة المشروع بالضريبة],0)</f>
        <v>35.894604999999999</v>
      </c>
      <c r="F9" s="689">
        <f>_xlfn.XLOOKUP(B9,Table4[PO],Table4[بداية المشروع التعاقدية],0)</f>
        <v>45544</v>
      </c>
      <c r="G9" s="689">
        <f>_xlfn.XLOOKUP(B9,Table4[PO],Table4[نهاية المشروع المعدلة PMO LIVE],0)</f>
        <v>47074</v>
      </c>
      <c r="H9" s="690">
        <f>_xlfn.XLOOKUP(B9,Table1[PO],Table1[نسبة الإيقاف%],0)</f>
        <v>0</v>
      </c>
      <c r="I9" s="690">
        <f>_xlfn.XLOOKUP(B9,Table1[PO],Table1[المنفذ % - الإسبوع السابق],0)</f>
        <v>0.104</v>
      </c>
      <c r="J9" s="502">
        <f>_xlfn.XLOOKUP(B9,Table4[PO],Table4[المخطط % التراكمي],0)</f>
        <v>0.13020000000000001</v>
      </c>
      <c r="K9" s="502">
        <f>_xlfn.XLOOKUP(B9,Table4[PO],Table4[المنفذ % التراكمي],0)</f>
        <v>0.105</v>
      </c>
      <c r="L9" s="606">
        <f t="shared" si="0"/>
        <v>-2.5200000000000014E-2</v>
      </c>
      <c r="M9" s="503" t="str">
        <f>_xlfn.XLOOKUP(B9,Table4[PO],Table4[حالة المشروع],0)</f>
        <v>منتظم</v>
      </c>
      <c r="N9" s="691">
        <f>_xlfn.XLOOKUP(B9,Table4[PO],Table4[نسبة المخطط التراكمي حتى 31 اكتوبر 2026],0)</f>
        <v>0.13987447609466658</v>
      </c>
      <c r="O9" s="692">
        <f>_xlfn.XLOOKUP(B9,Table4[PO],Table4[النسبة المطلوب زيادتها في اكتوبر 2026 للإنتظام],0)</f>
        <v>0</v>
      </c>
      <c r="P9" s="698">
        <f t="shared" si="1"/>
        <v>47134</v>
      </c>
      <c r="Q9" s="502">
        <f>_xlfn.XLOOKUP(B9,Table4[PO],Table4[نسبة المدة المنقضية %],0)</f>
        <v>0.50065359477124183</v>
      </c>
      <c r="R9" s="694" t="s">
        <v>640</v>
      </c>
      <c r="S9" s="695" t="s">
        <v>752</v>
      </c>
      <c r="T9" s="671" t="str">
        <f>_xlfn.XLOOKUP(B9,Table4[PO],Table4[ملخص خطة المعالجة],0)</f>
        <v>لا يوجد</v>
      </c>
      <c r="U9" s="538" t="str">
        <f>_xlfn.XLOOKUP(B9,Table4[PO],Table4[الإجراء الفني الحالي],0)</f>
        <v>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3. تحفظ المقاول عن التعويض عن اسعار الاسفلت وطلب المقاول 50 ريال للمتر  وارسل الرد رسمياً لسلاسل الامداد 12/10/2026</v>
      </c>
      <c r="V9" s="538" t="str">
        <f>_xlfn.XLOOKUP(B9,Table4[PO],Table4[الإجراءات الإدارية للمشاريع],0)</f>
        <v>لا يوجد</v>
      </c>
      <c r="W9" s="538" t="str">
        <f>_xlfn.XLOOKUP(B9,Table4[PO],Table4[اخر تحديث الإجراء الإداري الحالي للمشروع],0)</f>
        <v>لا يوجد</v>
      </c>
      <c r="X9" s="696" t="s">
        <v>101</v>
      </c>
      <c r="Y9" s="933">
        <f>_xlfn.XLOOKUP(B9,Table4[PO],Table4[التاريخ المتوقع للتأخر - متوسط نسب انجاز],0)</f>
        <v>46517</v>
      </c>
    </row>
    <row r="10" spans="1:29" s="353" customFormat="1" ht="118.8">
      <c r="A10" s="932">
        <f>SUBTOTAL(3,$D$2:D10)</f>
        <v>9</v>
      </c>
      <c r="B10" s="530">
        <v>901250461</v>
      </c>
      <c r="C10" s="479" t="str">
        <f>_xlfn.XLOOKUP(B10,Table4[PO],Table4[اسم المشروع],0)</f>
        <v>مشروع انشاء شبكات مياه بمدائن صالح</v>
      </c>
      <c r="D10" s="479" t="str">
        <f>_xlfn.XLOOKUP(B10,Table4[PO],Table4[[المقاول ]],0)</f>
        <v>شركة ركن المواثيق للمقاولات شركة شخص واحد</v>
      </c>
      <c r="E10" s="499">
        <f>_xlfn.XLOOKUP(B10,Table4[PO],Table4[قيمة المشروع بالضريبة],0)</f>
        <v>21.792498850000001</v>
      </c>
      <c r="F10" s="571">
        <f>_xlfn.XLOOKUP(B10,Table4[PO],Table4[بداية المشروع التعاقدية],0)</f>
        <v>46097</v>
      </c>
      <c r="G10" s="571">
        <f>_xlfn.XLOOKUP(B10,Table4[PO],Table4[نهاية المشروع المعدلة PMO LIVE],0)</f>
        <v>46961</v>
      </c>
      <c r="H10" s="569">
        <f>_xlfn.XLOOKUP(B10,Table1[PO],Table1[نسبة الإيقاف%],0)</f>
        <v>0</v>
      </c>
      <c r="I10" s="569">
        <f>_xlfn.XLOOKUP(B10,Table1[PO],Table1[المنفذ % - الإسبوع السابق],0)</f>
        <v>1.3599999999999999E-2</v>
      </c>
      <c r="J10" s="498">
        <f>_xlfn.XLOOKUP(B10,Table4[PO],Table4[المخطط % التراكمي],0)</f>
        <v>5.4399999999999997E-2</v>
      </c>
      <c r="K10" s="498">
        <f>_xlfn.XLOOKUP(B10,Table4[PO],Table4[المنفذ % التراكمي],0)</f>
        <v>1.3599999999999999E-2</v>
      </c>
      <c r="L10" s="580">
        <f t="shared" si="0"/>
        <v>-4.0799999999999996E-2</v>
      </c>
      <c r="M10" s="499" t="str">
        <f>_xlfn.XLOOKUP(B10,Table4[PO],Table4[حالة المشروع],0)</f>
        <v>منتظم</v>
      </c>
      <c r="N10" s="544">
        <f>_xlfn.XLOOKUP(B10,Table4[PO],Table4[نسبة المخطط التراكمي حتى 31 اكتوبر 2026],0)</f>
        <v>5.8637047949184583E-2</v>
      </c>
      <c r="O10" s="570">
        <f>_xlfn.XLOOKUP(B10,Table4[PO],Table4[النسبة المطلوب زيادتها في اكتوبر 2026 للإنتظام],0)</f>
        <v>0</v>
      </c>
      <c r="P10" s="576">
        <f t="shared" si="1"/>
        <v>47021</v>
      </c>
      <c r="Q10" s="498">
        <f>_xlfn.XLOOKUP(B10,Table4[PO],Table4[نسبة المدة المنقضية %],0)</f>
        <v>0.24652777777777779</v>
      </c>
      <c r="R10" s="588" t="s">
        <v>621</v>
      </c>
      <c r="S10" s="589" t="s">
        <v>646</v>
      </c>
      <c r="T10" s="672" t="str">
        <f>_xlfn.XLOOKUP(B10,Table4[PO],Table4[ملخص خطة المعالجة],0)</f>
        <v>لا يوجد</v>
      </c>
      <c r="U10" s="534" t="str">
        <f>_xlfn.XLOOKUP(B10,Table4[PO],Table4[الإجراء الفني الحالي],0)</f>
        <v xml:space="preserve">1. تم رفع تصاريح للاعتماد بتاريخ 08/10/2026  للمسار المعدلة في حي العزيزية  
2. تم تلافي ملاحظات معاملة الايقاف الجزئي من قبل المقاول وتم اعادة تقديمها بتاريخ اليوم  13/10/2026   </v>
      </c>
      <c r="V10" s="534" t="str">
        <f>_xlfn.XLOOKUP(B10,Table4[PO],Table4[الإجراءات الإدارية للمشاريع],0)</f>
        <v>لا يوجد</v>
      </c>
      <c r="W10" s="534" t="str">
        <f>_xlfn.XLOOKUP(B10,Table4[PO],Table4[اخر تحديث الإجراء الإداري الحالي للمشروع],0)</f>
        <v>لا يوجد</v>
      </c>
      <c r="X10" s="568" t="s">
        <v>101</v>
      </c>
      <c r="Y10" s="935">
        <f>_xlfn.XLOOKUP(B10,Table4[PO],Table4[التاريخ المتوقع للتأخر - متوسط نسب انجاز],0)</f>
        <v>46645</v>
      </c>
    </row>
    <row r="11" spans="1:29" s="645" customFormat="1" ht="96.6" customHeight="1">
      <c r="A11" s="931">
        <f>SUBTOTAL(3,$D$2:D11)</f>
        <v>10</v>
      </c>
      <c r="B11" s="520">
        <v>901230177</v>
      </c>
      <c r="C11" s="520" t="str">
        <f>_xlfn.XLOOKUP(B11,Table4[PO],Table4[اسم المشروع],0)</f>
        <v xml:space="preserve">مشروع تنفيذ شبكات الصرف الصحي باحياء الجرف بالمدينة المنورة </v>
      </c>
      <c r="D11" s="478" t="str">
        <f>_xlfn.XLOOKUP(B11,Table4[PO],Table4[[المقاول ]],0)</f>
        <v>شركة البنايات العربية</v>
      </c>
      <c r="E11" s="503">
        <f>_xlfn.XLOOKUP(B11,Table4[PO],Table4[قيمة المشروع بالضريبة],0)</f>
        <v>78.223592249999996</v>
      </c>
      <c r="F11" s="689">
        <f>_xlfn.XLOOKUP(B11,Table4[PO],Table4[بداية المشروع التعاقدية],0)</f>
        <v>45224</v>
      </c>
      <c r="G11" s="689">
        <f>_xlfn.XLOOKUP(B11,Table4[PO],Table4[نهاية المشروع المعدلة PMO LIVE],0)</f>
        <v>46730</v>
      </c>
      <c r="H11" s="690">
        <f>_xlfn.XLOOKUP(B11,Table1[PO],Table1[نسبة الإيقاف%],0)</f>
        <v>0.18</v>
      </c>
      <c r="I11" s="690">
        <f>_xlfn.XLOOKUP(B11,Table1[PO],Table1[المنفذ % - الإسبوع السابق],0)</f>
        <v>0.22500000000000001</v>
      </c>
      <c r="J11" s="502">
        <f>_xlfn.XLOOKUP(B11,Table4[PO],Table4[المخطط % التراكمي],0)</f>
        <v>0.30149999999999999</v>
      </c>
      <c r="K11" s="502">
        <f>_xlfn.XLOOKUP(B11,Table4[PO],Table4[المنفذ % التراكمي],0)</f>
        <v>0.22500000000000001</v>
      </c>
      <c r="L11" s="606">
        <f t="shared" si="0"/>
        <v>-7.6499999999999985E-2</v>
      </c>
      <c r="M11" s="503" t="str">
        <f>_xlfn.XLOOKUP(B11,Table4[PO],Table4[حالة المشروع],0)</f>
        <v>منتظم</v>
      </c>
      <c r="N11" s="691">
        <f>_xlfn.XLOOKUP(B11,Table4[PO],Table4[نسبة المخطط التراكمي حتى 31 اكتوبر 2026],0)</f>
        <v>0.30563448478659211</v>
      </c>
      <c r="O11" s="692">
        <f>_xlfn.XLOOKUP(B11,Table4[PO],Table4[النسبة المطلوب زيادتها في اكتوبر 2026 للإنتظام],0)</f>
        <v>0</v>
      </c>
      <c r="P11" s="698">
        <f t="shared" si="1"/>
        <v>46790</v>
      </c>
      <c r="Q11" s="502">
        <f>_xlfn.XLOOKUP(B11,Table4[PO],Table4[نسبة المدة المنقضية %],0)</f>
        <v>0.7211155378486056</v>
      </c>
      <c r="R11" s="694" t="s">
        <v>858</v>
      </c>
      <c r="S11" s="969" t="s">
        <v>753</v>
      </c>
      <c r="T11" s="671" t="str">
        <f>_xlfn.XLOOKUP(B11,Table4[PO],Table4[ملخص خطة المعالجة],0)</f>
        <v>لا يوجد</v>
      </c>
      <c r="U11" s="538" t="str">
        <f>_xlfn.XLOOKUP(B11,Table4[PO],Table4[الإجراء الفني الحالي],0)</f>
        <v xml:space="preserve">.1 تم رفع اغلاق للتصريح المتأخر علي النظام 
2. تم رفع تصريح شبكيه خط ال500 علي الخط القائم قطر 1200 بتاريخ 12/10/2026 مما يخدم  خطه الحج و الاستلام الجزئي  لحي النخيل </v>
      </c>
      <c r="V11" s="538" t="str">
        <f>_xlfn.XLOOKUP(B11,Table4[PO],Table4[الإجراءات الإدارية للمشاريع],0)</f>
        <v>لا يوجد</v>
      </c>
      <c r="W11" s="538" t="str">
        <f>_xlfn.XLOOKUP(B11,Table4[PO],Table4[اخر تحديث الإجراء الإداري الحالي للمشروع],0)</f>
        <v>لا يوجد</v>
      </c>
      <c r="X11" s="696" t="s">
        <v>101</v>
      </c>
      <c r="Y11" s="933">
        <f>_xlfn.XLOOKUP(B11,Table4[PO],Table4[التاريخ المتوقع للتأخر - متوسط نسب انجاز],0)</f>
        <v>46392</v>
      </c>
    </row>
    <row r="12" spans="1:29" s="518" customFormat="1" ht="181.8" customHeight="1">
      <c r="A12" s="932">
        <f>SUBTOTAL(3,$D$2:D12)</f>
        <v>11</v>
      </c>
      <c r="B12" s="530">
        <v>901250436</v>
      </c>
      <c r="C12" s="479" t="str">
        <f>_xlfn.XLOOKUP(B12,Table4[PO],Table4[اسم المشروع],0)</f>
        <v>تنفيذ خط مياه رئيسي وخزان وشبكة توزيع رئيسية لوادي الريم وقراها</v>
      </c>
      <c r="D12" s="479" t="str">
        <f>_xlfn.XLOOKUP(B12,Table4[PO],Table4[[المقاول ]],0)</f>
        <v>شركة أعمال متكاملة للمقاولات</v>
      </c>
      <c r="E12" s="499">
        <f>_xlfn.XLOOKUP(B12,Table4[PO],Table4[قيمة المشروع بالضريبة],0)</f>
        <v>58.775973299999997</v>
      </c>
      <c r="F12" s="571">
        <f>_xlfn.XLOOKUP(B12,Table4[PO],Table4[بداية المشروع التعاقدية],0)</f>
        <v>46033</v>
      </c>
      <c r="G12" s="571">
        <f>_xlfn.XLOOKUP(B12,Table4[PO],Table4[نهاية المشروع المعدلة PMO LIVE],0)</f>
        <v>46995</v>
      </c>
      <c r="H12" s="569">
        <f>_xlfn.XLOOKUP(B12,Table1[PO],Table1[نسبة الإيقاف%],0)</f>
        <v>0</v>
      </c>
      <c r="I12" s="569">
        <f>_xlfn.XLOOKUP(B12,Table1[PO],Table1[المنفذ % - الإسبوع السابق],0)</f>
        <v>0</v>
      </c>
      <c r="J12" s="498">
        <f>_xlfn.XLOOKUP(B12,Table4[PO],Table4[المخطط % التراكمي],0)</f>
        <v>1.8700000000000001E-2</v>
      </c>
      <c r="K12" s="498">
        <f>_xlfn.XLOOKUP(B12,Table4[PO],Table4[المنفذ % التراكمي],0)</f>
        <v>0</v>
      </c>
      <c r="L12" s="580">
        <f t="shared" si="0"/>
        <v>-1.8700000000000001E-2</v>
      </c>
      <c r="M12" s="499" t="str">
        <f>_xlfn.XLOOKUP(B12,Table4[PO],Table4[حالة المشروع],0)</f>
        <v>ايقاف كلي</v>
      </c>
      <c r="N12" s="544">
        <f>_xlfn.XLOOKUP(B12,Table4[PO],Table4[نسبة المخطط التراكمي حتى 31 اكتوبر 2026],0)</f>
        <v>4.2105400787978108E-2</v>
      </c>
      <c r="O12" s="570">
        <f>_xlfn.XLOOKUP(B12,Table4[PO],Table4[النسبة المطلوب زيادتها في اكتوبر 2026 للإنتظام],0)</f>
        <v>0</v>
      </c>
      <c r="P12" s="577">
        <f t="shared" si="1"/>
        <v>47055</v>
      </c>
      <c r="Q12" s="498">
        <f>_xlfn.XLOOKUP(B12,Table4[PO],Table4[نسبة المدة المنقضية %],0)</f>
        <v>0.28794178794178793</v>
      </c>
      <c r="R12" s="588" t="s">
        <v>621</v>
      </c>
      <c r="S12" s="589" t="s">
        <v>859</v>
      </c>
      <c r="T12" s="672" t="str">
        <f>_xlfn.XLOOKUP(B12,Table4[PO],Table4[ملخص خطة المعالجة],0)</f>
        <v>1.معاملة تغيير نطاق العقد وجدول الكميات المعدل رقم (1)</v>
      </c>
      <c r="U12" s="534" t="str">
        <f>_xlfn.XLOOKUP(B12,Table4[PO],Table4[الإجراء الفني الحالي],0)</f>
        <v>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v>
      </c>
      <c r="V12" s="534" t="str">
        <f>_xlfn.XLOOKUP(B12,Table4[PO],Table4[الإجراءات الإدارية للمشاريع],0)</f>
        <v>1.معاملة تغيير نطاق العقد وجدول الكميات المعدل رقم (1)</v>
      </c>
      <c r="W12" s="534" t="str">
        <f>_xlfn.XLOOKUP(B12,Table4[PO],Table4[اخر تحديث الإجراء الإداري الحالي للمشروع],0)</f>
        <v>لا يوجد</v>
      </c>
      <c r="X12" s="568" t="s">
        <v>101</v>
      </c>
      <c r="Y12" s="935">
        <f>_xlfn.XLOOKUP(B12,Table4[PO],Table4[التاريخ المتوقع للتأخر - متوسط نسب انجاز],0)</f>
        <v>46402</v>
      </c>
    </row>
    <row r="13" spans="1:29" s="645" customFormat="1" ht="257.39999999999998">
      <c r="A13" s="931">
        <f>SUBTOTAL(3,$D$2:D13)</f>
        <v>12</v>
      </c>
      <c r="B13" s="520">
        <v>901240327</v>
      </c>
      <c r="C13" s="478" t="str">
        <f>_xlfn.XLOOKUP(B13,Table4[PO],Table4[اسم المشروع],0)</f>
        <v>مشروع إستكمال تنفيذ الخطوط الرئيسية والشبكات الفرعية لمخططات شوران ( المرحلة الثانية )</v>
      </c>
      <c r="D13" s="478" t="str">
        <f>_xlfn.XLOOKUP(B13,Table4[PO],Table4[[المقاول ]],0)</f>
        <v xml:space="preserve">شركه أفاق الدولية </v>
      </c>
      <c r="E13" s="503">
        <f>_xlfn.XLOOKUP(B13,Table4[PO],Table4[قيمة المشروع بالضريبة],0)</f>
        <v>15.456482429999999</v>
      </c>
      <c r="F13" s="689">
        <f>_xlfn.XLOOKUP(B13,Table4[PO],Table4[بداية المشروع التعاقدية],0)</f>
        <v>45753</v>
      </c>
      <c r="G13" s="689">
        <f>_xlfn.XLOOKUP(B13,Table4[PO],Table4[نهاية المشروع المعدلة PMO LIVE],0)</f>
        <v>46866</v>
      </c>
      <c r="H13" s="690">
        <f>_xlfn.XLOOKUP(B13,Table1[PO],Table1[نسبة الإيقاف%],0)</f>
        <v>0</v>
      </c>
      <c r="I13" s="690">
        <f>_xlfn.XLOOKUP(B13,Table1[PO],Table1[المنفذ % - الإسبوع السابق],0)</f>
        <v>7.0000000000000007E-2</v>
      </c>
      <c r="J13" s="502">
        <f>_xlfn.XLOOKUP(B13,Table4[PO],Table4[المخطط % التراكمي],0)</f>
        <v>0.1045</v>
      </c>
      <c r="K13" s="502">
        <f>_xlfn.XLOOKUP(B13,Table4[PO],Table4[المنفذ % التراكمي],0)</f>
        <v>7.0000000000000007E-2</v>
      </c>
      <c r="L13" s="606">
        <f t="shared" si="0"/>
        <v>-3.4499999999999989E-2</v>
      </c>
      <c r="M13" s="503" t="str">
        <f>_xlfn.XLOOKUP(B13,Table4[PO],Table4[حالة المشروع],0)</f>
        <v>منتظم</v>
      </c>
      <c r="N13" s="691">
        <f>_xlfn.XLOOKUP(B13,Table4[PO],Table4[نسبة المخطط التراكمي حتى 31 اكتوبر 2026],0)</f>
        <v>0.12158999681921717</v>
      </c>
      <c r="O13" s="692">
        <f>_xlfn.XLOOKUP(B13,Table4[PO],Table4[النسبة المطلوب زيادتها في اكتوبر 2026 للإنتظام],0)</f>
        <v>0</v>
      </c>
      <c r="P13" s="698">
        <f t="shared" si="1"/>
        <v>46926</v>
      </c>
      <c r="Q13" s="502">
        <f>_xlfn.XLOOKUP(B13,Table4[PO],Table4[نسبة المدة المنقضية %],0)</f>
        <v>0.50044923629829285</v>
      </c>
      <c r="R13" s="694" t="s">
        <v>857</v>
      </c>
      <c r="S13" s="695" t="s">
        <v>754</v>
      </c>
      <c r="T13" s="671" t="str">
        <f>_xlfn.XLOOKUP(B13,Table4[PO],Table4[ملخص خطة المعالجة],0)</f>
        <v>1. انهاء التعاقد</v>
      </c>
      <c r="U13" s="538" t="str">
        <f>_xlfn.XLOOKUP(B13,Table4[PO],Table4[الإجراء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V13" s="538" t="str">
        <f>_xlfn.XLOOKUP(B13,Table4[PO],Table4[الإجراءات الإدارية للمشاريع],0)</f>
        <v>1. إستكمال اجرءات سحب المشروع (انهاء التعاقد)</v>
      </c>
      <c r="W13" s="538" t="str">
        <f>_xlfn.XLOOKUP(B13,Table4[PO],Table4[اخر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X13" s="689" t="s">
        <v>576</v>
      </c>
      <c r="Y13" s="936">
        <f>_xlfn.XLOOKUP(B13,Table4[PO],Table4[التاريخ المتوقع للتأخر - متوسط نسب انجاز],0)</f>
        <v>46366</v>
      </c>
    </row>
    <row r="14" spans="1:29" s="518" customFormat="1" ht="96.6" customHeight="1">
      <c r="A14" s="932">
        <f>SUBTOTAL(3,$D$2:D14)</f>
        <v>13</v>
      </c>
      <c r="B14" s="530">
        <v>901250253</v>
      </c>
      <c r="C14" s="479" t="str">
        <f>_xlfn.XLOOKUP(B14,Table4[PO],Table4[اسم المشروع],0)</f>
        <v>ترحيل خطوط وتنفيذ شبكات بمناطق متفرقة (المرحلة الاولى)</v>
      </c>
      <c r="D14" s="479" t="str">
        <f>_xlfn.XLOOKUP(B14,Table4[PO],Table4[[المقاول ]],0)</f>
        <v>شركة خالد سليم الأحمدي للمقاولات شركة شخص واحد</v>
      </c>
      <c r="E14" s="499">
        <f>_xlfn.XLOOKUP(B14,Table4[PO],Table4[قيمة المشروع بالضريبة],0)</f>
        <v>68.354965000000007</v>
      </c>
      <c r="F14" s="571">
        <f>_xlfn.XLOOKUP(B14,Table4[PO],Table4[بداية المشروع التعاقدية],0)</f>
        <v>45981</v>
      </c>
      <c r="G14" s="571">
        <f>_xlfn.XLOOKUP(B14,Table4[PO],Table4[نهاية المشروع المعدلة PMO LIVE],0)</f>
        <v>47307</v>
      </c>
      <c r="H14" s="569"/>
      <c r="I14" s="569"/>
      <c r="J14" s="498">
        <f>_xlfn.XLOOKUP(B14,Table4[PO],Table4[المخطط % التراكمي],0)</f>
        <v>3.6499999999999998E-2</v>
      </c>
      <c r="K14" s="498">
        <f>_xlfn.XLOOKUP(B14,Table4[PO],Table4[المنفذ % التراكمي],0)</f>
        <v>1.4E-2</v>
      </c>
      <c r="L14" s="580">
        <f t="shared" si="0"/>
        <v>-2.2499999999999999E-2</v>
      </c>
      <c r="M14" s="499" t="str">
        <f>_xlfn.XLOOKUP(B14,Table4[PO],Table4[حالة المشروع],0)</f>
        <v>منتظم</v>
      </c>
      <c r="N14" s="544">
        <f>_xlfn.XLOOKUP(B14,Table4[PO],Table4[نسبة المخطط التراكمي حتى 31 اكتوبر 2026],0)</f>
        <v>3.9389495311803004E-2</v>
      </c>
      <c r="O14" s="570">
        <f>_xlfn.XLOOKUP(B14,Table4[PO],Table4[النسبة المطلوب زيادتها في اكتوبر 2026 للإنتظام],0)</f>
        <v>0</v>
      </c>
      <c r="P14" s="577">
        <f t="shared" si="1"/>
        <v>47367</v>
      </c>
      <c r="Q14" s="498">
        <f>_xlfn.XLOOKUP(B14,Table4[PO],Table4[نسبة المدة المنقضية %],0)</f>
        <v>0.24811463046757165</v>
      </c>
      <c r="R14" s="587" t="s">
        <v>621</v>
      </c>
      <c r="S14" s="589" t="s">
        <v>628</v>
      </c>
      <c r="T14" s="672" t="str">
        <f>_xlfn.XLOOKUP(B14,Table4[PO],Table4[ملخص خطة المعالجة],0)</f>
        <v>لا يوجد</v>
      </c>
      <c r="U14" s="534" t="str">
        <f>_xlfn.XLOOKUP(B14,Table4[PO],Table4[الإجراء الفني الحالي],0)</f>
        <v xml:space="preserve">1.تم اعتماد المسار  لخط الطوارئ لتغذية مسجد قباء من هيئة التطوير بالمدينه بتاريخ 07/10/2026 
2. تم الانتهاء من اعمال الرفع المساحي للخط من قبل المقاول  يوم 08 /10/ 2026
3. تم تقديم خطة توريدات لخط الطوارئ لتغذية مسجد قباء  بتاريخ 13/10/2026  
4. تم البدء في العمل في خط 400 متر   قطر  160 مم  Line 7-30-b-01 المستهدف في خطة الاستلامات الجزئية لعام 2026 </v>
      </c>
      <c r="V14" s="534" t="str">
        <f>_xlfn.XLOOKUP(B14,Table4[PO],Table4[الإجراءات الإدارية للمشاريع],0)</f>
        <v>لا يوجد</v>
      </c>
      <c r="W14" s="534" t="str">
        <f>_xlfn.XLOOKUP(B14,Table4[PO],Table4[اخر تحديث الإجراء الإداري الحالي للمشروع],0)</f>
        <v>لا يوجد</v>
      </c>
      <c r="X14" s="568" t="s">
        <v>101</v>
      </c>
      <c r="Y14" s="935">
        <f>_xlfn.XLOOKUP(B14,Table4[PO],Table4[التاريخ المتوقع للتأخر - متوسط نسب انجاز],0)</f>
        <v>46685</v>
      </c>
    </row>
    <row r="15" spans="1:29" s="645" customFormat="1" ht="96.6" customHeight="1">
      <c r="A15" s="931">
        <f>SUBTOTAL(3,$D$2:D15)</f>
        <v>14</v>
      </c>
      <c r="B15" s="520">
        <v>901240105</v>
      </c>
      <c r="C15" s="478" t="str">
        <f>_xlfn.XLOOKUP(B15,Table4[PO],Table4[اسم المشروع],0)</f>
        <v xml:space="preserve">مشروع انشاء شبكات وخطوط الصرف الصحي بحي الأصيفرين بالمدينة المنورة </v>
      </c>
      <c r="D15" s="478" t="str">
        <f>_xlfn.XLOOKUP(B15,Table4[PO],Table4[[المقاول ]],0)</f>
        <v>مجموعة سعد على العيسى للمقاولات</v>
      </c>
      <c r="E15" s="503">
        <f>_xlfn.XLOOKUP(B15,Table4[PO],Table4[قيمة المشروع بالضريبة],0)</f>
        <v>63.665782499999999</v>
      </c>
      <c r="F15" s="689">
        <f>_xlfn.XLOOKUP(B15,Table4[PO],Table4[بداية المشروع التعاقدية],0)</f>
        <v>45490</v>
      </c>
      <c r="G15" s="689">
        <f>_xlfn.XLOOKUP(B15,Table4[PO],Table4[نهاية المشروع المعدلة PMO LIVE],0)</f>
        <v>47004</v>
      </c>
      <c r="H15" s="690">
        <f>_xlfn.XLOOKUP(B15,Table1[PO],Table1[نسبة الإيقاف%],0)</f>
        <v>0</v>
      </c>
      <c r="I15" s="690">
        <f>_xlfn.XLOOKUP(B15,Table1[PO],Table1[المنفذ % - الإسبوع السابق],0)</f>
        <v>0.15540000000000001</v>
      </c>
      <c r="J15" s="502">
        <f>_xlfn.XLOOKUP(B15,Table4[PO],Table4[المخطط % التراكمي],0)</f>
        <v>0.16259999999999999</v>
      </c>
      <c r="K15" s="502">
        <f>_xlfn.XLOOKUP(B15,Table4[PO],Table4[المنفذ % التراكمي],0)</f>
        <v>0.15620000000000001</v>
      </c>
      <c r="L15" s="606">
        <f t="shared" si="0"/>
        <v>-6.399999999999989E-3</v>
      </c>
      <c r="M15" s="503" t="str">
        <f>_xlfn.XLOOKUP(B15,Table4[PO],Table4[حالة المشروع],0)</f>
        <v>منتظم</v>
      </c>
      <c r="N15" s="691">
        <f>_xlfn.XLOOKUP(B15,Table4[PO],Table4[نسبة المخطط التراكمي حتى 31 اكتوبر 2026],0)</f>
        <v>0.16633175913607909</v>
      </c>
      <c r="O15" s="692">
        <f>_xlfn.XLOOKUP(B15,Table4[PO],Table4[النسبة المطلوب زيادتها في اكتوبر 2026 للإنتظام],0)</f>
        <v>0</v>
      </c>
      <c r="P15" s="698">
        <f t="shared" si="1"/>
        <v>47064</v>
      </c>
      <c r="Q15" s="502">
        <f>_xlfn.XLOOKUP(B15,Table4[PO],Table4[نسبة المدة المنقضية %],0)</f>
        <v>0.54161162483487446</v>
      </c>
      <c r="R15" s="694" t="s">
        <v>640</v>
      </c>
      <c r="S15" s="970" t="s">
        <v>626</v>
      </c>
      <c r="T15" s="671" t="str">
        <f>_xlfn.XLOOKUP(B15,Table4[PO],Table4[ملخص خطة المعالجة],0)</f>
        <v>لا يوجد</v>
      </c>
      <c r="U15" s="538" t="str">
        <f>_xlfn.XLOOKUP(B15,Table4[PO],Table4[الإجراء الفني الحالي],0)</f>
        <v>1.تم الاجتماع مع الاداره العليا للمقاول و مدير المشروع و مدير البرنامج بشركه المياه الوطنيه بتاريخ 04/10/2026  و تم التأكيد علي ضروره الالتزام  بأنهاء اعمال خطه خدمه موسم الحج و خطه الاستلامات الجزئيه و الشبكيات طبقا للتواريخ المستهدفه لكل خطه و استمرار اعمال التنفيذ و رفع نسب الانجاز 
2. تم رفض التصريح الثاني  لمبني الادلاء بتاريخ 11/10/2026 و تم اعاده الرفع بتاريخ اليوم 13/10/2026 بعد استيفاء متطلبات الامانه</v>
      </c>
      <c r="V15" s="538" t="str">
        <f>_xlfn.XLOOKUP(B15,Table4[PO],Table4[الإجراءات الإدارية للمشاريع],0)</f>
        <v>1. معاملة تمديد تأخر صرف مستخلصات  - معاملة مؤجلة</v>
      </c>
      <c r="W15" s="538" t="str">
        <f>_xlfn.XLOOKUP(B15,Table4[PO],Table4[اخر تحديث الإجراء الإداري الحالي للمشروع],0)</f>
        <v>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14/10/2026</v>
      </c>
      <c r="X15" s="696" t="s">
        <v>101</v>
      </c>
      <c r="Y15" s="933">
        <f>_xlfn.XLOOKUP(B15,Table4[PO],Table4[التاريخ المتوقع للتأخر - متوسط نسب انجاز],0)</f>
        <v>46487</v>
      </c>
    </row>
    <row r="16" spans="1:29" s="518" customFormat="1" ht="277.2">
      <c r="A16" s="932">
        <f>SUBTOTAL(3,$D$2:D16)</f>
        <v>15</v>
      </c>
      <c r="B16" s="530">
        <v>901240137</v>
      </c>
      <c r="C16" s="479" t="str">
        <f>_xlfn.XLOOKUP(B16,Table4[PO],Table4[اسم المشروع],0)</f>
        <v>خطوط مياه متفرقة بالمدينة المنورة ( الجزء الاول )</v>
      </c>
      <c r="D16" s="479" t="str">
        <f>_xlfn.XLOOKUP(B16,Table4[PO],Table4[[المقاول ]],0)</f>
        <v>شركة دقة الابعاد للمقاولات</v>
      </c>
      <c r="E16" s="499">
        <f>_xlfn.XLOOKUP(B16,Table4[PO],Table4[قيمة المشروع بالضريبة],0)</f>
        <v>28.950042499999999</v>
      </c>
      <c r="F16" s="571">
        <f>_xlfn.XLOOKUP(B16,Table4[PO],Table4[بداية المشروع التعاقدية],0)</f>
        <v>45565</v>
      </c>
      <c r="G16" s="571">
        <f>_xlfn.XLOOKUP(B16,Table4[PO],Table4[نهاية المشروع المعدلة PMO LIVE],0)</f>
        <v>47057</v>
      </c>
      <c r="H16" s="569">
        <f>_xlfn.XLOOKUP(B16,Table1[PO],Table1[نسبة الإيقاف%],0)</f>
        <v>0</v>
      </c>
      <c r="I16" s="569">
        <f>_xlfn.XLOOKUP(B16,Table1[PO],Table1[المنفذ % - الإسبوع السابق],0)</f>
        <v>0.151</v>
      </c>
      <c r="J16" s="498">
        <f>_xlfn.XLOOKUP(B16,Table4[PO],Table4[المخطط % التراكمي],0)</f>
        <v>0.14369999999999999</v>
      </c>
      <c r="K16" s="498">
        <f>_xlfn.XLOOKUP(B16,Table4[PO],Table4[المنفذ % التراكمي],0)</f>
        <v>0.151</v>
      </c>
      <c r="L16" s="580">
        <f t="shared" si="0"/>
        <v>7.3000000000000009E-3</v>
      </c>
      <c r="M16" s="499" t="str">
        <f>_xlfn.XLOOKUP(B16,Table4[PO],Table4[حالة المشروع],0)</f>
        <v>متقدم</v>
      </c>
      <c r="N16" s="544">
        <f>_xlfn.XLOOKUP(B16,Table4[PO],Table4[نسبة المخطط التراكمي حتى 31 اكتوبر 2026],0)</f>
        <v>0.15011225135507142</v>
      </c>
      <c r="O16" s="570">
        <f>_xlfn.XLOOKUP(B16,Table4[PO],Table4[النسبة المطلوب زيادتها في اكتوبر 2026 للإنتظام],0)</f>
        <v>0</v>
      </c>
      <c r="P16" s="576">
        <f t="shared" si="1"/>
        <v>47117</v>
      </c>
      <c r="Q16" s="498">
        <f>_xlfn.XLOOKUP(B16,Table4[PO],Table4[نسبة المدة المنقضية %],0)</f>
        <v>0.49932975871313673</v>
      </c>
      <c r="R16" s="587" t="s">
        <v>857</v>
      </c>
      <c r="S16" s="589" t="s">
        <v>625</v>
      </c>
      <c r="T16" s="672" t="str">
        <f>_xlfn.XLOOKUP(B16,Table4[PO],Table4[ملخص خطة المعالجة],0)</f>
        <v>1. انهاء التعاقد</v>
      </c>
      <c r="U16" s="534" t="str">
        <f>_xlfn.XLOOKUP(B16,Table4[PO],Table4[الإجراء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5. تم الرد على ادارة سلاسل الامداد لطلبهم بالايميل سبب اصدار الانذار النهائي مع ان المقاول متقدم وتم الرد عليهم بان تقدم المقاول ناتج عن تمديدات مجلس الادارة وليس مقابل انجاز فعلي 
6. تم رد معاملة طلب اصدار الانذار النهائي من سلاسل الامداد الى الجدولة والتحكم بالمركز الرئيسي </v>
      </c>
      <c r="V16" s="534" t="str">
        <f>_xlfn.XLOOKUP(B16,Table4[PO],Table4[الإجراءات الإدارية للمشاريع],0)</f>
        <v>1. إستكمال اجرءات سحب المشروع(انهاء التعاقد)</v>
      </c>
      <c r="W16" s="534" t="str">
        <f>_xlfn.XLOOKUP(B16,Table4[PO],Table4[اخر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v>
      </c>
      <c r="X16" s="568" t="s">
        <v>101</v>
      </c>
      <c r="Y16" s="935">
        <f>_xlfn.XLOOKUP(B16,Table4[PO],Table4[التاريخ المتوقع للتأخر - متوسط نسب انجاز],0)</f>
        <v>46588</v>
      </c>
    </row>
    <row r="17" spans="1:25" s="645" customFormat="1" ht="118.8">
      <c r="A17" s="931">
        <f>SUBTOTAL(3,$D$2:D17)</f>
        <v>16</v>
      </c>
      <c r="B17" s="520">
        <v>901240072</v>
      </c>
      <c r="C17" s="478" t="str">
        <f>_xlfn.XLOOKUP(B17,Table4[PO],Table4[اسم المشروع],0)</f>
        <v xml:space="preserve">تنفيذ شبكات صرف صحي متفرقة بالمدينة المنورة ( الجزء الاول ) </v>
      </c>
      <c r="D17" s="478" t="str">
        <f>_xlfn.XLOOKUP(B17,Table4[PO],Table4[[المقاول ]],0)</f>
        <v>شركة ابداع الحياة للاستثمار</v>
      </c>
      <c r="E17" s="503">
        <f>_xlfn.XLOOKUP(B17,Table4[PO],Table4[قيمة المشروع بالضريبة],0)</f>
        <v>50.216360000000002</v>
      </c>
      <c r="F17" s="689">
        <f>_xlfn.XLOOKUP(B17,Table4[PO],Table4[بداية المشروع التعاقدية],0)</f>
        <v>45565</v>
      </c>
      <c r="G17" s="689">
        <f>_xlfn.XLOOKUP(B17,Table4[PO],Table4[نهاية المشروع المعدلة PMO LIVE],0)</f>
        <v>46685</v>
      </c>
      <c r="H17" s="690">
        <f>_xlfn.XLOOKUP(B17,Table1[PO],Table1[نسبة الإيقاف%],0)</f>
        <v>0</v>
      </c>
      <c r="I17" s="690">
        <f>_xlfn.XLOOKUP(B17,Table1[PO],Table1[المنفذ % - الإسبوع السابق],0)</f>
        <v>0.32100000000000001</v>
      </c>
      <c r="J17" s="502">
        <f>_xlfn.XLOOKUP(B17,Table4[PO],Table4[المخطط % التراكمي],0)</f>
        <v>0.25869999999999999</v>
      </c>
      <c r="K17" s="502">
        <f>_xlfn.XLOOKUP(B17,Table4[PO],Table4[المنفذ % التراكمي],0)</f>
        <v>0.32400000000000001</v>
      </c>
      <c r="L17" s="606">
        <f t="shared" si="0"/>
        <v>6.5300000000000025E-2</v>
      </c>
      <c r="M17" s="503" t="str">
        <f>_xlfn.XLOOKUP(B17,Table4[PO],Table4[حالة المشروع],0)</f>
        <v>متقدم</v>
      </c>
      <c r="N17" s="691">
        <f>_xlfn.XLOOKUP(B17,Table4[PO],Table4[نسبة المخطط التراكمي حتى 31 اكتوبر 2026],0)</f>
        <v>0.26230913379623688</v>
      </c>
      <c r="O17" s="692">
        <f>_xlfn.XLOOKUP(B17,Table4[PO],Table4[النسبة المطلوب زيادتها في اكتوبر 2026 للإنتظام],0)</f>
        <v>0</v>
      </c>
      <c r="P17" s="698">
        <f t="shared" si="1"/>
        <v>46745</v>
      </c>
      <c r="Q17" s="502">
        <f>_xlfn.XLOOKUP(B17,Table4[PO],Table4[نسبة المدة المنقضية %],0)</f>
        <v>0.6651785714285714</v>
      </c>
      <c r="R17" s="694" t="s">
        <v>640</v>
      </c>
      <c r="S17" s="969" t="s">
        <v>755</v>
      </c>
      <c r="T17" s="671" t="str">
        <f>_xlfn.XLOOKUP(B17,Table4[PO],Table4[ملخص خطة المعالجة],0)</f>
        <v>1.معاملة جدول الكميات المعدل رقم (1)</v>
      </c>
      <c r="U17" s="538" t="str">
        <f>_xlfn.XLOOKUP(B17,Table4[PO],Table4[الإجراء الفني الحالي],0)</f>
        <v>لا يوجد اجراء فني</v>
      </c>
      <c r="V17" s="538" t="str">
        <f>_xlfn.XLOOKUP(B17,Table4[PO],Table4[الإجراءات الإدارية للمشاريع],0)</f>
        <v xml:space="preserve">1.معاملة جدول الكميات المعدل الجاري رقم (1) </v>
      </c>
      <c r="W17" s="538" t="str">
        <f>_xlfn.XLOOKUP(B17,Table4[PO],Table4[اخر تحديث الإجراء الإداري الحالي للمشروع],0)</f>
        <v>1. تم اعادة رفع المعامله الي ادارة المشتريات بتاريخ 09/09/2026م  بناءا علي البريد الكتروني المستلم منهم باعادة رفع المعاملات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v>
      </c>
      <c r="X17" s="696" t="s">
        <v>101</v>
      </c>
      <c r="Y17" s="933">
        <f>_xlfn.XLOOKUP(B17,Table4[PO],Table4[التاريخ المتوقع للتأخر - متوسط نسب انجاز],0)</f>
        <v>46573</v>
      </c>
    </row>
    <row r="18" spans="1:25" s="518" customFormat="1" ht="134.4" customHeight="1">
      <c r="A18" s="932">
        <f>SUBTOTAL(3,$D$2:D18)</f>
        <v>17</v>
      </c>
      <c r="B18" s="530">
        <v>901240090</v>
      </c>
      <c r="C18" s="479" t="str">
        <f>_xlfn.XLOOKUP(B18,Table4[PO],Table4[اسم المشروع],0)</f>
        <v xml:space="preserve">احلال شبكات وخطوط مياه بالمدينة المنورة </v>
      </c>
      <c r="D18" s="479" t="str">
        <f>_xlfn.XLOOKUP(B18,Table4[PO],Table4[[المقاول ]],0)</f>
        <v>شركة بيان الانشاء للمقاولات</v>
      </c>
      <c r="E18" s="499">
        <f>_xlfn.XLOOKUP(B18,Table4[PO],Table4[قيمة المشروع بالضريبة],0)</f>
        <v>24.830133</v>
      </c>
      <c r="F18" s="571">
        <f>_xlfn.XLOOKUP(B18,Table4[PO],Table4[بداية المشروع التعاقدية],0)</f>
        <v>45447</v>
      </c>
      <c r="G18" s="571">
        <f>_xlfn.XLOOKUP(B18,Table4[PO],Table4[نهاية المشروع المعدلة PMO LIVE],0)</f>
        <v>46936</v>
      </c>
      <c r="H18" s="569">
        <f>_xlfn.XLOOKUP(B18,Table1[PO],Table1[نسبة الإيقاف%],0)</f>
        <v>0</v>
      </c>
      <c r="I18" s="569">
        <f>_xlfn.XLOOKUP(B18,Table1[PO],Table1[المنفذ % - الإسبوع السابق],0)</f>
        <v>0.28670000000000001</v>
      </c>
      <c r="J18" s="498">
        <f>_xlfn.XLOOKUP(B18,Table4[PO],Table4[المخطط % التراكمي],0)</f>
        <v>0.2094</v>
      </c>
      <c r="K18" s="498">
        <f>_xlfn.XLOOKUP(B18,Table4[PO],Table4[المنفذ % التراكمي],0)</f>
        <v>0.28789999999999999</v>
      </c>
      <c r="L18" s="580">
        <f t="shared" si="0"/>
        <v>7.8499999999999986E-2</v>
      </c>
      <c r="M18" s="499" t="str">
        <f>_xlfn.XLOOKUP(B18,Table4[PO],Table4[حالة المشروع],0)</f>
        <v>متقدم</v>
      </c>
      <c r="N18" s="544">
        <f>_xlfn.XLOOKUP(B18,Table4[PO],Table4[نسبة المخطط التراكمي حتى 31 اكتوبر 2026],0)</f>
        <v>0.21490891150280991</v>
      </c>
      <c r="O18" s="570">
        <f>_xlfn.XLOOKUP(B18,Table4[PO],Table4[النسبة المطلوب زيادتها في اكتوبر 2026 للإنتظام],0)</f>
        <v>0</v>
      </c>
      <c r="P18" s="576">
        <f t="shared" si="1"/>
        <v>46996</v>
      </c>
      <c r="Q18" s="498">
        <f>_xlfn.XLOOKUP(B18,Table4[PO],Table4[نسبة المدة المنقضية %],0)</f>
        <v>0.57958361316319673</v>
      </c>
      <c r="R18" s="587" t="s">
        <v>640</v>
      </c>
      <c r="S18" s="589" t="s">
        <v>622</v>
      </c>
      <c r="T18" s="672" t="str">
        <f>_xlfn.XLOOKUP(B18,Table4[PO],Table4[ملخص خطة المعالجة],0)</f>
        <v xml:space="preserve">1.معاملة جدول الكميات المعدل رقم (1) </v>
      </c>
      <c r="U18" s="534" t="str">
        <f>_xlfn.XLOOKUP(B18,Table4[PO],Table4[الإجراء الفني الحالي],0)</f>
        <v>1. تم اصدار تصريح لعمل جسة استكشافية للخط القائم للتأكد من نوعية الخط القائم هل هو دكتايل ام اسبستوس نظراً لوجود خط قائم من الدكتايل ونظراً لوجود عدد 3 شبكيات + طفاية حريق على الخط القائم بتاريخ 12/10/2026</v>
      </c>
      <c r="V18" s="534" t="str">
        <f>_xlfn.XLOOKUP(B18,Table4[PO],Table4[الإجراءات الإدارية للمشاريع],0)</f>
        <v>1.معاملة جدول الكميات المعدل رقم (1)</v>
      </c>
      <c r="W18" s="534" t="str">
        <f>_xlfn.XLOOKUP(B18,Table4[PO],Table4[اخر تحديث الإجراء الإداري الحالي للمشروع],0)</f>
        <v>1. تم اعادة رفع معاملة جدول الكميات بس استيفاء الملاحظات بتاريخ 21/09/2026م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v>
      </c>
      <c r="X18" s="571" t="s">
        <v>101</v>
      </c>
      <c r="Y18" s="935" t="str">
        <f>_xlfn.XLOOKUP(B18,Table4[PO],Table4[التاريخ المتوقع للتأخر - متوسط نسب انجاز],0)</f>
        <v>غير متوقع تأخره</v>
      </c>
    </row>
    <row r="19" spans="1:25" s="645" customFormat="1" ht="158.4">
      <c r="A19" s="931">
        <f>SUBTOTAL(3,$D$2:D19)</f>
        <v>18</v>
      </c>
      <c r="B19" s="520">
        <v>901250499</v>
      </c>
      <c r="C19" s="478" t="str">
        <f>_xlfn.XLOOKUP(B19,Table4[PO],Table4[اسم المشروع],0)</f>
        <v>عبارة تصريف مياه الفائض لمحطة معالجة الصرف الصحي بالمدينة المنورة</v>
      </c>
      <c r="D19" s="478" t="str">
        <f>_xlfn.XLOOKUP(B19,Table4[PO],Table4[[المقاول ]],0)</f>
        <v>شركة مسعود بالعيد حيدر ال حيدر وشركاه للتجاره والمقاولات العامه</v>
      </c>
      <c r="E19" s="503">
        <f>_xlfn.XLOOKUP(B19,Table4[PO],Table4[قيمة المشروع بالضريبة],0)</f>
        <v>14.397855099999999</v>
      </c>
      <c r="F19" s="689">
        <f>_xlfn.XLOOKUP(B19,Table4[PO],Table4[بداية المشروع التعاقدية],0)</f>
        <v>46035</v>
      </c>
      <c r="G19" s="689">
        <f>_xlfn.XLOOKUP(B19,Table4[PO],Table4[نهاية المشروع المعدلة PMO LIVE],0)</f>
        <v>46569</v>
      </c>
      <c r="H19" s="690">
        <f>_xlfn.XLOOKUP(B19,Table1[PO],Table1[نسبة الإيقاف%],0)</f>
        <v>0</v>
      </c>
      <c r="I19" s="690">
        <f>_xlfn.XLOOKUP(B19,Table1[PO],Table1[المنفذ % - الإسبوع السابق],0)</f>
        <v>0</v>
      </c>
      <c r="J19" s="502">
        <f>_xlfn.XLOOKUP(B19,Table4[PO],Table4[المخطط % التراكمي],0)</f>
        <v>0.14660000000000001</v>
      </c>
      <c r="K19" s="502">
        <f>_xlfn.XLOOKUP(B19,Table4[PO],Table4[المنفذ % التراكمي],0)</f>
        <v>0</v>
      </c>
      <c r="L19" s="606">
        <f t="shared" ref="L19:L20" si="2">K19-J19</f>
        <v>-0.14660000000000001</v>
      </c>
      <c r="M19" s="503" t="str">
        <f>_xlfn.XLOOKUP(B19,Table4[PO],Table4[حالة المشروع],0)</f>
        <v>متأخر</v>
      </c>
      <c r="N19" s="691">
        <f>_xlfn.XLOOKUP(B19,Table4[PO],Table4[نسبة المخطط التراكمي حتى 31 اكتوبر 2026],0)</f>
        <v>0.16283936723324852</v>
      </c>
      <c r="O19" s="692">
        <f>_xlfn.XLOOKUP(B19,Table4[PO],Table4[النسبة المطلوب زيادتها في اكتوبر 2026 للإنتظام],0)</f>
        <v>6.3839367233248512E-2</v>
      </c>
      <c r="P19" s="698">
        <f t="shared" ref="P19:P20" si="3">G19+60</f>
        <v>46629</v>
      </c>
      <c r="Q19" s="502">
        <f>_xlfn.XLOOKUP(B19,Table4[PO],Table4[نسبة المدة المنقضية %],0)</f>
        <v>0.51498127340823974</v>
      </c>
      <c r="R19" s="694" t="s">
        <v>621</v>
      </c>
      <c r="S19" s="969" t="s">
        <v>756</v>
      </c>
      <c r="T19" s="671" t="str">
        <f>_xlfn.XLOOKUP(B19,Table4[PO],Table4[ملخص خطة المعالجة],0)</f>
        <v>1. معاملة التمديد الزمني نتيجة الإستئناف بعد الإيقاف الكلي بمدة 255 يوم</v>
      </c>
      <c r="U19" s="538" t="str">
        <f>_xlfn.XLOOKUP(B19,Table4[PO],Table4[الإجراء الفني الحالي],0)</f>
        <v xml:space="preserve">1.تم الاجتماع مع  اداره المحطه م عدنان الجابري بتاريخ 11/10/2026  و تنسيق   مكان نقطه الربط    داخل المحطه 
2.تم استأجر قطعه ارض من المقاول  و جاري تجهيز المكاتب  و منطقه التشوين و المعدات لبدء العمل   .
3.تم رفع تصريح بتاريخ 12/10/2026  تحت الاجراء حاليا  </v>
      </c>
      <c r="V19" s="538" t="str">
        <f>_xlfn.XLOOKUP(B19,Table4[PO],Table4[الإجراءات الإدارية للمشاريع],0)</f>
        <v>1. معاملة التمديد الزمني نتيجة الإستئناف بعد الإيقاف الكلي بمدة 255 يوم</v>
      </c>
      <c r="W19" s="538" t="str">
        <f>_xlfn.XLOOKUP(B19,Table4[PO],Table4[اخر تحديث الإجراء الإداري الحالي للمشروع],0)</f>
        <v xml:space="preserve">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v>
      </c>
      <c r="X19" s="696" t="s">
        <v>101</v>
      </c>
      <c r="Y19" s="933">
        <f>_xlfn.XLOOKUP(B19,Table4[PO],Table4[التاريخ المتوقع للتعثر- متوسط نسب انجاز],0)</f>
        <v>46402</v>
      </c>
    </row>
    <row r="20" spans="1:25" s="518" customFormat="1" ht="79.2">
      <c r="A20" s="958">
        <f>SUBTOTAL(3,$D$2:D20)</f>
        <v>19</v>
      </c>
      <c r="B20" s="614">
        <v>901240095</v>
      </c>
      <c r="C20" s="459" t="str">
        <f>_xlfn.XLOOKUP(B20,Table4[PO],Table4[اسم المشروع],0)</f>
        <v xml:space="preserve">مشروع تنفيذ شبكة توزيع المياه في حي المحاميد بالمدينة المنورة </v>
      </c>
      <c r="D20" s="459" t="str">
        <f>_xlfn.XLOOKUP(B20,Table4[PO],Table4[[المقاول ]],0)</f>
        <v>شركة خزام ناصر سعيد الشهراني للمقاولات</v>
      </c>
      <c r="E20" s="959">
        <f>_xlfn.XLOOKUP(B20,Table4[PO],Table4[قيمة المشروع بالضريبة],0)</f>
        <v>29.432727159999999</v>
      </c>
      <c r="F20" s="960">
        <f>_xlfn.XLOOKUP(B20,Table4[PO],Table4[بداية المشروع التعاقدية],0)</f>
        <v>45526</v>
      </c>
      <c r="G20" s="960">
        <f>_xlfn.XLOOKUP(B20,Table4[PO],Table4[نهاية المشروع المعدلة PMO LIVE],0)</f>
        <v>46694</v>
      </c>
      <c r="H20" s="961">
        <f>_xlfn.XLOOKUP(B20,Table1[PO],Table1[نسبة الإيقاف%],0)</f>
        <v>0.1908</v>
      </c>
      <c r="I20" s="961">
        <f>_xlfn.XLOOKUP(B20,Table1[PO],Table1[المنفذ % - الإسبوع السابق],0)</f>
        <v>0.18959999999999999</v>
      </c>
      <c r="J20" s="511">
        <f>_xlfn.XLOOKUP(B20,Table4[PO],Table4[المخطط % التراكمي],0)</f>
        <v>0.2722</v>
      </c>
      <c r="K20" s="511">
        <f>_xlfn.XLOOKUP(B20,Table4[PO],Table4[المنفذ % التراكمي],0)</f>
        <v>0.18959999999999999</v>
      </c>
      <c r="L20" s="512">
        <f t="shared" si="2"/>
        <v>-8.2600000000000007E-2</v>
      </c>
      <c r="M20" s="959" t="str">
        <f>_xlfn.XLOOKUP(B20,Table4[PO],Table4[حالة المشروع],0)</f>
        <v>منتظم</v>
      </c>
      <c r="N20" s="962">
        <f>_xlfn.XLOOKUP(B20,Table4[PO],Table4[نسبة المخطط التراكمي حتى 31 اكتوبر 2026],0)</f>
        <v>0.28294161297571085</v>
      </c>
      <c r="O20" s="963">
        <f>_xlfn.XLOOKUP(B20,Table4[PO],Table4[النسبة المطلوب زيادتها في اكتوبر 2026 للإنتظام],0)</f>
        <v>0</v>
      </c>
      <c r="P20" s="964">
        <f t="shared" si="3"/>
        <v>46754</v>
      </c>
      <c r="Q20" s="511">
        <f>_xlfn.XLOOKUP(B20,Table4[PO],Table4[نسبة المدة المنقضية %],0)</f>
        <v>0.67123287671232879</v>
      </c>
      <c r="R20" s="965" t="s">
        <v>858</v>
      </c>
      <c r="S20" s="966" t="s">
        <v>757</v>
      </c>
      <c r="T20" s="967" t="str">
        <f>_xlfn.XLOOKUP(B20,Table4[PO],Table4[ملخص خطة المعالجة],0)</f>
        <v>1. انهاء التعاقد</v>
      </c>
      <c r="U20" s="517" t="str">
        <f>_xlfn.XLOOKUP(B20,Table4[PO],Table4[الإجراء الفني الحالي],0)</f>
        <v>1. تم الاجتماع مع المقاول للتوجيه بالانتهاء من اعمال الاسفلت للتصريح المفتوح والمتأخر وكذلك سداد الغرامات لعدد 3 تصاريح أخري متأخرة مفتوحة علي النظام قبل 31/10/2026</v>
      </c>
      <c r="V20" s="517" t="str">
        <f>_xlfn.XLOOKUP(B20,Table4[PO],Table4[الإجراءات الإدارية للمشاريع],0)</f>
        <v>1. إستكمال اجرءات سحب المشروع(انهاء التعاقد)</v>
      </c>
      <c r="W20" s="517" t="str">
        <f>_xlfn.XLOOKUP(B20,Table4[PO],Table4[اخر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X20" s="960" t="s">
        <v>101</v>
      </c>
      <c r="Y20" s="968">
        <f>_xlfn.XLOOKUP(B20,Table4[PO],Table4[التاريخ المتوقع للتأخر - متوسط نسب انجاز],0)</f>
        <v>46331</v>
      </c>
    </row>
    <row r="21" spans="1:25" s="645" customFormat="1" ht="257.39999999999998">
      <c r="A21" s="957">
        <f>SUBTOTAL(3,$D$2:D21)</f>
        <v>20</v>
      </c>
      <c r="B21" s="562">
        <v>901240144</v>
      </c>
      <c r="C21" s="458" t="str">
        <f>_xlfn.XLOOKUP(B21,Table4[PO],Table4[اسم المشروع],0)</f>
        <v xml:space="preserve">مشروع إحلال خط الاسبستوس ببدر </v>
      </c>
      <c r="D21" s="458" t="str">
        <f>_xlfn.XLOOKUP(B21,Table4[PO],Table4[[المقاول ]],0)</f>
        <v xml:space="preserve">شركة افاق الدولية </v>
      </c>
      <c r="E21" s="946">
        <f>_xlfn.XLOOKUP(B21,Table4[PO],Table4[قيمة المشروع بالضريبة],0)</f>
        <v>24.9891665</v>
      </c>
      <c r="F21" s="947">
        <f>_xlfn.XLOOKUP(B21,Table4[PO],Table4[بداية المشروع التعاقدية],0)</f>
        <v>45559</v>
      </c>
      <c r="G21" s="947">
        <f>_xlfn.XLOOKUP(B21,Table4[PO],Table4[نهاية المشروع المعدلة PMO LIVE],0)</f>
        <v>46734</v>
      </c>
      <c r="H21" s="948">
        <f>_xlfn.XLOOKUP(B21,Table1[PO],Table1[نسبة الإيقاف%],0)</f>
        <v>0</v>
      </c>
      <c r="I21" s="948">
        <f>_xlfn.XLOOKUP(B21,Table1[PO],Table1[المنفذ % - الإسبوع السابق],0)</f>
        <v>0.48099999999999998</v>
      </c>
      <c r="J21" s="508">
        <f>_xlfn.XLOOKUP(B21,Table4[PO],Table4[المخطط % التراكمي],0)</f>
        <v>0.52929999999999999</v>
      </c>
      <c r="K21" s="508">
        <f>_xlfn.XLOOKUP(B21,Table4[PO],Table4[المنفذ % التراكمي],0)</f>
        <v>0.48099999999999998</v>
      </c>
      <c r="L21" s="509">
        <f t="shared" ref="L21" si="4">K21-J21</f>
        <v>-4.830000000000001E-2</v>
      </c>
      <c r="M21" s="946" t="str">
        <f>_xlfn.XLOOKUP(B21,Table4[PO],Table4[حالة المشروع],0)</f>
        <v>منتظم</v>
      </c>
      <c r="N21" s="949">
        <f>_xlfn.XLOOKUP(B21,Table4[PO],Table4[نسبة المخطط التراكمي حتى 31 اكتوبر 2026],0)</f>
        <v>0.53428418879037043</v>
      </c>
      <c r="O21" s="950">
        <f>_xlfn.XLOOKUP(B21,Table4[PO],Table4[النسبة المطلوب زيادتها في اكتوبر 2026 للإنتظام],0)</f>
        <v>0</v>
      </c>
      <c r="P21" s="951">
        <f t="shared" ref="P21" si="5">G21+60</f>
        <v>46794</v>
      </c>
      <c r="Q21" s="508">
        <f>_xlfn.XLOOKUP(B21,Table4[PO],Table4[نسبة المدة المنقضية %],0)</f>
        <v>0.63884156729131181</v>
      </c>
      <c r="R21" s="952" t="s">
        <v>620</v>
      </c>
      <c r="S21" s="953" t="s">
        <v>754</v>
      </c>
      <c r="T21" s="954" t="str">
        <f>_xlfn.XLOOKUP(B21,Table4[PO],Table4[ملخص خطة المعالجة],0)</f>
        <v>1. انهاء التعاقد</v>
      </c>
      <c r="U21" s="516" t="str">
        <f>_xlfn.XLOOKUP(B21,Table4[PO],Table4[الإجراء الفني الحالي],0)</f>
        <v>لا يوجد اجراء فني</v>
      </c>
      <c r="V21" s="516" t="str">
        <f>_xlfn.XLOOKUP(B21,Table4[PO],Table4[الإجراءات الإدارية للمشاريع],0)</f>
        <v>1. إستكمال اجرءات سحب المشروع (انهاء التعاقد)</v>
      </c>
      <c r="W21" s="516" t="str">
        <f>_xlfn.XLOOKUP(B21,Table4[PO],Table4[اخر تحديث الإجراء الإداري الحالي للمشروع],0)</f>
        <v>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v>
      </c>
      <c r="X21" s="714" t="s">
        <v>101</v>
      </c>
      <c r="Y21" s="955">
        <f>_xlfn.XLOOKUP(B21,Table4[PO],Table4[التاريخ المتوقع للتأخر - متوسط نسب انجاز],0)</f>
        <v>46402</v>
      </c>
    </row>
    <row r="22" spans="1:25" ht="29.4" customHeight="1">
      <c r="A22" s="929"/>
      <c r="B22" s="930"/>
      <c r="C22" s="680" t="s">
        <v>551</v>
      </c>
      <c r="D22" s="681"/>
      <c r="E22" s="584">
        <f>SUBTOTAL(109,Table5[قيمة العقد المعدلة مع الضريبة (مليون)])</f>
        <v>689.24644263000005</v>
      </c>
      <c r="F22" s="583"/>
      <c r="G22" s="583"/>
      <c r="H22" s="583"/>
      <c r="I22" s="583"/>
      <c r="J22" s="583"/>
      <c r="K22" s="583"/>
      <c r="L22" s="583"/>
      <c r="M22" s="505"/>
      <c r="N22" s="566"/>
      <c r="O22" s="566"/>
      <c r="P22" s="573"/>
      <c r="Q22" s="585"/>
      <c r="R22" s="581"/>
      <c r="S22" s="590"/>
      <c r="T22" s="818"/>
      <c r="U22" s="575"/>
      <c r="V22" s="816"/>
      <c r="W22" s="816"/>
      <c r="X22" s="575"/>
      <c r="Y22" s="506"/>
    </row>
    <row r="25" spans="1:25">
      <c r="E25" s="644"/>
    </row>
    <row r="27" spans="1:25" ht="21">
      <c r="E27" s="850"/>
    </row>
  </sheetData>
  <conditionalFormatting sqref="B2:B21">
    <cfRule type="duplicateValues" dxfId="17" priority="542"/>
  </conditionalFormatting>
  <printOptions horizontalCentered="1"/>
  <pageMargins left="0.2" right="0.27" top="0.75" bottom="0.75" header="0.3" footer="0.3"/>
  <pageSetup paperSize="8" scale="53" orientation="landscape" r:id="rId1"/>
  <headerFooter>
    <oddHeader>&amp;C&amp;"-,Bold"&amp;20موقف المشاريع ذات الاداء المنخفض حتي 31 يوليو 2026</oddHeader>
    <oddFooter>&amp;C&amp;P / &amp;N</oddFooter>
  </headerFooter>
  <rowBreaks count="2" manualBreakCount="2">
    <brk id="4" max="24" man="1"/>
    <brk id="9" max="24" man="1"/>
  </row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37879-569D-42D7-A620-D89DAB86C35A}">
  <sheetPr>
    <tabColor rgb="FF00B0F0"/>
  </sheetPr>
  <dimension ref="A1:BF8"/>
  <sheetViews>
    <sheetView rightToLeft="1" view="pageBreakPreview" zoomScale="70" zoomScaleNormal="70" zoomScaleSheetLayoutView="70" workbookViewId="0">
      <pane xSplit="3" ySplit="3" topLeftCell="D5" activePane="bottomRight" state="frozen"/>
      <selection activeCell="U3" sqref="U3:U5"/>
      <selection pane="topRight" activeCell="U3" sqref="U3:U5"/>
      <selection pane="bottomLeft" activeCell="U3" sqref="U3:U5"/>
      <selection pane="bottomRight" activeCell="U4" sqref="U4:U8"/>
    </sheetView>
  </sheetViews>
  <sheetFormatPr defaultColWidth="13" defaultRowHeight="13.8"/>
  <cols>
    <col min="1" max="1" width="4.33203125" style="128" customWidth="1"/>
    <col min="2" max="2" width="10" style="128" customWidth="1"/>
    <col min="3" max="3" width="23.33203125" style="129" customWidth="1"/>
    <col min="4" max="4" width="16.33203125" style="129" customWidth="1"/>
    <col min="5" max="5" width="8.5546875" style="129" hidden="1" customWidth="1"/>
    <col min="6" max="6" width="1.6640625" style="129" hidden="1" customWidth="1"/>
    <col min="7" max="8" width="9.6640625" style="129" customWidth="1"/>
    <col min="9" max="18" width="9.109375" style="129" customWidth="1"/>
    <col min="19" max="19" width="31.6640625" style="129" customWidth="1"/>
    <col min="20" max="20" width="5.6640625" style="129" hidden="1" customWidth="1"/>
    <col min="21" max="21" width="31.5546875" style="129" customWidth="1"/>
    <col min="22" max="22" width="9.109375" style="128" customWidth="1"/>
    <col min="23" max="23" width="10.109375" style="128" customWidth="1"/>
    <col min="24" max="24" width="10.44140625" style="128" customWidth="1"/>
    <col min="25" max="25" width="7.6640625" style="128" customWidth="1"/>
    <col min="26" max="26" width="11" style="128" customWidth="1"/>
    <col min="27" max="27" width="13" style="310" customWidth="1"/>
    <col min="28" max="28" width="13" style="29"/>
    <col min="29" max="16384" width="13" style="128"/>
  </cols>
  <sheetData>
    <row r="1" spans="1:58" s="120" customFormat="1" ht="30" customHeight="1" thickTop="1" thickBot="1">
      <c r="A1" s="1248" t="s">
        <v>9</v>
      </c>
      <c r="B1" s="1229" t="s">
        <v>340</v>
      </c>
      <c r="C1" s="1231" t="s">
        <v>326</v>
      </c>
      <c r="D1" s="1231" t="s">
        <v>22</v>
      </c>
      <c r="E1" s="295"/>
      <c r="F1" s="295"/>
      <c r="G1" s="1253" t="s">
        <v>341</v>
      </c>
      <c r="H1" s="1220"/>
      <c r="I1" s="1220"/>
      <c r="J1" s="1220"/>
      <c r="K1" s="1220"/>
      <c r="L1" s="1220"/>
      <c r="M1" s="1220"/>
      <c r="N1" s="1220"/>
      <c r="O1" s="1220"/>
      <c r="P1" s="1220"/>
      <c r="Q1" s="1254"/>
      <c r="R1" s="1254"/>
      <c r="S1" s="1239" t="s">
        <v>342</v>
      </c>
      <c r="T1" s="1231"/>
      <c r="U1" s="1218"/>
      <c r="V1" s="1242" t="s">
        <v>343</v>
      </c>
      <c r="W1" s="1220" t="s">
        <v>538</v>
      </c>
      <c r="X1" s="1220" t="s">
        <v>344</v>
      </c>
      <c r="Y1" s="1221" t="s">
        <v>345</v>
      </c>
      <c r="Z1" s="1236" t="s">
        <v>346</v>
      </c>
      <c r="AA1" s="346"/>
      <c r="AB1" s="347"/>
    </row>
    <row r="2" spans="1:58" s="120" customFormat="1" ht="40.200000000000003" customHeight="1" thickTop="1">
      <c r="A2" s="1249"/>
      <c r="B2" s="1251"/>
      <c r="C2" s="1252"/>
      <c r="D2" s="1252"/>
      <c r="E2" s="1221" t="s">
        <v>327</v>
      </c>
      <c r="F2" s="1231" t="s">
        <v>328</v>
      </c>
      <c r="G2" s="1245" t="s">
        <v>329</v>
      </c>
      <c r="H2" s="1234" t="s">
        <v>531</v>
      </c>
      <c r="I2" s="1220" t="s">
        <v>532</v>
      </c>
      <c r="J2" s="1220"/>
      <c r="K2" s="1220" t="s">
        <v>533</v>
      </c>
      <c r="L2" s="1220"/>
      <c r="M2" s="1220" t="s">
        <v>534</v>
      </c>
      <c r="N2" s="1220"/>
      <c r="O2" s="1220" t="s">
        <v>535</v>
      </c>
      <c r="P2" s="1220"/>
      <c r="Q2" s="1234" t="s">
        <v>347</v>
      </c>
      <c r="R2" s="1234" t="s">
        <v>348</v>
      </c>
      <c r="S2" s="1245" t="s">
        <v>349</v>
      </c>
      <c r="T2" s="1247" t="s">
        <v>350</v>
      </c>
      <c r="U2" s="1240" t="s">
        <v>539</v>
      </c>
      <c r="V2" s="1243"/>
      <c r="W2" s="1234"/>
      <c r="X2" s="1234"/>
      <c r="Y2" s="1235"/>
      <c r="Z2" s="1237"/>
      <c r="AA2" s="346"/>
      <c r="AB2" s="347"/>
    </row>
    <row r="3" spans="1:58" s="122" customFormat="1" ht="44.4" customHeight="1" thickBot="1">
      <c r="A3" s="1250"/>
      <c r="B3" s="1230"/>
      <c r="C3" s="1232"/>
      <c r="D3" s="1232"/>
      <c r="E3" s="1222"/>
      <c r="F3" s="1232"/>
      <c r="G3" s="1246"/>
      <c r="H3" s="1233"/>
      <c r="I3" s="113" t="s">
        <v>330</v>
      </c>
      <c r="J3" s="114" t="s">
        <v>331</v>
      </c>
      <c r="K3" s="113" t="s">
        <v>332</v>
      </c>
      <c r="L3" s="114" t="s">
        <v>333</v>
      </c>
      <c r="M3" s="113" t="s">
        <v>334</v>
      </c>
      <c r="N3" s="114" t="s">
        <v>335</v>
      </c>
      <c r="O3" s="113" t="s">
        <v>431</v>
      </c>
      <c r="P3" s="114" t="s">
        <v>432</v>
      </c>
      <c r="Q3" s="1233"/>
      <c r="R3" s="1233"/>
      <c r="S3" s="1246"/>
      <c r="T3" s="1222"/>
      <c r="U3" s="1241"/>
      <c r="V3" s="1244"/>
      <c r="W3" s="1233"/>
      <c r="X3" s="1233"/>
      <c r="Y3" s="1222"/>
      <c r="Z3" s="1238"/>
      <c r="AA3" s="348"/>
      <c r="AB3" s="349"/>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row>
    <row r="4" spans="1:58" s="125" customFormat="1" ht="70.95" customHeight="1" thickTop="1">
      <c r="A4" s="123">
        <v>1</v>
      </c>
      <c r="B4" s="124">
        <v>901240373</v>
      </c>
      <c r="C4" s="131" t="s">
        <v>86</v>
      </c>
      <c r="D4" s="131" t="s">
        <v>90</v>
      </c>
      <c r="E4" s="131" t="s">
        <v>151</v>
      </c>
      <c r="F4" s="231" t="s">
        <v>156</v>
      </c>
      <c r="G4" s="232" t="s">
        <v>338</v>
      </c>
      <c r="H4" s="233">
        <v>0.62250000000000005</v>
      </c>
      <c r="I4" s="234">
        <v>0.69910000000000005</v>
      </c>
      <c r="J4" s="234">
        <v>0.62250000000000005</v>
      </c>
      <c r="K4" s="234">
        <v>0.71579999999999999</v>
      </c>
      <c r="L4" s="234">
        <v>0.63249999999999995</v>
      </c>
      <c r="M4" s="234">
        <v>0.73499999999999999</v>
      </c>
      <c r="N4" s="234">
        <v>0.64249999999999996</v>
      </c>
      <c r="O4" s="234">
        <v>0.74660000000000004</v>
      </c>
      <c r="P4" s="234">
        <f>_xlfn.XLOOKUP(B4,Table1[PO],Table1[المنفذ % التراكمي],0)</f>
        <v>0</v>
      </c>
      <c r="Q4" s="235">
        <f t="shared" ref="Q4:Q5" si="0">P4-O4</f>
        <v>-0.74660000000000004</v>
      </c>
      <c r="R4" s="235">
        <f>P4-N4</f>
        <v>-0.64249999999999996</v>
      </c>
      <c r="S4" s="432" t="s">
        <v>527</v>
      </c>
      <c r="T4" s="433"/>
      <c r="U4" s="434" t="s">
        <v>101</v>
      </c>
      <c r="V4" s="236">
        <f>(((J4-H4)+(L4-J4)+(N4-L4)+(P4-N4))/4)</f>
        <v>-0.15562500000000001</v>
      </c>
      <c r="W4" s="237">
        <f>O4</f>
        <v>0.74660000000000004</v>
      </c>
      <c r="X4" s="238">
        <f>_xlfn.XLOOKUP(B4,Table4[PO],Table4[التاريخ المتوقع للتعثر - دراسة صفرية],0)</f>
        <v>0</v>
      </c>
      <c r="Y4" s="239">
        <f>_xlfn.XLOOKUP(B4,Table4[PO],Table4[نسبة المدة المنقضية %],0)</f>
        <v>1</v>
      </c>
      <c r="Z4" s="240" t="str">
        <f>_xlfn.XLOOKUP(B4,Table4[PO],Table4[التاريخ المتوقع لدخول المشروع التعثر بالمدة المنقضية],0)</f>
        <v>استلام ابتدائي</v>
      </c>
      <c r="AA4" s="350"/>
      <c r="AB4" s="351"/>
    </row>
    <row r="5" spans="1:58" s="125" customFormat="1" ht="70.95" customHeight="1">
      <c r="A5" s="126">
        <v>2</v>
      </c>
      <c r="B5" s="127">
        <v>901230253</v>
      </c>
      <c r="C5" s="130" t="s">
        <v>55</v>
      </c>
      <c r="D5" s="130" t="s">
        <v>24</v>
      </c>
      <c r="E5" s="130"/>
      <c r="F5" s="221"/>
      <c r="G5" s="222" t="s">
        <v>339</v>
      </c>
      <c r="H5" s="223">
        <v>0.16869999999999999</v>
      </c>
      <c r="I5" s="224">
        <v>0.37059999999999998</v>
      </c>
      <c r="J5" s="224">
        <v>0.16969999999999999</v>
      </c>
      <c r="K5" s="224">
        <v>0.3881</v>
      </c>
      <c r="L5" s="224">
        <v>0.17069999999999999</v>
      </c>
      <c r="M5" s="224">
        <v>0.40579999999999999</v>
      </c>
      <c r="N5" s="224">
        <v>0.17069999999999999</v>
      </c>
      <c r="O5" s="224">
        <v>0.42359999999999998</v>
      </c>
      <c r="P5" s="224">
        <f>_xlfn.XLOOKUP(B5,Table1[PO],Table1[المنفذ % التراكمي],0)</f>
        <v>0.2102</v>
      </c>
      <c r="Q5" s="225">
        <f t="shared" si="0"/>
        <v>-0.21339999999999998</v>
      </c>
      <c r="R5" s="225">
        <f t="shared" ref="R5:R7" si="1">P5-N5</f>
        <v>3.9500000000000007E-2</v>
      </c>
      <c r="S5" s="431" t="s">
        <v>530</v>
      </c>
      <c r="T5" s="429"/>
      <c r="U5" s="430" t="s">
        <v>101</v>
      </c>
      <c r="V5" s="226">
        <f t="shared" ref="V5:V8" si="2">(((J5-H5)+(L5-J5)+(N5-L5)+(P5-N5))/4)</f>
        <v>1.0375000000000002E-2</v>
      </c>
      <c r="W5" s="227">
        <f t="shared" ref="W5:W8" si="3">O5</f>
        <v>0.42359999999999998</v>
      </c>
      <c r="X5" s="228" t="str">
        <f>_xlfn.XLOOKUP(B5,Table4[PO],Table4[التاريخ المتوقع للتعثر - دراسة صفرية],0)</f>
        <v>متعثر</v>
      </c>
      <c r="Y5" s="229">
        <f>_xlfn.XLOOKUP(B5,Table4[PO],Table4[نسبة المدة المنقضية %],0)</f>
        <v>0.93508936970837253</v>
      </c>
      <c r="Z5" s="230">
        <f>_xlfn.XLOOKUP(B5,Table4[PO],Table4[التاريخ المتوقع لدخول المشروع التعثر بالمدة المنقضية],0)</f>
        <v>46644.75</v>
      </c>
      <c r="AA5" s="350"/>
      <c r="AB5" s="351"/>
    </row>
    <row r="6" spans="1:58" s="125" customFormat="1" ht="131.4" customHeight="1">
      <c r="A6" s="123">
        <v>3</v>
      </c>
      <c r="B6" s="124">
        <v>901250275</v>
      </c>
      <c r="C6" s="131" t="s">
        <v>272</v>
      </c>
      <c r="D6" s="131" t="s">
        <v>274</v>
      </c>
      <c r="E6" s="131"/>
      <c r="F6" s="231"/>
      <c r="G6" s="232" t="s">
        <v>339</v>
      </c>
      <c r="H6" s="233">
        <v>9.1000000000000004E-3</v>
      </c>
      <c r="I6" s="234">
        <v>0.245</v>
      </c>
      <c r="J6" s="234">
        <v>9.1000000000000004E-3</v>
      </c>
      <c r="K6" s="234">
        <v>0.26250000000000001</v>
      </c>
      <c r="L6" s="234">
        <v>2.0799999999999999E-2</v>
      </c>
      <c r="M6" s="234">
        <v>0.2671</v>
      </c>
      <c r="N6" s="234">
        <v>2.5000000000000001E-2</v>
      </c>
      <c r="O6" s="234">
        <v>0.29809999999999998</v>
      </c>
      <c r="P6" s="234">
        <f>_xlfn.XLOOKUP(B6,Table1[PO],Table1[المنفذ % التراكمي],0)</f>
        <v>7.51E-2</v>
      </c>
      <c r="Q6" s="235">
        <f>P6-O6</f>
        <v>-0.22299999999999998</v>
      </c>
      <c r="R6" s="235">
        <f t="shared" si="1"/>
        <v>5.0099999999999999E-2</v>
      </c>
      <c r="S6" s="435" t="s">
        <v>566</v>
      </c>
      <c r="T6" s="433"/>
      <c r="U6" s="434" t="s">
        <v>570</v>
      </c>
      <c r="V6" s="236">
        <f t="shared" si="2"/>
        <v>1.6500000000000001E-2</v>
      </c>
      <c r="W6" s="237">
        <f t="shared" si="3"/>
        <v>0.29809999999999998</v>
      </c>
      <c r="X6" s="238" t="str">
        <f>_xlfn.XLOOKUP(B6,Table4[PO],Table4[التاريخ المتوقع للتعثر - دراسة صفرية],0)</f>
        <v>متعثر</v>
      </c>
      <c r="Y6" s="239">
        <f>_xlfn.XLOOKUP(B6,Table4[PO],Table4[نسبة المدة المنقضية %],0)</f>
        <v>0.60733944954128438</v>
      </c>
      <c r="Z6" s="240">
        <f>_xlfn.XLOOKUP(B6,Table4[PO],Table4[التاريخ المتوقع لدخول المشروع التعثر بالمدة المنقضية],0)</f>
        <v>46660.25</v>
      </c>
      <c r="AA6" s="350"/>
      <c r="AB6" s="351"/>
    </row>
    <row r="7" spans="1:58" s="125" customFormat="1" ht="105" customHeight="1">
      <c r="A7" s="126">
        <v>4</v>
      </c>
      <c r="B7" s="127">
        <v>901230176</v>
      </c>
      <c r="C7" s="130" t="s">
        <v>65</v>
      </c>
      <c r="D7" s="130" t="s">
        <v>14</v>
      </c>
      <c r="E7" s="130"/>
      <c r="F7" s="221"/>
      <c r="G7" s="222" t="s">
        <v>338</v>
      </c>
      <c r="H7" s="223">
        <v>0.54759999999999998</v>
      </c>
      <c r="I7" s="224">
        <v>0.59670000000000001</v>
      </c>
      <c r="J7" s="224">
        <v>0.54800000000000004</v>
      </c>
      <c r="K7" s="224">
        <v>0.61350000000000005</v>
      </c>
      <c r="L7" s="224">
        <v>0.54869999999999997</v>
      </c>
      <c r="M7" s="224">
        <v>0.62980000000000003</v>
      </c>
      <c r="N7" s="224">
        <v>0.54949999999999999</v>
      </c>
      <c r="O7" s="224">
        <v>0.64500000000000002</v>
      </c>
      <c r="P7" s="224">
        <f>_xlfn.XLOOKUP(B7,Table1[PO],Table1[المنفذ % التراكمي],0)</f>
        <v>0.55979999999999996</v>
      </c>
      <c r="Q7" s="225">
        <f t="shared" ref="Q7" si="4">P7-O7</f>
        <v>-8.5200000000000053E-2</v>
      </c>
      <c r="R7" s="225">
        <f t="shared" si="1"/>
        <v>1.0299999999999976E-2</v>
      </c>
      <c r="S7" s="431" t="s">
        <v>540</v>
      </c>
      <c r="T7" s="429"/>
      <c r="U7" s="430" t="s">
        <v>571</v>
      </c>
      <c r="V7" s="226">
        <f t="shared" si="2"/>
        <v>3.0499999999999972E-3</v>
      </c>
      <c r="W7" s="227">
        <f t="shared" si="3"/>
        <v>0.64500000000000002</v>
      </c>
      <c r="X7" s="228">
        <f>_xlfn.XLOOKUP(B7,Table4[PO],Table4[التاريخ المتوقع للتعثر - دراسة صفرية],0)</f>
        <v>46328</v>
      </c>
      <c r="Y7" s="229">
        <f>_xlfn.XLOOKUP(B7,Table4[PO],Table4[نسبة المدة المنقضية %],0)</f>
        <v>0.93893805309734513</v>
      </c>
      <c r="Z7" s="230">
        <f>_xlfn.XLOOKUP(B7,Table4[PO],Table4[التاريخ المتوقع لدخول المشروع التعثر بالمدة المنقضية],0)</f>
        <v>46661.5</v>
      </c>
      <c r="AA7" s="350"/>
      <c r="AB7" s="351"/>
    </row>
    <row r="8" spans="1:58" s="125" customFormat="1" ht="58.2" customHeight="1">
      <c r="A8" s="123">
        <v>5</v>
      </c>
      <c r="B8" s="124">
        <v>901240102</v>
      </c>
      <c r="C8" s="131" t="s">
        <v>69</v>
      </c>
      <c r="D8" s="131" t="s">
        <v>15</v>
      </c>
      <c r="E8" s="131"/>
      <c r="F8" s="231"/>
      <c r="G8" s="232" t="s">
        <v>339</v>
      </c>
      <c r="H8" s="233">
        <v>0.51259999999999994</v>
      </c>
      <c r="I8" s="234">
        <v>1</v>
      </c>
      <c r="J8" s="234">
        <v>0.51259999999999994</v>
      </c>
      <c r="K8" s="234">
        <v>1</v>
      </c>
      <c r="L8" s="234">
        <v>0.51259999999999994</v>
      </c>
      <c r="M8" s="234">
        <v>0.61199999999999999</v>
      </c>
      <c r="N8" s="234">
        <v>0.51259999999999994</v>
      </c>
      <c r="O8" s="234">
        <v>0.65280000000000005</v>
      </c>
      <c r="P8" s="234">
        <f>_xlfn.XLOOKUP(B8,Table1[PO],Table1[المنفذ % التراكمي],0)</f>
        <v>0.82</v>
      </c>
      <c r="Q8" s="235">
        <f>P8-O8</f>
        <v>0.1671999999999999</v>
      </c>
      <c r="R8" s="235">
        <f t="shared" ref="R8" si="5">P8-N8</f>
        <v>0.30740000000000001</v>
      </c>
      <c r="S8" s="435" t="s">
        <v>530</v>
      </c>
      <c r="T8" s="433"/>
      <c r="U8" s="434" t="s">
        <v>101</v>
      </c>
      <c r="V8" s="236">
        <f t="shared" si="2"/>
        <v>7.6850000000000002E-2</v>
      </c>
      <c r="W8" s="237">
        <f t="shared" si="3"/>
        <v>0.65280000000000005</v>
      </c>
      <c r="X8" s="238" t="str">
        <f>_xlfn.XLOOKUP(B8,Table4[PO],Table4[التاريخ المتوقع للتعثر - دراسة صفرية],0)</f>
        <v>غير متوقع تعثره</v>
      </c>
      <c r="Y8" s="239">
        <f>_xlfn.XLOOKUP(B8,Table4[PO],Table4[نسبة المدة المنقضية %],0)</f>
        <v>1.0520304568527918</v>
      </c>
      <c r="Z8" s="240">
        <f>_xlfn.XLOOKUP(B8,Table4[PO],Table4[التاريخ المتوقع لدخول المشروع التعثر بالمدة المنقضية],0)</f>
        <v>46466</v>
      </c>
      <c r="AA8" s="350"/>
      <c r="AB8" s="351"/>
    </row>
  </sheetData>
  <mergeCells count="24">
    <mergeCell ref="Q2:Q3"/>
    <mergeCell ref="R2:R3"/>
    <mergeCell ref="A1:A3"/>
    <mergeCell ref="B1:B3"/>
    <mergeCell ref="C1:C3"/>
    <mergeCell ref="D1:D3"/>
    <mergeCell ref="G1:R1"/>
    <mergeCell ref="E2:E3"/>
    <mergeCell ref="F2:F3"/>
    <mergeCell ref="G2:G3"/>
    <mergeCell ref="H2:H3"/>
    <mergeCell ref="I2:J2"/>
    <mergeCell ref="K2:L2"/>
    <mergeCell ref="M2:N2"/>
    <mergeCell ref="O2:P2"/>
    <mergeCell ref="X1:X3"/>
    <mergeCell ref="Y1:Y3"/>
    <mergeCell ref="Z1:Z3"/>
    <mergeCell ref="S1:U1"/>
    <mergeCell ref="U2:U3"/>
    <mergeCell ref="V1:V3"/>
    <mergeCell ref="W1:W3"/>
    <mergeCell ref="S2:S3"/>
    <mergeCell ref="T2:T3"/>
  </mergeCells>
  <printOptions horizontalCentered="1"/>
  <pageMargins left="0.21" right="0.25" top="0.42" bottom="0.32" header="0.31496062992126" footer="0.2"/>
  <pageSetup paperSize="9" scale="5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E8F4-8145-4FC6-B266-A6E272053A42}">
  <sheetPr>
    <tabColor rgb="FFFF6600"/>
  </sheetPr>
  <dimension ref="A1:Y558"/>
  <sheetViews>
    <sheetView rightToLeft="1" view="pageBreakPreview" zoomScale="70" zoomScaleNormal="40" zoomScaleSheetLayoutView="70" workbookViewId="0">
      <pane xSplit="2" ySplit="1" topLeftCell="C16" activePane="bottomRight" state="frozen"/>
      <selection activeCell="C62" sqref="C62"/>
      <selection pane="topRight" activeCell="C62" sqref="C62"/>
      <selection pane="bottomLeft" activeCell="C62" sqref="C62"/>
      <selection pane="bottomRight" activeCell="D16" sqref="D16"/>
    </sheetView>
  </sheetViews>
  <sheetFormatPr defaultColWidth="8.88671875" defaultRowHeight="14.4"/>
  <cols>
    <col min="1" max="1" width="0" style="28" hidden="1" customWidth="1"/>
    <col min="2" max="2" width="41.44140625" style="78" customWidth="1"/>
    <col min="3" max="3" width="22.44140625" style="38" customWidth="1"/>
    <col min="4" max="4" width="14" style="26" customWidth="1"/>
    <col min="5" max="5" width="10.44140625" style="38" customWidth="1"/>
    <col min="6" max="6" width="10.33203125" style="26" customWidth="1"/>
    <col min="7" max="7" width="10.33203125" style="27" customWidth="1"/>
    <col min="8" max="8" width="19.88671875" style="27" customWidth="1"/>
    <col min="9" max="9" width="18.6640625" style="26" customWidth="1"/>
    <col min="10" max="10" width="19.6640625" style="26" customWidth="1"/>
    <col min="11" max="11" width="9.33203125" style="32" customWidth="1"/>
    <col min="12" max="12" width="12.5546875" style="26" customWidth="1"/>
    <col min="13" max="13" width="17" style="142" customWidth="1"/>
    <col min="14" max="14" width="15.44140625" style="37" customWidth="1"/>
    <col min="15" max="15" width="11.6640625" style="26" customWidth="1"/>
    <col min="16" max="17" width="10.44140625" style="26" customWidth="1"/>
    <col min="18" max="18" width="15.33203125" style="28" customWidth="1"/>
    <col min="19" max="19" width="8.88671875" style="24" customWidth="1"/>
    <col min="20" max="20" width="26.44140625" style="52" customWidth="1"/>
    <col min="21" max="21" width="12.33203125" style="28" customWidth="1"/>
    <col min="22" max="22" width="10.88671875" style="685" customWidth="1"/>
    <col min="23" max="23" width="10.88671875" style="687" customWidth="1"/>
    <col min="24" max="25" width="8.88671875" style="910"/>
    <col min="26" max="16384" width="8.88671875" style="26"/>
  </cols>
  <sheetData>
    <row r="1" spans="1:25" s="808" customFormat="1" ht="57" customHeight="1">
      <c r="A1" s="794" t="s">
        <v>242</v>
      </c>
      <c r="B1" s="795" t="s">
        <v>0</v>
      </c>
      <c r="C1" s="796" t="s">
        <v>22</v>
      </c>
      <c r="D1" s="796" t="s">
        <v>8</v>
      </c>
      <c r="E1" s="797" t="s">
        <v>95</v>
      </c>
      <c r="F1" s="797" t="s">
        <v>96</v>
      </c>
      <c r="G1" s="797" t="s">
        <v>7</v>
      </c>
      <c r="H1" s="798" t="s">
        <v>233</v>
      </c>
      <c r="I1" s="798" t="s">
        <v>238</v>
      </c>
      <c r="J1" s="805" t="s">
        <v>124</v>
      </c>
      <c r="K1" s="803" t="s">
        <v>137</v>
      </c>
      <c r="L1" s="799" t="s">
        <v>119</v>
      </c>
      <c r="M1" s="800" t="s">
        <v>2</v>
      </c>
      <c r="N1" s="804" t="s">
        <v>952</v>
      </c>
      <c r="O1" s="804" t="s">
        <v>97</v>
      </c>
      <c r="P1" s="797" t="s">
        <v>6</v>
      </c>
      <c r="Q1" s="803" t="s">
        <v>76</v>
      </c>
      <c r="R1" s="797" t="s">
        <v>1</v>
      </c>
      <c r="S1" s="797" t="s">
        <v>98</v>
      </c>
      <c r="T1" s="801">
        <v>46310</v>
      </c>
      <c r="U1" s="802" t="s">
        <v>363</v>
      </c>
      <c r="V1" s="806"/>
      <c r="W1" s="807"/>
      <c r="X1" s="905"/>
      <c r="Y1" s="905"/>
    </row>
    <row r="2" spans="1:25" s="25" customFormat="1" ht="27" customHeight="1">
      <c r="A2" s="64">
        <v>1</v>
      </c>
      <c r="B2" s="761" t="s">
        <v>49</v>
      </c>
      <c r="C2" s="367" t="s">
        <v>28</v>
      </c>
      <c r="D2" s="368">
        <v>901240018</v>
      </c>
      <c r="E2" s="368" t="s">
        <v>277</v>
      </c>
      <c r="F2" s="368" t="s">
        <v>525</v>
      </c>
      <c r="G2" s="368" t="s">
        <v>99</v>
      </c>
      <c r="H2" s="369">
        <v>45431</v>
      </c>
      <c r="I2" s="369">
        <v>47029</v>
      </c>
      <c r="J2" s="369">
        <v>47222</v>
      </c>
      <c r="K2" s="370">
        <v>-165</v>
      </c>
      <c r="L2" s="371">
        <f>Table156101114[[#This Row],[النهاية المعدلة للمشروع]]-Table156101114[[#This Row],[البداية التعاقدية المشروع]]</f>
        <v>1598</v>
      </c>
      <c r="M2" s="372">
        <v>72961730</v>
      </c>
      <c r="N2" s="373">
        <v>0.25640000000000002</v>
      </c>
      <c r="O2" s="373">
        <v>0.21709999999999999</v>
      </c>
      <c r="P2" s="373">
        <f>Table156101114[[#This Row],[Act %]]-Table156101114[[#This Row],[المخطط % 15 اكتوبر2026]]</f>
        <v>-3.9300000000000029E-2</v>
      </c>
      <c r="Q2" s="373" t="s">
        <v>77</v>
      </c>
      <c r="R2" s="373">
        <f t="shared" ref="R2:R33" si="0">(($T$1-H2))/(I2-H2)</f>
        <v>0.55006257822277849</v>
      </c>
      <c r="S2" s="371">
        <f t="shared" ref="S2:S33" si="1">IFERROR(O2/N2,"1")</f>
        <v>0.84672386895475804</v>
      </c>
      <c r="T2" s="762">
        <f>_xlfn.XLOOKUP(Table156101114[[#This Row],[PO]],Table1[PO],Table1[نهاية المشروع المعدلة PMO LIVE],0)</f>
        <v>47029</v>
      </c>
      <c r="U2" s="763">
        <f>T2-Table156101114[[#This Row],[النهاية المعدلة للمشروع]]</f>
        <v>0</v>
      </c>
      <c r="V2" s="684" t="str">
        <f>_xlfn.XLOOKUP(Table156101114[[#This Row],[PO]],Table1[PO],Table1[حالة المشروع],0)</f>
        <v>منتظم</v>
      </c>
      <c r="W2" s="686" t="str">
        <f>IF(V2=Table156101114[[#This Row],[حالة المشروع]],"صح","غلط")</f>
        <v>صح</v>
      </c>
      <c r="X2" s="906"/>
      <c r="Y2" s="906"/>
    </row>
    <row r="3" spans="1:25" s="25" customFormat="1" ht="27" customHeight="1">
      <c r="A3" s="64">
        <v>3</v>
      </c>
      <c r="B3" s="761" t="s">
        <v>247</v>
      </c>
      <c r="C3" s="367" t="s">
        <v>27</v>
      </c>
      <c r="D3" s="368">
        <v>901230317</v>
      </c>
      <c r="E3" s="368" t="s">
        <v>277</v>
      </c>
      <c r="F3" s="368" t="s">
        <v>277</v>
      </c>
      <c r="G3" s="368" t="s">
        <v>99</v>
      </c>
      <c r="H3" s="369">
        <v>45342</v>
      </c>
      <c r="I3" s="369">
        <v>46856</v>
      </c>
      <c r="J3" s="369">
        <v>47055</v>
      </c>
      <c r="K3" s="370">
        <v>-165</v>
      </c>
      <c r="L3" s="371">
        <f>Table156101114[[#This Row],[النهاية المعدلة للمشروع]]-Table156101114[[#This Row],[البداية التعاقدية المشروع]]</f>
        <v>1514</v>
      </c>
      <c r="M3" s="372">
        <v>37946974</v>
      </c>
      <c r="N3" s="373">
        <v>0.443</v>
      </c>
      <c r="O3" s="373">
        <v>0.42</v>
      </c>
      <c r="P3" s="373">
        <f>Table156101114[[#This Row],[Act %]]-Table156101114[[#This Row],[المخطط % 15 اكتوبر2026]]</f>
        <v>-2.300000000000002E-2</v>
      </c>
      <c r="Q3" s="373" t="s">
        <v>77</v>
      </c>
      <c r="R3" s="373">
        <f t="shared" si="0"/>
        <v>0.63936591809775434</v>
      </c>
      <c r="S3" s="371">
        <f t="shared" si="1"/>
        <v>0.94808126410835214</v>
      </c>
      <c r="T3" s="764">
        <f>_xlfn.XLOOKUP(Table156101114[[#This Row],[PO]],Table1[PO],Table1[نهاية المشروع المعدلة PMO LIVE],0)</f>
        <v>46856</v>
      </c>
      <c r="U3" s="765">
        <f>T3-Table156101114[[#This Row],[النهاية المعدلة للمشروع]]</f>
        <v>0</v>
      </c>
      <c r="V3" s="684" t="str">
        <f>_xlfn.XLOOKUP(Table156101114[[#This Row],[PO]],Table1[PO],Table1[حالة المشروع],0)</f>
        <v>منتظم</v>
      </c>
      <c r="W3" s="686" t="str">
        <f>IF(V3=Table156101114[[#This Row],[حالة المشروع]],"صح","غلط")</f>
        <v>صح</v>
      </c>
      <c r="X3" s="906"/>
      <c r="Y3" s="906"/>
    </row>
    <row r="4" spans="1:25" s="25" customFormat="1" ht="27" customHeight="1">
      <c r="A4" s="65">
        <v>6</v>
      </c>
      <c r="B4" s="766" t="s">
        <v>440</v>
      </c>
      <c r="C4" s="367" t="s">
        <v>34</v>
      </c>
      <c r="D4" s="368">
        <v>901240075</v>
      </c>
      <c r="E4" s="368" t="s">
        <v>277</v>
      </c>
      <c r="F4" s="368" t="s">
        <v>277</v>
      </c>
      <c r="G4" s="368" t="s">
        <v>99</v>
      </c>
      <c r="H4" s="369">
        <v>45468</v>
      </c>
      <c r="I4" s="392">
        <v>46480</v>
      </c>
      <c r="J4" s="369">
        <v>46616</v>
      </c>
      <c r="K4" s="370">
        <v>-117</v>
      </c>
      <c r="L4" s="371">
        <f>Table156101114[[#This Row],[النهاية المعدلة للمشروع]]-Table156101114[[#This Row],[البداية التعاقدية المشروع]]</f>
        <v>1012</v>
      </c>
      <c r="M4" s="372">
        <v>39025475.450000003</v>
      </c>
      <c r="N4" s="373">
        <v>0.45739999999999997</v>
      </c>
      <c r="O4" s="373">
        <v>0.13200000000000001</v>
      </c>
      <c r="P4" s="373">
        <f>Table156101114[[#This Row],[Act %]]-Table156101114[[#This Row],[المخطط % 15 اكتوبر2026]]</f>
        <v>-0.32539999999999997</v>
      </c>
      <c r="Q4" s="373" t="s">
        <v>85</v>
      </c>
      <c r="R4" s="373">
        <f t="shared" si="0"/>
        <v>0.83201581027667981</v>
      </c>
      <c r="S4" s="371">
        <f t="shared" si="1"/>
        <v>0.28858766943594233</v>
      </c>
      <c r="T4" s="762">
        <f>_xlfn.XLOOKUP(Table156101114[[#This Row],[PO]],Table1[PO],Table1[نهاية المشروع المعدلة PMO LIVE],0)</f>
        <v>46480</v>
      </c>
      <c r="U4" s="763">
        <f>T4-Table156101114[[#This Row],[النهاية المعدلة للمشروع]]</f>
        <v>0</v>
      </c>
      <c r="V4" s="684" t="str">
        <f>_xlfn.XLOOKUP(Table156101114[[#This Row],[PO]],Table1[PO],Table1[حالة المشروع],0)</f>
        <v>متعثر</v>
      </c>
      <c r="W4" s="686" t="str">
        <f>IF(V4=Table156101114[[#This Row],[حالة المشروع]],"صح","غلط")</f>
        <v>صح</v>
      </c>
      <c r="X4" s="906"/>
      <c r="Y4" s="906"/>
    </row>
    <row r="5" spans="1:25" s="25" customFormat="1" ht="27" customHeight="1">
      <c r="A5" s="64">
        <v>7</v>
      </c>
      <c r="B5" s="767" t="s">
        <v>48</v>
      </c>
      <c r="C5" s="367" t="s">
        <v>24</v>
      </c>
      <c r="D5" s="368">
        <v>901230253</v>
      </c>
      <c r="E5" s="368" t="s">
        <v>277</v>
      </c>
      <c r="F5" s="368" t="s">
        <v>172</v>
      </c>
      <c r="G5" s="368" t="s">
        <v>99</v>
      </c>
      <c r="H5" s="369">
        <v>45316</v>
      </c>
      <c r="I5" s="369">
        <v>46379</v>
      </c>
      <c r="J5" s="369">
        <v>46809</v>
      </c>
      <c r="K5" s="370">
        <v>-336</v>
      </c>
      <c r="L5" s="371">
        <f>Table156101114[[#This Row],[النهاية المعدلة للمشروع]]-Table156101114[[#This Row],[البداية التعاقدية المشروع]]</f>
        <v>1063</v>
      </c>
      <c r="M5" s="372">
        <v>23313385</v>
      </c>
      <c r="N5" s="373">
        <v>0.64480000000000004</v>
      </c>
      <c r="O5" s="373">
        <v>0.2102</v>
      </c>
      <c r="P5" s="373">
        <f>Table156101114[[#This Row],[Act %]]-Table156101114[[#This Row],[المخطط % 15 اكتوبر2026]]</f>
        <v>-0.43460000000000004</v>
      </c>
      <c r="Q5" s="373" t="s">
        <v>85</v>
      </c>
      <c r="R5" s="373">
        <f t="shared" si="0"/>
        <v>0.93508936970837253</v>
      </c>
      <c r="S5" s="371">
        <f t="shared" si="1"/>
        <v>0.32599255583126546</v>
      </c>
      <c r="T5" s="764">
        <f>_xlfn.XLOOKUP(Table156101114[[#This Row],[PO]],Table1[PO],Table1[نهاية المشروع المعدلة PMO LIVE],0)</f>
        <v>46379</v>
      </c>
      <c r="U5" s="765">
        <f>T5-Table156101114[[#This Row],[النهاية المعدلة للمشروع]]</f>
        <v>0</v>
      </c>
      <c r="V5" s="684" t="str">
        <f>_xlfn.XLOOKUP(Table156101114[[#This Row],[PO]],Table1[PO],Table1[حالة المشروع],0)</f>
        <v>متعثر</v>
      </c>
      <c r="W5" s="686" t="str">
        <f>IF(V5=Table156101114[[#This Row],[حالة المشروع]],"صح","غلط")</f>
        <v>صح</v>
      </c>
      <c r="X5" s="906"/>
      <c r="Y5" s="906"/>
    </row>
    <row r="6" spans="1:25" s="25" customFormat="1" ht="27" customHeight="1">
      <c r="A6" s="64">
        <v>9</v>
      </c>
      <c r="B6" s="768" t="s">
        <v>47</v>
      </c>
      <c r="C6" s="375" t="s">
        <v>173</v>
      </c>
      <c r="D6" s="368">
        <v>901230145</v>
      </c>
      <c r="E6" s="368" t="s">
        <v>277</v>
      </c>
      <c r="F6" s="368" t="s">
        <v>525</v>
      </c>
      <c r="G6" s="368" t="s">
        <v>99</v>
      </c>
      <c r="H6" s="369">
        <v>45190</v>
      </c>
      <c r="I6" s="369">
        <v>46706</v>
      </c>
      <c r="J6" s="369">
        <v>46900</v>
      </c>
      <c r="K6" s="370">
        <v>-166</v>
      </c>
      <c r="L6" s="371">
        <f>Table156101114[[#This Row],[النهاية المعدلة للمشروع]]-Table156101114[[#This Row],[البداية التعاقدية المشروع]]</f>
        <v>1516</v>
      </c>
      <c r="M6" s="372">
        <v>49347884</v>
      </c>
      <c r="N6" s="373">
        <v>0.50680000000000003</v>
      </c>
      <c r="O6" s="373">
        <v>0.50539999999999996</v>
      </c>
      <c r="P6" s="373">
        <f>Table156101114[[#This Row],[Act %]]-Table156101114[[#This Row],[المخطط % 15 اكتوبر2026]]</f>
        <v>-1.4000000000000679E-3</v>
      </c>
      <c r="Q6" s="373" t="s">
        <v>77</v>
      </c>
      <c r="R6" s="373">
        <f t="shared" si="0"/>
        <v>0.73878627968337729</v>
      </c>
      <c r="S6" s="371">
        <f t="shared" si="1"/>
        <v>0.99723756906077332</v>
      </c>
      <c r="T6" s="762">
        <f>_xlfn.XLOOKUP(Table156101114[[#This Row],[PO]],Table1[PO],Table1[نهاية المشروع المعدلة PMO LIVE],0)</f>
        <v>46706</v>
      </c>
      <c r="U6" s="763">
        <f>T6-Table156101114[[#This Row],[النهاية المعدلة للمشروع]]</f>
        <v>0</v>
      </c>
      <c r="V6" s="684" t="str">
        <f>_xlfn.XLOOKUP(Table156101114[[#This Row],[PO]],Table1[PO],Table1[حالة المشروع],0)</f>
        <v>منتظم</v>
      </c>
      <c r="W6" s="686" t="str">
        <f>IF(V6=Table156101114[[#This Row],[حالة المشروع]],"صح","غلط")</f>
        <v>صح</v>
      </c>
      <c r="X6" s="906"/>
      <c r="Y6" s="906"/>
    </row>
    <row r="7" spans="1:25" s="25" customFormat="1" ht="27" customHeight="1">
      <c r="A7" s="65">
        <v>10</v>
      </c>
      <c r="B7" s="761" t="s">
        <v>46</v>
      </c>
      <c r="C7" s="367" t="s">
        <v>26</v>
      </c>
      <c r="D7" s="368">
        <v>901230273</v>
      </c>
      <c r="E7" s="368" t="s">
        <v>277</v>
      </c>
      <c r="F7" s="368" t="s">
        <v>277</v>
      </c>
      <c r="G7" s="368" t="s">
        <v>99</v>
      </c>
      <c r="H7" s="369">
        <v>45340</v>
      </c>
      <c r="I7" s="374">
        <v>46581</v>
      </c>
      <c r="J7" s="369">
        <v>46730</v>
      </c>
      <c r="K7" s="370">
        <v>-163</v>
      </c>
      <c r="L7" s="371">
        <f>Table156101114[[#This Row],[النهاية المعدلة للمشروع]]-Table156101114[[#This Row],[البداية التعاقدية المشروع]]</f>
        <v>1241</v>
      </c>
      <c r="M7" s="372">
        <v>22736763</v>
      </c>
      <c r="N7" s="373">
        <v>0.59909999999999997</v>
      </c>
      <c r="O7" s="373">
        <v>0.62</v>
      </c>
      <c r="P7" s="373">
        <f>Table156101114[[#This Row],[Act %]]-Table156101114[[#This Row],[المخطط % 15 اكتوبر2026]]</f>
        <v>2.090000000000003E-2</v>
      </c>
      <c r="Q7" s="373" t="s">
        <v>78</v>
      </c>
      <c r="R7" s="373">
        <f t="shared" si="0"/>
        <v>0.78162771958098309</v>
      </c>
      <c r="S7" s="371">
        <f t="shared" si="1"/>
        <v>1.0348856618260724</v>
      </c>
      <c r="T7" s="764">
        <f>_xlfn.XLOOKUP(Table156101114[[#This Row],[PO]],Table1[PO],Table1[نهاية المشروع المعدلة PMO LIVE],0)</f>
        <v>46581</v>
      </c>
      <c r="U7" s="765">
        <f>T7-Table156101114[[#This Row],[النهاية المعدلة للمشروع]]</f>
        <v>0</v>
      </c>
      <c r="V7" s="684" t="str">
        <f>_xlfn.XLOOKUP(Table156101114[[#This Row],[PO]],Table1[PO],Table1[حالة المشروع],0)</f>
        <v>متقدم</v>
      </c>
      <c r="W7" s="686" t="str">
        <f>IF(V7=Table156101114[[#This Row],[حالة المشروع]],"صح","غلط")</f>
        <v>صح</v>
      </c>
      <c r="X7" s="906"/>
      <c r="Y7" s="906"/>
    </row>
    <row r="8" spans="1:25" s="25" customFormat="1" ht="27" customHeight="1">
      <c r="A8" s="64">
        <v>11</v>
      </c>
      <c r="B8" s="761" t="s">
        <v>523</v>
      </c>
      <c r="C8" s="367" t="s">
        <v>30</v>
      </c>
      <c r="D8" s="368">
        <v>901240021</v>
      </c>
      <c r="E8" s="368" t="s">
        <v>277</v>
      </c>
      <c r="F8" s="368" t="s">
        <v>277</v>
      </c>
      <c r="G8" s="368" t="s">
        <v>99</v>
      </c>
      <c r="H8" s="369">
        <v>45404</v>
      </c>
      <c r="I8" s="369">
        <v>47014</v>
      </c>
      <c r="J8" s="369">
        <v>47154</v>
      </c>
      <c r="K8" s="370">
        <v>-119</v>
      </c>
      <c r="L8" s="371">
        <f>Table156101114[[#This Row],[النهاية المعدلة للمشروع]]-Table156101114[[#This Row],[البداية التعاقدية المشروع]]</f>
        <v>1610</v>
      </c>
      <c r="M8" s="372">
        <v>97195616</v>
      </c>
      <c r="N8" s="373">
        <v>0.50870000000000004</v>
      </c>
      <c r="O8" s="373">
        <v>0.57850000000000001</v>
      </c>
      <c r="P8" s="373">
        <f>Table156101114[[#This Row],[Act %]]-Table156101114[[#This Row],[المخطط % 15 اكتوبر2026]]</f>
        <v>6.9799999999999973E-2</v>
      </c>
      <c r="Q8" s="373" t="s">
        <v>78</v>
      </c>
      <c r="R8" s="373">
        <f t="shared" si="0"/>
        <v>0.5627329192546584</v>
      </c>
      <c r="S8" s="371">
        <f t="shared" si="1"/>
        <v>1.1372125024572439</v>
      </c>
      <c r="T8" s="762">
        <f>_xlfn.XLOOKUP(Table156101114[[#This Row],[PO]],Table1[PO],Table1[نهاية المشروع المعدلة PMO LIVE],0)</f>
        <v>47014</v>
      </c>
      <c r="U8" s="763">
        <f>T8-Table156101114[[#This Row],[النهاية المعدلة للمشروع]]</f>
        <v>0</v>
      </c>
      <c r="V8" s="684" t="str">
        <f>_xlfn.XLOOKUP(Table156101114[[#This Row],[PO]],Table1[PO],Table1[حالة المشروع],0)</f>
        <v>متقدم</v>
      </c>
      <c r="W8" s="686" t="str">
        <f>IF(V8=Table156101114[[#This Row],[حالة المشروع]],"صح","غلط")</f>
        <v>صح</v>
      </c>
      <c r="X8" s="906"/>
      <c r="Y8" s="906"/>
    </row>
    <row r="9" spans="1:25" s="25" customFormat="1" ht="27" customHeight="1">
      <c r="A9" s="65">
        <v>12</v>
      </c>
      <c r="B9" s="761" t="s">
        <v>45</v>
      </c>
      <c r="C9" s="367" t="s">
        <v>31</v>
      </c>
      <c r="D9" s="368">
        <v>901240095</v>
      </c>
      <c r="E9" s="368" t="s">
        <v>277</v>
      </c>
      <c r="F9" s="368" t="s">
        <v>525</v>
      </c>
      <c r="G9" s="368" t="s">
        <v>99</v>
      </c>
      <c r="H9" s="369">
        <v>45526</v>
      </c>
      <c r="I9" s="369">
        <v>46694</v>
      </c>
      <c r="J9" s="369">
        <v>46888</v>
      </c>
      <c r="K9" s="370">
        <v>-166</v>
      </c>
      <c r="L9" s="371">
        <f>Table156101114[[#This Row],[النهاية المعدلة للمشروع]]-Table156101114[[#This Row],[البداية التعاقدية المشروع]]</f>
        <v>1168</v>
      </c>
      <c r="M9" s="372">
        <v>25593675.800000001</v>
      </c>
      <c r="N9" s="381">
        <v>0.2722</v>
      </c>
      <c r="O9" s="373">
        <v>0.18959999999999999</v>
      </c>
      <c r="P9" s="373">
        <f>Table156101114[[#This Row],[Act %]]-Table156101114[[#This Row],[المخطط % 15 اكتوبر2026]]</f>
        <v>-8.2600000000000007E-2</v>
      </c>
      <c r="Q9" s="373" t="s">
        <v>77</v>
      </c>
      <c r="R9" s="373">
        <f t="shared" si="0"/>
        <v>0.67123287671232879</v>
      </c>
      <c r="S9" s="371">
        <f t="shared" si="1"/>
        <v>0.69654665686994854</v>
      </c>
      <c r="T9" s="764">
        <f>_xlfn.XLOOKUP(Table156101114[[#This Row],[PO]],Table1[PO],Table1[نهاية المشروع المعدلة PMO LIVE],0)</f>
        <v>46694</v>
      </c>
      <c r="U9" s="765">
        <f>T9-Table156101114[[#This Row],[النهاية المعدلة للمشروع]]</f>
        <v>0</v>
      </c>
      <c r="V9" s="684" t="str">
        <f>_xlfn.XLOOKUP(Table156101114[[#This Row],[PO]],Table1[PO],Table1[حالة المشروع],0)</f>
        <v>منتظم</v>
      </c>
      <c r="W9" s="686" t="str">
        <f>IF(V9=Table156101114[[#This Row],[حالة المشروع]],"صح","غلط")</f>
        <v>صح</v>
      </c>
      <c r="X9" s="906"/>
      <c r="Y9" s="906"/>
    </row>
    <row r="10" spans="1:25" s="33" customFormat="1" ht="27" customHeight="1">
      <c r="A10" s="64">
        <v>13</v>
      </c>
      <c r="B10" s="761" t="s">
        <v>174</v>
      </c>
      <c r="C10" s="367" t="s">
        <v>29</v>
      </c>
      <c r="D10" s="368">
        <v>901240137</v>
      </c>
      <c r="E10" s="368" t="s">
        <v>277</v>
      </c>
      <c r="F10" s="368" t="s">
        <v>277</v>
      </c>
      <c r="G10" s="368" t="s">
        <v>99</v>
      </c>
      <c r="H10" s="369">
        <v>45565</v>
      </c>
      <c r="I10" s="392">
        <v>47057</v>
      </c>
      <c r="J10" s="369">
        <v>47248</v>
      </c>
      <c r="K10" s="370">
        <v>-164</v>
      </c>
      <c r="L10" s="371">
        <f>Table156101114[[#This Row],[النهاية المعدلة للمشروع]]-Table156101114[[#This Row],[البداية التعاقدية المشروع]]</f>
        <v>1492</v>
      </c>
      <c r="M10" s="372">
        <v>25173950</v>
      </c>
      <c r="N10" s="373">
        <v>0.14369999999999999</v>
      </c>
      <c r="O10" s="373">
        <v>0.151</v>
      </c>
      <c r="P10" s="373">
        <f>Table156101114[[#This Row],[Act %]]-Table156101114[[#This Row],[المخطط % 15 اكتوبر2026]]</f>
        <v>7.3000000000000009E-3</v>
      </c>
      <c r="Q10" s="373" t="s">
        <v>78</v>
      </c>
      <c r="R10" s="373">
        <f t="shared" si="0"/>
        <v>0.49932975871313673</v>
      </c>
      <c r="S10" s="371">
        <f t="shared" si="1"/>
        <v>1.0508002783576897</v>
      </c>
      <c r="T10" s="762">
        <f>_xlfn.XLOOKUP(Table156101114[[#This Row],[PO]],Table1[PO],Table1[نهاية المشروع المعدلة PMO LIVE],0)</f>
        <v>47057</v>
      </c>
      <c r="U10" s="763">
        <f>T10-Table156101114[[#This Row],[النهاية المعدلة للمشروع]]</f>
        <v>0</v>
      </c>
      <c r="V10" s="684" t="str">
        <f>_xlfn.XLOOKUP(Table156101114[[#This Row],[PO]],Table1[PO],Table1[حالة المشروع],0)</f>
        <v>متقدم</v>
      </c>
      <c r="W10" s="686" t="str">
        <f>IF(V10=Table156101114[[#This Row],[حالة المشروع]],"صح","غلط")</f>
        <v>صح</v>
      </c>
      <c r="X10" s="907"/>
      <c r="Y10" s="907"/>
    </row>
    <row r="11" spans="1:25" s="25" customFormat="1" ht="27" customHeight="1">
      <c r="A11" s="65">
        <v>14</v>
      </c>
      <c r="B11" s="761" t="s">
        <v>44</v>
      </c>
      <c r="C11" s="367" t="s">
        <v>33</v>
      </c>
      <c r="D11" s="368">
        <v>901240136</v>
      </c>
      <c r="E11" s="368" t="s">
        <v>277</v>
      </c>
      <c r="F11" s="368" t="s">
        <v>277</v>
      </c>
      <c r="G11" s="368" t="s">
        <v>99</v>
      </c>
      <c r="H11" s="369">
        <v>45544</v>
      </c>
      <c r="I11" s="374">
        <v>47074</v>
      </c>
      <c r="J11" s="369">
        <v>47118</v>
      </c>
      <c r="K11" s="370">
        <v>-38</v>
      </c>
      <c r="L11" s="371">
        <f>Table156101114[[#This Row],[النهاية المعدلة للمشروع]]-Table156101114[[#This Row],[البداية التعاقدية المشروع]]</f>
        <v>1530</v>
      </c>
      <c r="M11" s="372">
        <v>31212700</v>
      </c>
      <c r="N11" s="373">
        <v>0.13020000000000001</v>
      </c>
      <c r="O11" s="373">
        <v>0.105</v>
      </c>
      <c r="P11" s="373">
        <f>Table156101114[[#This Row],[Act %]]-Table156101114[[#This Row],[المخطط % 15 اكتوبر2026]]</f>
        <v>-2.5200000000000014E-2</v>
      </c>
      <c r="Q11" s="373" t="s">
        <v>77</v>
      </c>
      <c r="R11" s="373">
        <f t="shared" si="0"/>
        <v>0.50065359477124183</v>
      </c>
      <c r="S11" s="371">
        <f t="shared" si="1"/>
        <v>0.80645161290322576</v>
      </c>
      <c r="T11" s="764">
        <f>_xlfn.XLOOKUP(Table156101114[[#This Row],[PO]],Table1[PO],Table1[نهاية المشروع المعدلة PMO LIVE],0)</f>
        <v>47074</v>
      </c>
      <c r="U11" s="765">
        <f>T11-Table156101114[[#This Row],[النهاية المعدلة للمشروع]]</f>
        <v>0</v>
      </c>
      <c r="V11" s="684" t="str">
        <f>_xlfn.XLOOKUP(Table156101114[[#This Row],[PO]],Table1[PO],Table1[حالة المشروع],0)</f>
        <v>منتظم</v>
      </c>
      <c r="W11" s="686" t="str">
        <f>IF(V11=Table156101114[[#This Row],[حالة المشروع]],"صح","غلط")</f>
        <v>صح</v>
      </c>
      <c r="X11" s="906"/>
      <c r="Y11" s="906"/>
    </row>
    <row r="12" spans="1:25" s="25" customFormat="1" ht="27" customHeight="1">
      <c r="A12" s="64">
        <v>15</v>
      </c>
      <c r="B12" s="766" t="s">
        <v>43</v>
      </c>
      <c r="C12" s="375" t="s">
        <v>35</v>
      </c>
      <c r="D12" s="368">
        <v>901240210</v>
      </c>
      <c r="E12" s="368" t="s">
        <v>277</v>
      </c>
      <c r="F12" s="376" t="s">
        <v>525</v>
      </c>
      <c r="G12" s="376" t="s">
        <v>99</v>
      </c>
      <c r="H12" s="369">
        <v>45582</v>
      </c>
      <c r="I12" s="369">
        <v>46737</v>
      </c>
      <c r="J12" s="369">
        <v>46805</v>
      </c>
      <c r="K12" s="370">
        <v>-58</v>
      </c>
      <c r="L12" s="371">
        <f>Table156101114[[#This Row],[النهاية المعدلة للمشروع]]-Table156101114[[#This Row],[البداية التعاقدية المشروع]]</f>
        <v>1155</v>
      </c>
      <c r="M12" s="372">
        <v>27897360</v>
      </c>
      <c r="N12" s="373">
        <v>0.43369999999999997</v>
      </c>
      <c r="O12" s="373">
        <v>0.43259999999999998</v>
      </c>
      <c r="P12" s="373">
        <f>Table156101114[[#This Row],[Act %]]-Table156101114[[#This Row],[المخطط % 15 اكتوبر2026]]</f>
        <v>-1.0999999999999899E-3</v>
      </c>
      <c r="Q12" s="373" t="s">
        <v>77</v>
      </c>
      <c r="R12" s="373">
        <f t="shared" si="0"/>
        <v>0.63030303030303025</v>
      </c>
      <c r="S12" s="371">
        <f t="shared" si="1"/>
        <v>0.99746368457459078</v>
      </c>
      <c r="T12" s="762">
        <f>_xlfn.XLOOKUP(Table156101114[[#This Row],[PO]],Table1[PO],Table1[نهاية المشروع المعدلة PMO LIVE],0)</f>
        <v>46737</v>
      </c>
      <c r="U12" s="763">
        <f>T12-Table156101114[[#This Row],[النهاية المعدلة للمشروع]]</f>
        <v>0</v>
      </c>
      <c r="V12" s="684" t="str">
        <f>_xlfn.XLOOKUP(Table156101114[[#This Row],[PO]],Table1[PO],Table1[حالة المشروع],0)</f>
        <v>منتظم</v>
      </c>
      <c r="W12" s="686" t="str">
        <f>IF(V12=Table156101114[[#This Row],[حالة المشروع]],"صح","غلط")</f>
        <v>صح</v>
      </c>
      <c r="X12" s="906"/>
      <c r="Y12" s="906"/>
    </row>
    <row r="13" spans="1:25" s="25" customFormat="1" ht="27" customHeight="1">
      <c r="A13" s="65">
        <v>16</v>
      </c>
      <c r="B13" s="769" t="s">
        <v>521</v>
      </c>
      <c r="C13" s="367" t="s">
        <v>175</v>
      </c>
      <c r="D13" s="368">
        <v>901240355</v>
      </c>
      <c r="E13" s="368" t="s">
        <v>277</v>
      </c>
      <c r="F13" s="368" t="s">
        <v>172</v>
      </c>
      <c r="G13" s="368" t="s">
        <v>99</v>
      </c>
      <c r="H13" s="369">
        <v>45685</v>
      </c>
      <c r="I13" s="369">
        <v>47217</v>
      </c>
      <c r="J13" s="369">
        <v>47285</v>
      </c>
      <c r="K13" s="370">
        <v>-55</v>
      </c>
      <c r="L13" s="371">
        <f>Table156101114[[#This Row],[النهاية المعدلة للمشروع]]-Table156101114[[#This Row],[البداية التعاقدية المشروع]]</f>
        <v>1532</v>
      </c>
      <c r="M13" s="372">
        <v>25782360</v>
      </c>
      <c r="N13" s="373">
        <v>0.43280000000000002</v>
      </c>
      <c r="O13" s="373">
        <v>0.68889999999999996</v>
      </c>
      <c r="P13" s="373">
        <f>Table156101114[[#This Row],[Act %]]-Table156101114[[#This Row],[المخطط % 15 اكتوبر2026]]</f>
        <v>0.25609999999999994</v>
      </c>
      <c r="Q13" s="373" t="s">
        <v>78</v>
      </c>
      <c r="R13" s="379">
        <f t="shared" si="0"/>
        <v>0.40796344647519583</v>
      </c>
      <c r="S13" s="371">
        <f t="shared" si="1"/>
        <v>1.5917282809611828</v>
      </c>
      <c r="T13" s="764">
        <f>_xlfn.XLOOKUP(Table156101114[[#This Row],[PO]],Table1[PO],Table1[نهاية المشروع المعدلة PMO LIVE],0)</f>
        <v>47217</v>
      </c>
      <c r="U13" s="765">
        <f>T13-Table156101114[[#This Row],[النهاية المعدلة للمشروع]]</f>
        <v>0</v>
      </c>
      <c r="V13" s="684" t="str">
        <f>_xlfn.XLOOKUP(Table156101114[[#This Row],[PO]],Table1[PO],Table1[حالة المشروع],0)</f>
        <v>متقدم</v>
      </c>
      <c r="W13" s="686" t="str">
        <f>IF(V13=Table156101114[[#This Row],[حالة المشروع]],"صح","غلط")</f>
        <v>صح</v>
      </c>
      <c r="X13" s="906"/>
      <c r="Y13" s="906"/>
    </row>
    <row r="14" spans="1:25" s="994" customFormat="1" ht="27" customHeight="1">
      <c r="A14" s="985">
        <v>17</v>
      </c>
      <c r="B14" s="986" t="s">
        <v>176</v>
      </c>
      <c r="C14" s="876" t="s">
        <v>177</v>
      </c>
      <c r="D14" s="877">
        <v>901240386</v>
      </c>
      <c r="E14" s="877" t="s">
        <v>277</v>
      </c>
      <c r="F14" s="877" t="s">
        <v>277</v>
      </c>
      <c r="G14" s="877" t="s">
        <v>99</v>
      </c>
      <c r="H14" s="881">
        <v>45708</v>
      </c>
      <c r="I14" s="987">
        <v>46201</v>
      </c>
      <c r="J14" s="881">
        <v>46338</v>
      </c>
      <c r="K14" s="882">
        <v>-117</v>
      </c>
      <c r="L14" s="988">
        <f>Table156101114[[#This Row],[النهاية المعدلة للمشروع]]-Table156101114[[#This Row],[البداية التعاقدية المشروع]]</f>
        <v>493</v>
      </c>
      <c r="M14" s="884">
        <v>18092510</v>
      </c>
      <c r="N14" s="873">
        <v>1</v>
      </c>
      <c r="O14" s="873">
        <v>0.1774</v>
      </c>
      <c r="P14" s="873">
        <f>Table156101114[[#This Row],[Act %]]-Table156101114[[#This Row],[المخطط % 15 اكتوبر2026]]</f>
        <v>-0.8226</v>
      </c>
      <c r="Q14" s="873" t="s">
        <v>85</v>
      </c>
      <c r="R14" s="873">
        <f t="shared" si="0"/>
        <v>1.2210953346855984</v>
      </c>
      <c r="S14" s="988">
        <f t="shared" si="1"/>
        <v>0.1774</v>
      </c>
      <c r="T14" s="989">
        <f>_xlfn.XLOOKUP(Table156101114[[#This Row],[PO]],Table1[PO],Table1[نهاية المشروع المعدلة PMO LIVE],0)</f>
        <v>0</v>
      </c>
      <c r="U14" s="990">
        <f>T14-Table156101114[[#This Row],[النهاية المعدلة للمشروع]]</f>
        <v>-46201</v>
      </c>
      <c r="V14" s="991">
        <f>_xlfn.XLOOKUP(Table156101114[[#This Row],[PO]],Table1[PO],Table1[حالة المشروع],0)</f>
        <v>0</v>
      </c>
      <c r="W14" s="992" t="str">
        <f>IF(V14=Table156101114[[#This Row],[حالة المشروع]],"صح","غلط")</f>
        <v>غلط</v>
      </c>
      <c r="X14" s="993"/>
      <c r="Y14" s="993"/>
    </row>
    <row r="15" spans="1:25" s="25" customFormat="1" ht="27" customHeight="1">
      <c r="A15" s="65">
        <v>18</v>
      </c>
      <c r="B15" s="761" t="s">
        <v>178</v>
      </c>
      <c r="C15" s="367" t="s">
        <v>102</v>
      </c>
      <c r="D15" s="368">
        <v>901240327</v>
      </c>
      <c r="E15" s="368" t="s">
        <v>277</v>
      </c>
      <c r="F15" s="368" t="s">
        <v>277</v>
      </c>
      <c r="G15" s="368" t="s">
        <v>99</v>
      </c>
      <c r="H15" s="369">
        <v>45753</v>
      </c>
      <c r="I15" s="374">
        <v>46866</v>
      </c>
      <c r="J15" s="369">
        <v>47057</v>
      </c>
      <c r="K15" s="370">
        <v>-165</v>
      </c>
      <c r="L15" s="371">
        <f>Table156101114[[#This Row],[النهاية المعدلة للمشروع]]-Table156101114[[#This Row],[البداية التعاقدية المشروع]]</f>
        <v>1113</v>
      </c>
      <c r="M15" s="372">
        <v>13440419.5</v>
      </c>
      <c r="N15" s="373">
        <v>0.1045</v>
      </c>
      <c r="O15" s="373">
        <v>7.0000000000000007E-2</v>
      </c>
      <c r="P15" s="373">
        <f>Table156101114[[#This Row],[Act %]]-Table156101114[[#This Row],[المخطط % 15 اكتوبر2026]]</f>
        <v>-3.4499999999999989E-2</v>
      </c>
      <c r="Q15" s="373" t="s">
        <v>77</v>
      </c>
      <c r="R15" s="373">
        <f t="shared" si="0"/>
        <v>0.50044923629829285</v>
      </c>
      <c r="S15" s="371">
        <f t="shared" si="1"/>
        <v>0.66985645933014359</v>
      </c>
      <c r="T15" s="764">
        <f>_xlfn.XLOOKUP(Table156101114[[#This Row],[PO]],Table1[PO],Table1[نهاية المشروع المعدلة PMO LIVE],0)</f>
        <v>46866</v>
      </c>
      <c r="U15" s="765">
        <f>T15-Table156101114[[#This Row],[النهاية المعدلة للمشروع]]</f>
        <v>0</v>
      </c>
      <c r="V15" s="684" t="str">
        <f>_xlfn.XLOOKUP(Table156101114[[#This Row],[PO]],Table1[PO],Table1[حالة المشروع],0)</f>
        <v>منتظم</v>
      </c>
      <c r="W15" s="686" t="str">
        <f>IF(V15=Table156101114[[#This Row],[حالة المشروع]],"صح","غلط")</f>
        <v>صح</v>
      </c>
      <c r="X15" s="906"/>
      <c r="Y15" s="906"/>
    </row>
    <row r="16" spans="1:25" s="25" customFormat="1" ht="27" customHeight="1">
      <c r="A16" s="64">
        <v>19</v>
      </c>
      <c r="B16" s="761" t="s">
        <v>325</v>
      </c>
      <c r="C16" s="367" t="s">
        <v>465</v>
      </c>
      <c r="D16" s="1026">
        <v>901250206</v>
      </c>
      <c r="E16" s="368" t="s">
        <v>277</v>
      </c>
      <c r="F16" s="368" t="s">
        <v>525</v>
      </c>
      <c r="G16" s="368" t="s">
        <v>99</v>
      </c>
      <c r="H16" s="369">
        <v>45952</v>
      </c>
      <c r="I16" s="369">
        <v>47004</v>
      </c>
      <c r="J16" s="369">
        <v>47122</v>
      </c>
      <c r="K16" s="370">
        <v>-101</v>
      </c>
      <c r="L16" s="371">
        <f>Table156101114[[#This Row],[النهاية المعدلة للمشروع]]-Table156101114[[#This Row],[البداية التعاقدية المشروع]]</f>
        <v>1052</v>
      </c>
      <c r="M16" s="372">
        <v>26462318</v>
      </c>
      <c r="N16" s="373">
        <v>0.19839999999999999</v>
      </c>
      <c r="O16" s="373">
        <v>0.31190000000000001</v>
      </c>
      <c r="P16" s="373">
        <f>Table156101114[[#This Row],[Act %]]-Table156101114[[#This Row],[المخطط % 15 اكتوبر2026]]</f>
        <v>0.11350000000000002</v>
      </c>
      <c r="Q16" s="373" t="s">
        <v>78</v>
      </c>
      <c r="R16" s="373">
        <f t="shared" si="0"/>
        <v>0.34030418250950573</v>
      </c>
      <c r="S16" s="371">
        <f t="shared" si="1"/>
        <v>1.572076612903226</v>
      </c>
      <c r="T16" s="762">
        <f>_xlfn.XLOOKUP(Table156101114[[#This Row],[PO]],Table1[PO],Table1[نهاية المشروع المعدلة PMO LIVE],0)</f>
        <v>47004</v>
      </c>
      <c r="U16" s="763">
        <f>T16-Table156101114[[#This Row],[النهاية المعدلة للمشروع]]</f>
        <v>0</v>
      </c>
      <c r="V16" s="684" t="str">
        <f>_xlfn.XLOOKUP(Table156101114[[#This Row],[PO]],Table1[PO],Table1[حالة المشروع],0)</f>
        <v>متقدم</v>
      </c>
      <c r="W16" s="686" t="str">
        <f>IF(V16=Table156101114[[#This Row],[حالة المشروع]],"صح","غلط")</f>
        <v>صح</v>
      </c>
      <c r="X16" s="906"/>
      <c r="Y16" s="906"/>
    </row>
    <row r="17" spans="1:25" s="25" customFormat="1" ht="27" customHeight="1">
      <c r="A17" s="65">
        <v>22</v>
      </c>
      <c r="B17" s="761" t="s">
        <v>179</v>
      </c>
      <c r="C17" s="367" t="s">
        <v>103</v>
      </c>
      <c r="D17" s="368">
        <v>901250059</v>
      </c>
      <c r="E17" s="368" t="s">
        <v>277</v>
      </c>
      <c r="F17" s="368" t="s">
        <v>172</v>
      </c>
      <c r="G17" s="368" t="s">
        <v>99</v>
      </c>
      <c r="H17" s="369">
        <v>45762</v>
      </c>
      <c r="I17" s="369">
        <v>46857</v>
      </c>
      <c r="J17" s="369">
        <v>47006</v>
      </c>
      <c r="K17" s="370">
        <v>-128</v>
      </c>
      <c r="L17" s="371">
        <f>Table156101114[[#This Row],[النهاية المعدلة للمشروع]]-Table156101114[[#This Row],[البداية التعاقدية المشروع]]</f>
        <v>1095</v>
      </c>
      <c r="M17" s="372">
        <v>50627136</v>
      </c>
      <c r="N17" s="373">
        <v>0.43880000000000002</v>
      </c>
      <c r="O17" s="373">
        <v>0.51690000000000003</v>
      </c>
      <c r="P17" s="373">
        <f>Table156101114[[#This Row],[Act %]]-Table156101114[[#This Row],[المخطط % 15 اكتوبر2026]]</f>
        <v>7.8100000000000003E-2</v>
      </c>
      <c r="Q17" s="373" t="s">
        <v>78</v>
      </c>
      <c r="R17" s="373">
        <f t="shared" si="0"/>
        <v>0.50045662100456623</v>
      </c>
      <c r="S17" s="371">
        <f t="shared" si="1"/>
        <v>1.1779854147675479</v>
      </c>
      <c r="T17" s="764">
        <f>_xlfn.XLOOKUP(Table156101114[[#This Row],[PO]],Table1[PO],Table1[نهاية المشروع المعدلة PMO LIVE],0)</f>
        <v>46857</v>
      </c>
      <c r="U17" s="765">
        <f>T17-Table156101114[[#This Row],[النهاية المعدلة للمشروع]]</f>
        <v>0</v>
      </c>
      <c r="V17" s="684" t="str">
        <f>_xlfn.XLOOKUP(Table156101114[[#This Row],[PO]],Table1[PO],Table1[حالة المشروع],0)</f>
        <v>متقدم</v>
      </c>
      <c r="W17" s="686" t="str">
        <f>IF(V17=Table156101114[[#This Row],[حالة المشروع]],"صح","غلط")</f>
        <v>صح</v>
      </c>
      <c r="X17" s="906"/>
      <c r="Y17" s="906"/>
    </row>
    <row r="18" spans="1:25" s="25" customFormat="1" ht="27" customHeight="1">
      <c r="A18" s="64">
        <v>23</v>
      </c>
      <c r="B18" s="766" t="s">
        <v>180</v>
      </c>
      <c r="C18" s="367" t="s">
        <v>104</v>
      </c>
      <c r="D18" s="368">
        <v>901250110</v>
      </c>
      <c r="E18" s="368" t="s">
        <v>277</v>
      </c>
      <c r="F18" s="368" t="s">
        <v>525</v>
      </c>
      <c r="G18" s="368" t="s">
        <v>99</v>
      </c>
      <c r="H18" s="369">
        <v>45774</v>
      </c>
      <c r="I18" s="392">
        <v>46304</v>
      </c>
      <c r="J18" s="369">
        <v>46381</v>
      </c>
      <c r="K18" s="370">
        <v>-125</v>
      </c>
      <c r="L18" s="371">
        <f>Table156101114[[#This Row],[النهاية المعدلة للمشروع]]-Table156101114[[#This Row],[البداية التعاقدية المشروع]]</f>
        <v>530</v>
      </c>
      <c r="M18" s="372">
        <v>4292848</v>
      </c>
      <c r="N18" s="373">
        <v>1</v>
      </c>
      <c r="O18" s="373">
        <v>0.46910000000000002</v>
      </c>
      <c r="P18" s="373">
        <f>Table156101114[[#This Row],[Act %]]-Table156101114[[#This Row],[المخطط % 15 اكتوبر2026]]</f>
        <v>-0.53089999999999993</v>
      </c>
      <c r="Q18" s="373" t="s">
        <v>85</v>
      </c>
      <c r="R18" s="373">
        <f t="shared" si="0"/>
        <v>1.0113207547169811</v>
      </c>
      <c r="S18" s="371">
        <f t="shared" si="1"/>
        <v>0.46910000000000002</v>
      </c>
      <c r="T18" s="762">
        <f>_xlfn.XLOOKUP(Table156101114[[#This Row],[PO]],Table1[PO],Table1[نهاية المشروع المعدلة PMO LIVE],0)</f>
        <v>46304</v>
      </c>
      <c r="U18" s="763">
        <f>T18-Table156101114[[#This Row],[النهاية المعدلة للمشروع]]</f>
        <v>0</v>
      </c>
      <c r="V18" s="684" t="str">
        <f>_xlfn.XLOOKUP(Table156101114[[#This Row],[PO]],Table1[PO],Table1[حالة المشروع],0)</f>
        <v>متعثر</v>
      </c>
      <c r="W18" s="686" t="str">
        <f>IF(V18=Table156101114[[#This Row],[حالة المشروع]],"صح","غلط")</f>
        <v>صح</v>
      </c>
      <c r="X18" s="906"/>
      <c r="Y18" s="906"/>
    </row>
    <row r="19" spans="1:25" s="25" customFormat="1" ht="27" customHeight="1">
      <c r="A19" s="65">
        <v>24</v>
      </c>
      <c r="B19" s="761" t="s">
        <v>181</v>
      </c>
      <c r="C19" s="384" t="s">
        <v>182</v>
      </c>
      <c r="D19" s="368">
        <v>901250201</v>
      </c>
      <c r="E19" s="368" t="s">
        <v>277</v>
      </c>
      <c r="F19" s="368" t="s">
        <v>172</v>
      </c>
      <c r="G19" s="368" t="s">
        <v>99</v>
      </c>
      <c r="H19" s="369">
        <v>45902</v>
      </c>
      <c r="I19" s="374">
        <v>46996</v>
      </c>
      <c r="J19" s="369">
        <v>47117</v>
      </c>
      <c r="K19" s="370">
        <v>-104</v>
      </c>
      <c r="L19" s="371">
        <f>Table156101114[[#This Row],[النهاية المعدلة للمشروع]]-Table156101114[[#This Row],[البداية التعاقدية المشروع]]</f>
        <v>1094</v>
      </c>
      <c r="M19" s="372">
        <v>18078565</v>
      </c>
      <c r="N19" s="381">
        <v>0.16689999999999999</v>
      </c>
      <c r="O19" s="373">
        <v>0.34499999999999997</v>
      </c>
      <c r="P19" s="373">
        <f>Table156101114[[#This Row],[Act %]]-Table156101114[[#This Row],[المخطط % 15 اكتوبر2026]]</f>
        <v>0.17809999999999998</v>
      </c>
      <c r="Q19" s="373" t="s">
        <v>78</v>
      </c>
      <c r="R19" s="373">
        <f t="shared" si="0"/>
        <v>0.37294332723948814</v>
      </c>
      <c r="S19" s="371">
        <f t="shared" si="1"/>
        <v>2.067106051527861</v>
      </c>
      <c r="T19" s="764">
        <f>_xlfn.XLOOKUP(Table156101114[[#This Row],[PO]],Table1[PO],Table1[نهاية المشروع المعدلة PMO LIVE],0)</f>
        <v>46996</v>
      </c>
      <c r="U19" s="765">
        <f>T19-Table156101114[[#This Row],[النهاية المعدلة للمشروع]]</f>
        <v>0</v>
      </c>
      <c r="V19" s="684" t="str">
        <f>_xlfn.XLOOKUP(Table156101114[[#This Row],[PO]],Table1[PO],Table1[حالة المشروع],0)</f>
        <v>متقدم</v>
      </c>
      <c r="W19" s="686" t="str">
        <f>IF(V19=Table156101114[[#This Row],[حالة المشروع]],"صح","غلط")</f>
        <v>صح</v>
      </c>
      <c r="X19" s="906"/>
      <c r="Y19" s="906"/>
    </row>
    <row r="20" spans="1:25" s="25" customFormat="1" ht="27" customHeight="1">
      <c r="A20" s="64">
        <v>25</v>
      </c>
      <c r="B20" s="761" t="s">
        <v>248</v>
      </c>
      <c r="C20" s="367" t="s">
        <v>21</v>
      </c>
      <c r="D20" s="368">
        <v>901240144</v>
      </c>
      <c r="E20" s="368" t="s">
        <v>277</v>
      </c>
      <c r="F20" s="368" t="s">
        <v>172</v>
      </c>
      <c r="G20" s="368" t="s">
        <v>99</v>
      </c>
      <c r="H20" s="369">
        <v>45560</v>
      </c>
      <c r="I20" s="369">
        <v>46734</v>
      </c>
      <c r="J20" s="369">
        <v>46932</v>
      </c>
      <c r="K20" s="370">
        <v>-166</v>
      </c>
      <c r="L20" s="371">
        <f>Table156101114[[#This Row],[النهاية المعدلة للمشروع]]-Table156101114[[#This Row],[البداية التعاقدية المشروع]]</f>
        <v>1174</v>
      </c>
      <c r="M20" s="372">
        <v>21729710</v>
      </c>
      <c r="N20" s="373">
        <v>0.52929999999999999</v>
      </c>
      <c r="O20" s="373">
        <v>0.48099999999999998</v>
      </c>
      <c r="P20" s="373">
        <f>Table156101114[[#This Row],[Act %]]-Table156101114[[#This Row],[المخطط % 15 اكتوبر2026]]</f>
        <v>-4.830000000000001E-2</v>
      </c>
      <c r="Q20" s="373" t="s">
        <v>77</v>
      </c>
      <c r="R20" s="373">
        <f t="shared" si="0"/>
        <v>0.63884156729131181</v>
      </c>
      <c r="S20" s="371">
        <f t="shared" si="1"/>
        <v>0.90874740222935946</v>
      </c>
      <c r="T20" s="762">
        <f>_xlfn.XLOOKUP(Table156101114[[#This Row],[PO]],Table1[PO],Table1[نهاية المشروع المعدلة PMO LIVE],0)</f>
        <v>46734</v>
      </c>
      <c r="U20" s="763">
        <f>T20-Table156101114[[#This Row],[النهاية المعدلة للمشروع]]</f>
        <v>0</v>
      </c>
      <c r="V20" s="684" t="str">
        <f>_xlfn.XLOOKUP(Table156101114[[#This Row],[PO]],Table1[PO],Table1[حالة المشروع],0)</f>
        <v>منتظم</v>
      </c>
      <c r="W20" s="686" t="str">
        <f>IF(V20=Table156101114[[#This Row],[حالة المشروع]],"صح","غلط")</f>
        <v>صح</v>
      </c>
      <c r="X20" s="906"/>
      <c r="Y20" s="906"/>
    </row>
    <row r="21" spans="1:25" s="25" customFormat="1" ht="27" customHeight="1">
      <c r="A21" s="65">
        <v>26</v>
      </c>
      <c r="B21" s="766" t="s">
        <v>244</v>
      </c>
      <c r="C21" s="367" t="s">
        <v>27</v>
      </c>
      <c r="D21" s="368">
        <v>901250199</v>
      </c>
      <c r="E21" s="368" t="s">
        <v>277</v>
      </c>
      <c r="F21" s="368" t="s">
        <v>277</v>
      </c>
      <c r="G21" s="368" t="s">
        <v>99</v>
      </c>
      <c r="H21" s="369">
        <v>45949</v>
      </c>
      <c r="I21" s="374">
        <v>47301</v>
      </c>
      <c r="J21" s="369">
        <v>47447</v>
      </c>
      <c r="K21" s="370">
        <v>-125</v>
      </c>
      <c r="L21" s="371">
        <f>Table156101114[[#This Row],[النهاية المعدلة للمشروع]]-Table156101114[[#This Row],[البداية التعاقدية المشروع]]</f>
        <v>1352</v>
      </c>
      <c r="M21" s="372">
        <v>32985994</v>
      </c>
      <c r="N21" s="373">
        <v>7.0599999999999996E-2</v>
      </c>
      <c r="O21" s="373">
        <v>8.4699999999999998E-2</v>
      </c>
      <c r="P21" s="373">
        <f>Table156101114[[#This Row],[Act %]]-Table156101114[[#This Row],[المخطط % 15 اكتوبر2026]]</f>
        <v>1.4100000000000001E-2</v>
      </c>
      <c r="Q21" s="373" t="s">
        <v>78</v>
      </c>
      <c r="R21" s="373">
        <f t="shared" si="0"/>
        <v>0.26701183431952663</v>
      </c>
      <c r="S21" s="371">
        <f t="shared" si="1"/>
        <v>1.1997167138810199</v>
      </c>
      <c r="T21" s="764">
        <f>_xlfn.XLOOKUP(Table156101114[[#This Row],[PO]],Table1[PO],Table1[نهاية المشروع المعدلة PMO LIVE],0)</f>
        <v>47301</v>
      </c>
      <c r="U21" s="765">
        <f>T21-Table156101114[[#This Row],[النهاية المعدلة للمشروع]]</f>
        <v>0</v>
      </c>
      <c r="V21" s="684" t="str">
        <f>_xlfn.XLOOKUP(Table156101114[[#This Row],[PO]],Table1[PO],Table1[حالة المشروع],0)</f>
        <v>متقدم</v>
      </c>
      <c r="W21" s="686" t="str">
        <f>IF(V21=Table156101114[[#This Row],[حالة المشروع]],"صح","غلط")</f>
        <v>صح</v>
      </c>
      <c r="X21" s="906"/>
      <c r="Y21" s="906"/>
    </row>
    <row r="22" spans="1:25" s="25" customFormat="1" ht="27" customHeight="1">
      <c r="A22" s="64">
        <v>27</v>
      </c>
      <c r="B22" s="761" t="s">
        <v>276</v>
      </c>
      <c r="C22" s="367" t="s">
        <v>27</v>
      </c>
      <c r="D22" s="368">
        <v>901250253</v>
      </c>
      <c r="E22" s="368" t="s">
        <v>277</v>
      </c>
      <c r="F22" s="368" t="s">
        <v>525</v>
      </c>
      <c r="G22" s="368" t="s">
        <v>99</v>
      </c>
      <c r="H22" s="369">
        <v>45981</v>
      </c>
      <c r="I22" s="369">
        <v>47307</v>
      </c>
      <c r="J22" s="369">
        <v>47485</v>
      </c>
      <c r="K22" s="370">
        <v>-153</v>
      </c>
      <c r="L22" s="371">
        <f>Table156101114[[#This Row],[النهاية المعدلة للمشروع]]-Table156101114[[#This Row],[البداية التعاقدية المشروع]]</f>
        <v>1326</v>
      </c>
      <c r="M22" s="372">
        <v>59439100</v>
      </c>
      <c r="N22" s="373">
        <v>3.6499999999999998E-2</v>
      </c>
      <c r="O22" s="373">
        <v>1.4E-2</v>
      </c>
      <c r="P22" s="373">
        <f>Table156101114[[#This Row],[Act %]]-Table156101114[[#This Row],[المخطط % 15 اكتوبر2026]]</f>
        <v>-2.2499999999999999E-2</v>
      </c>
      <c r="Q22" s="373" t="s">
        <v>77</v>
      </c>
      <c r="R22" s="373">
        <f t="shared" si="0"/>
        <v>0.24811463046757165</v>
      </c>
      <c r="S22" s="371">
        <f t="shared" si="1"/>
        <v>0.38356164383561647</v>
      </c>
      <c r="T22" s="762">
        <f>_xlfn.XLOOKUP(Table156101114[[#This Row],[PO]],Table1[PO],Table1[نهاية المشروع المعدلة PMO LIVE],0)</f>
        <v>47307</v>
      </c>
      <c r="U22" s="763">
        <f>T22-Table156101114[[#This Row],[النهاية المعدلة للمشروع]]</f>
        <v>0</v>
      </c>
      <c r="V22" s="684" t="str">
        <f>_xlfn.XLOOKUP(Table156101114[[#This Row],[PO]],Table1[PO],Table1[حالة المشروع],0)</f>
        <v>منتظم</v>
      </c>
      <c r="W22" s="686" t="str">
        <f>IF(V22=Table156101114[[#This Row],[حالة المشروع]],"صح","غلط")</f>
        <v>صح</v>
      </c>
      <c r="X22" s="906"/>
      <c r="Y22" s="906"/>
    </row>
    <row r="23" spans="1:25" s="25" customFormat="1" ht="27" customHeight="1">
      <c r="A23" s="64">
        <v>29</v>
      </c>
      <c r="B23" s="761" t="s">
        <v>271</v>
      </c>
      <c r="C23" s="367" t="s">
        <v>273</v>
      </c>
      <c r="D23" s="1026">
        <v>901250341</v>
      </c>
      <c r="E23" s="368" t="s">
        <v>277</v>
      </c>
      <c r="F23" s="368" t="s">
        <v>525</v>
      </c>
      <c r="G23" s="368" t="s">
        <v>99</v>
      </c>
      <c r="H23" s="369">
        <v>45978</v>
      </c>
      <c r="I23" s="369">
        <v>47241</v>
      </c>
      <c r="J23" s="369">
        <v>47398</v>
      </c>
      <c r="K23" s="370">
        <v>-133</v>
      </c>
      <c r="L23" s="371">
        <f>Table156101114[[#This Row],[النهاية المعدلة للمشروع]]-Table156101114[[#This Row],[البداية التعاقدية المشروع]]</f>
        <v>1263</v>
      </c>
      <c r="M23" s="372">
        <v>18957585</v>
      </c>
      <c r="N23" s="373">
        <v>5.5800000000000002E-2</v>
      </c>
      <c r="O23" s="373">
        <v>0.17280000000000001</v>
      </c>
      <c r="P23" s="373">
        <f>Table156101114[[#This Row],[Act %]]-Table156101114[[#This Row],[المخطط % 15 اكتوبر2026]]</f>
        <v>0.11700000000000001</v>
      </c>
      <c r="Q23" s="373" t="s">
        <v>78</v>
      </c>
      <c r="R23" s="379">
        <f t="shared" si="0"/>
        <v>0.26286619160728425</v>
      </c>
      <c r="S23" s="371">
        <f t="shared" si="1"/>
        <v>3.096774193548387</v>
      </c>
      <c r="T23" s="764">
        <f>_xlfn.XLOOKUP(Table156101114[[#This Row],[PO]],Table1[PO],Table1[نهاية المشروع المعدلة PMO LIVE],0)</f>
        <v>47241</v>
      </c>
      <c r="U23" s="765">
        <f>T23-Table156101114[[#This Row],[النهاية المعدلة للمشروع]]</f>
        <v>0</v>
      </c>
      <c r="V23" s="684" t="str">
        <f>_xlfn.XLOOKUP(Table156101114[[#This Row],[PO]],Table1[PO],Table1[حالة المشروع],0)</f>
        <v>متقدم</v>
      </c>
      <c r="W23" s="686" t="str">
        <f>IF(V23=Table156101114[[#This Row],[حالة المشروع]],"صح","غلط")</f>
        <v>صح</v>
      </c>
      <c r="X23" s="906"/>
      <c r="Y23" s="906"/>
    </row>
    <row r="24" spans="1:25" s="25" customFormat="1" ht="27" customHeight="1">
      <c r="A24" s="65">
        <v>30</v>
      </c>
      <c r="B24" s="761" t="s">
        <v>402</v>
      </c>
      <c r="C24" s="367" t="s">
        <v>404</v>
      </c>
      <c r="D24" s="368">
        <v>901250436</v>
      </c>
      <c r="E24" s="368" t="s">
        <v>277</v>
      </c>
      <c r="F24" s="368" t="s">
        <v>277</v>
      </c>
      <c r="G24" s="368" t="s">
        <v>99</v>
      </c>
      <c r="H24" s="369">
        <v>46033</v>
      </c>
      <c r="I24" s="369">
        <v>46995</v>
      </c>
      <c r="J24" s="369">
        <v>47126</v>
      </c>
      <c r="K24" s="370">
        <v>-151</v>
      </c>
      <c r="L24" s="371">
        <f>Table156101114[[#This Row],[النهاية المعدلة للمشروع]]-Table156101114[[#This Row],[البداية التعاقدية المشروع]]</f>
        <v>962</v>
      </c>
      <c r="M24" s="372">
        <v>51109542</v>
      </c>
      <c r="N24" s="391">
        <v>1.8700000000000001E-2</v>
      </c>
      <c r="O24" s="373">
        <v>0</v>
      </c>
      <c r="P24" s="373">
        <f>Table156101114[[#This Row],[Act %]]-Table156101114[[#This Row],[المخطط % 15 اكتوبر2026]]</f>
        <v>-1.8700000000000001E-2</v>
      </c>
      <c r="Q24" s="373" t="s">
        <v>77</v>
      </c>
      <c r="R24" s="378">
        <f t="shared" si="0"/>
        <v>0.28794178794178793</v>
      </c>
      <c r="S24" s="371">
        <f t="shared" si="1"/>
        <v>0</v>
      </c>
      <c r="T24" s="762">
        <f>_xlfn.XLOOKUP(Table156101114[[#This Row],[PO]],Table1[PO],Table1[نهاية المشروع المعدلة PMO LIVE],0)</f>
        <v>46995</v>
      </c>
      <c r="U24" s="763">
        <f>T24-Table156101114[[#This Row],[النهاية المعدلة للمشروع]]</f>
        <v>0</v>
      </c>
      <c r="V24" s="684" t="str">
        <f>_xlfn.XLOOKUP(Table156101114[[#This Row],[PO]],Table1[PO],Table1[حالة المشروع],0)</f>
        <v>ايقاف كلي</v>
      </c>
      <c r="W24" s="686" t="str">
        <f>IF(V24=Table156101114[[#This Row],[حالة المشروع]],"صح","غلط")</f>
        <v>غلط</v>
      </c>
      <c r="X24" s="906"/>
      <c r="Y24" s="906"/>
    </row>
    <row r="25" spans="1:25" s="25" customFormat="1" ht="27" customHeight="1">
      <c r="A25" s="64">
        <v>31</v>
      </c>
      <c r="B25" s="761" t="s">
        <v>516</v>
      </c>
      <c r="C25" s="367" t="s">
        <v>273</v>
      </c>
      <c r="D25" s="368">
        <v>901250461</v>
      </c>
      <c r="E25" s="368" t="s">
        <v>277</v>
      </c>
      <c r="F25" s="368" t="s">
        <v>172</v>
      </c>
      <c r="G25" s="368" t="s">
        <v>99</v>
      </c>
      <c r="H25" s="369">
        <v>46097</v>
      </c>
      <c r="I25" s="369">
        <v>46961</v>
      </c>
      <c r="J25" s="369">
        <v>47089</v>
      </c>
      <c r="K25" s="370">
        <v>-108</v>
      </c>
      <c r="L25" s="371">
        <f>Table156101114[[#This Row],[النهاية المعدلة للمشروع]]-Table156101114[[#This Row],[البداية التعاقدية المشروع]]</f>
        <v>864</v>
      </c>
      <c r="M25" s="372">
        <v>18949999</v>
      </c>
      <c r="N25" s="373">
        <v>5.4399999999999997E-2</v>
      </c>
      <c r="O25" s="373">
        <v>1.3599999999999999E-2</v>
      </c>
      <c r="P25" s="381">
        <f>Table156101114[[#This Row],[Act %]]-Table156101114[[#This Row],[المخطط % 15 اكتوبر2026]]</f>
        <v>-4.0799999999999996E-2</v>
      </c>
      <c r="Q25" s="373" t="s">
        <v>77</v>
      </c>
      <c r="R25" s="382">
        <f t="shared" si="0"/>
        <v>0.24652777777777779</v>
      </c>
      <c r="S25" s="770">
        <f t="shared" si="1"/>
        <v>0.25</v>
      </c>
      <c r="T25" s="764">
        <f>_xlfn.XLOOKUP(Table156101114[[#This Row],[PO]],Table1[PO],Table1[نهاية المشروع المعدلة PMO LIVE],0)</f>
        <v>46961</v>
      </c>
      <c r="U25" s="765">
        <f>T25-Table156101114[[#This Row],[النهاية المعدلة للمشروع]]</f>
        <v>0</v>
      </c>
      <c r="V25" s="684" t="str">
        <f>_xlfn.XLOOKUP(Table156101114[[#This Row],[PO]],Table1[PO],Table1[حالة المشروع],0)</f>
        <v>منتظم</v>
      </c>
      <c r="W25" s="686" t="str">
        <f>IF(V25=Table156101114[[#This Row],[حالة المشروع]],"صح","غلط")</f>
        <v>صح</v>
      </c>
      <c r="X25" s="906"/>
      <c r="Y25" s="906"/>
    </row>
    <row r="26" spans="1:25" s="994" customFormat="1" ht="27" customHeight="1">
      <c r="A26" s="1003">
        <v>32</v>
      </c>
      <c r="B26" s="986" t="s">
        <v>520</v>
      </c>
      <c r="C26" s="876" t="s">
        <v>35</v>
      </c>
      <c r="D26" s="877">
        <v>901260125</v>
      </c>
      <c r="E26" s="877" t="s">
        <v>277</v>
      </c>
      <c r="F26" s="877" t="s">
        <v>172</v>
      </c>
      <c r="G26" s="877" t="s">
        <v>99</v>
      </c>
      <c r="H26" s="881">
        <v>46110</v>
      </c>
      <c r="I26" s="881">
        <v>46201</v>
      </c>
      <c r="J26" s="881">
        <v>46266</v>
      </c>
      <c r="K26" s="882">
        <v>-56</v>
      </c>
      <c r="L26" s="988">
        <f>Table156101114[[#This Row],[النهاية المعدلة للمشروع]]-Table156101114[[#This Row],[البداية التعاقدية المشروع]]</f>
        <v>91</v>
      </c>
      <c r="M26" s="884">
        <v>257200</v>
      </c>
      <c r="N26" s="873">
        <v>1</v>
      </c>
      <c r="O26" s="873">
        <v>0.84219999999999995</v>
      </c>
      <c r="P26" s="873">
        <f>Table156101114[[#This Row],[Act %]]-Table156101114[[#This Row],[المخطط % 15 اكتوبر2026]]</f>
        <v>-0.15780000000000005</v>
      </c>
      <c r="Q26" s="873" t="s">
        <v>100</v>
      </c>
      <c r="R26" s="1004">
        <f t="shared" si="0"/>
        <v>2.197802197802198</v>
      </c>
      <c r="S26" s="988">
        <f t="shared" si="1"/>
        <v>0.84219999999999995</v>
      </c>
      <c r="T26" s="887">
        <v>46201</v>
      </c>
      <c r="U26" s="990">
        <f>T26-Table156101114[[#This Row],[النهاية المعدلة للمشروع]]</f>
        <v>0</v>
      </c>
      <c r="V26" s="991">
        <f>_xlfn.XLOOKUP(Table156101114[[#This Row],[PO]],Table1[PO],Table1[حالة المشروع],0)</f>
        <v>0</v>
      </c>
      <c r="W26" s="992" t="str">
        <f>IF(V26=Table156101114[[#This Row],[حالة المشروع]],"صح","غلط")</f>
        <v>غلط</v>
      </c>
      <c r="X26" s="993"/>
      <c r="Y26" s="993"/>
    </row>
    <row r="27" spans="1:25" s="25" customFormat="1" ht="27" customHeight="1">
      <c r="A27" s="64">
        <v>33</v>
      </c>
      <c r="B27" s="744" t="s">
        <v>184</v>
      </c>
      <c r="C27" s="384" t="s">
        <v>146</v>
      </c>
      <c r="D27" s="385">
        <v>901250191</v>
      </c>
      <c r="E27" s="384" t="s">
        <v>277</v>
      </c>
      <c r="F27" s="385" t="s">
        <v>525</v>
      </c>
      <c r="G27" s="393" t="s">
        <v>99</v>
      </c>
      <c r="H27" s="386">
        <v>45908</v>
      </c>
      <c r="I27" s="386">
        <v>47239</v>
      </c>
      <c r="J27" s="374">
        <v>47366</v>
      </c>
      <c r="K27" s="387">
        <v>-88</v>
      </c>
      <c r="L27" s="394">
        <f>Table156101114[[#This Row],[النهاية المعدلة للمشروع]]-Table156101114[[#This Row],[البداية التعاقدية المشروع]]</f>
        <v>1331</v>
      </c>
      <c r="M27" s="388">
        <v>37750000</v>
      </c>
      <c r="N27" s="979">
        <v>0.14760000000000001</v>
      </c>
      <c r="O27" s="381">
        <v>0.28499999999999998</v>
      </c>
      <c r="P27" s="381">
        <f>Table156101114[[#This Row],[Act %]]-Table156101114[[#This Row],[المخطط % 15 اكتوبر2026]]</f>
        <v>0.13739999999999997</v>
      </c>
      <c r="Q27" s="373" t="s">
        <v>78</v>
      </c>
      <c r="R27" s="382">
        <f t="shared" si="0"/>
        <v>0.30202854996243428</v>
      </c>
      <c r="S27" s="770">
        <f t="shared" si="1"/>
        <v>1.9308943089430892</v>
      </c>
      <c r="T27" s="764">
        <f>_xlfn.XLOOKUP(Table156101114[[#This Row],[PO]],Table1[PO],Table1[نهاية المشروع المعدلة PMO LIVE],0)</f>
        <v>47239</v>
      </c>
      <c r="U27" s="765">
        <f>T27-Table156101114[[#This Row],[النهاية المعدلة للمشروع]]</f>
        <v>0</v>
      </c>
      <c r="V27" s="684" t="str">
        <f>_xlfn.XLOOKUP(Table156101114[[#This Row],[PO]],Table1[PO],Table1[حالة المشروع],0)</f>
        <v>متقدم</v>
      </c>
      <c r="W27" s="686" t="str">
        <f>IF(V27=Table156101114[[#This Row],[حالة المشروع]],"صح","غلط")</f>
        <v>صح</v>
      </c>
      <c r="X27" s="906"/>
      <c r="Y27" s="906"/>
    </row>
    <row r="28" spans="1:25" s="25" customFormat="1" ht="27" customHeight="1">
      <c r="A28" s="65">
        <v>34</v>
      </c>
      <c r="B28" s="768" t="s">
        <v>50</v>
      </c>
      <c r="C28" s="375" t="s">
        <v>11</v>
      </c>
      <c r="D28" s="368">
        <v>901230191</v>
      </c>
      <c r="E28" s="368" t="s">
        <v>105</v>
      </c>
      <c r="F28" s="368" t="s">
        <v>172</v>
      </c>
      <c r="G28" s="368" t="s">
        <v>99</v>
      </c>
      <c r="H28" s="369">
        <v>45237</v>
      </c>
      <c r="I28" s="369">
        <v>46430</v>
      </c>
      <c r="J28" s="369">
        <v>46595</v>
      </c>
      <c r="K28" s="370">
        <v>-136</v>
      </c>
      <c r="L28" s="371">
        <f>Table156101114[[#This Row],[النهاية المعدلة للمشروع]]-Table156101114[[#This Row],[البداية التعاقدية المشروع]]</f>
        <v>1193</v>
      </c>
      <c r="M28" s="372">
        <v>42069316</v>
      </c>
      <c r="N28" s="373">
        <v>0.68720000000000003</v>
      </c>
      <c r="O28" s="373">
        <v>0.53749999999999998</v>
      </c>
      <c r="P28" s="373">
        <f>Table156101114[[#This Row],[Act %]]-Table156101114[[#This Row],[المخطط % 15 اكتوبر2026]]</f>
        <v>-0.14970000000000006</v>
      </c>
      <c r="Q28" s="373" t="s">
        <v>100</v>
      </c>
      <c r="R28" s="379">
        <f t="shared" si="0"/>
        <v>0.89941324392288347</v>
      </c>
      <c r="S28" s="371">
        <f t="shared" si="1"/>
        <v>0.78215948777648425</v>
      </c>
      <c r="T28" s="762">
        <f>_xlfn.XLOOKUP(Table156101114[[#This Row],[PO]],Table1[PO],Table1[نهاية المشروع المعدلة PMO LIVE],0)</f>
        <v>46430</v>
      </c>
      <c r="U28" s="763">
        <f>T28-Table156101114[[#This Row],[النهاية المعدلة للمشروع]]</f>
        <v>0</v>
      </c>
      <c r="V28" s="684" t="str">
        <f>_xlfn.XLOOKUP(Table156101114[[#This Row],[PO]],Table1[PO],Table1[حالة المشروع],0)</f>
        <v>متأخر</v>
      </c>
      <c r="W28" s="686" t="str">
        <f>IF(V28=Table156101114[[#This Row],[حالة المشروع]],"صح","غلط")</f>
        <v>صح</v>
      </c>
      <c r="X28" s="906"/>
      <c r="Y28" s="906"/>
    </row>
    <row r="29" spans="1:25" s="25" customFormat="1" ht="27" customHeight="1">
      <c r="A29" s="64">
        <v>35</v>
      </c>
      <c r="B29" s="744" t="s">
        <v>249</v>
      </c>
      <c r="C29" s="384" t="s">
        <v>15</v>
      </c>
      <c r="D29" s="385">
        <v>901230177</v>
      </c>
      <c r="E29" s="384" t="s">
        <v>105</v>
      </c>
      <c r="F29" s="385" t="s">
        <v>105</v>
      </c>
      <c r="G29" s="393" t="s">
        <v>99</v>
      </c>
      <c r="H29" s="386">
        <v>45224</v>
      </c>
      <c r="I29" s="386">
        <v>46730</v>
      </c>
      <c r="J29" s="374">
        <v>46923</v>
      </c>
      <c r="K29" s="387">
        <v>-165</v>
      </c>
      <c r="L29" s="394">
        <f>Table156101114[[#This Row],[النهاية المعدلة للمشروع]]-Table156101114[[#This Row],[البداية التعاقدية المشروع]]</f>
        <v>1506</v>
      </c>
      <c r="M29" s="388">
        <v>68020515</v>
      </c>
      <c r="N29" s="373">
        <v>0.30149999999999999</v>
      </c>
      <c r="O29" s="381">
        <v>0.22500000000000001</v>
      </c>
      <c r="P29" s="381">
        <f>Table156101114[[#This Row],[Act %]]-Table156101114[[#This Row],[المخطط % 15 اكتوبر2026]]</f>
        <v>-7.6499999999999985E-2</v>
      </c>
      <c r="Q29" s="373" t="s">
        <v>77</v>
      </c>
      <c r="R29" s="382">
        <f t="shared" si="0"/>
        <v>0.7211155378486056</v>
      </c>
      <c r="S29" s="770">
        <f t="shared" si="1"/>
        <v>0.74626865671641796</v>
      </c>
      <c r="T29" s="764">
        <f>_xlfn.XLOOKUP(Table156101114[[#This Row],[PO]],Table1[PO],Table1[نهاية المشروع المعدلة PMO LIVE],0)</f>
        <v>46730</v>
      </c>
      <c r="U29" s="765">
        <f>T29-Table156101114[[#This Row],[النهاية المعدلة للمشروع]]</f>
        <v>0</v>
      </c>
      <c r="V29" s="684" t="str">
        <f>_xlfn.XLOOKUP(Table156101114[[#This Row],[PO]],Table1[PO],Table1[حالة المشروع],0)</f>
        <v>منتظم</v>
      </c>
      <c r="W29" s="686" t="str">
        <f>IF(V29=Table156101114[[#This Row],[حالة المشروع]],"صح","غلط")</f>
        <v>صح</v>
      </c>
      <c r="X29" s="906"/>
      <c r="Y29" s="906"/>
    </row>
    <row r="30" spans="1:25" s="39" customFormat="1" ht="27" customHeight="1">
      <c r="A30" s="66">
        <v>36</v>
      </c>
      <c r="B30" s="761" t="s">
        <v>250</v>
      </c>
      <c r="C30" s="367" t="s">
        <v>17</v>
      </c>
      <c r="D30" s="368">
        <v>901240141</v>
      </c>
      <c r="E30" s="368" t="s">
        <v>105</v>
      </c>
      <c r="F30" s="368" t="s">
        <v>105</v>
      </c>
      <c r="G30" s="368" t="s">
        <v>99</v>
      </c>
      <c r="H30" s="369">
        <v>45510</v>
      </c>
      <c r="I30" s="392">
        <v>46232</v>
      </c>
      <c r="J30" s="369">
        <v>46365</v>
      </c>
      <c r="K30" s="370">
        <v>-156</v>
      </c>
      <c r="L30" s="371">
        <f>Table156101114[[#This Row],[النهاية المعدلة للمشروع]]-Table156101114[[#This Row],[البداية التعاقدية المشروع]]</f>
        <v>722</v>
      </c>
      <c r="M30" s="372">
        <v>22623396.800000001</v>
      </c>
      <c r="N30" s="373">
        <v>1</v>
      </c>
      <c r="O30" s="373">
        <v>0.75</v>
      </c>
      <c r="P30" s="373">
        <f>Table156101114[[#This Row],[Act %]]-Table156101114[[#This Row],[المخطط % 15 اكتوبر2026]]</f>
        <v>-0.25</v>
      </c>
      <c r="Q30" s="373" t="s">
        <v>100</v>
      </c>
      <c r="R30" s="373">
        <f t="shared" si="0"/>
        <v>1.10803324099723</v>
      </c>
      <c r="S30" s="371">
        <f t="shared" si="1"/>
        <v>0.75</v>
      </c>
      <c r="T30" s="762">
        <f>_xlfn.XLOOKUP(Table156101114[[#This Row],[PO]],Table1[PO],Table1[نهاية المشروع المعدلة PMO LIVE],0)</f>
        <v>46232</v>
      </c>
      <c r="U30" s="771">
        <f>T30-Table156101114[[#This Row],[النهاية المعدلة للمشروع]]</f>
        <v>0</v>
      </c>
      <c r="V30" s="684" t="str">
        <f>_xlfn.XLOOKUP(Table156101114[[#This Row],[PO]],Table1[PO],Table1[حالة المشروع],0)</f>
        <v>متأخر</v>
      </c>
      <c r="W30" s="686" t="str">
        <f>IF(V30=Table156101114[[#This Row],[حالة المشروع]],"صح","غلط")</f>
        <v>صح</v>
      </c>
      <c r="X30" s="908"/>
      <c r="Y30" s="908"/>
    </row>
    <row r="31" spans="1:25" s="39" customFormat="1" ht="27" customHeight="1">
      <c r="A31" s="67">
        <v>37</v>
      </c>
      <c r="B31" s="761" t="s">
        <v>37</v>
      </c>
      <c r="C31" s="367" t="s">
        <v>13</v>
      </c>
      <c r="D31" s="368">
        <v>901230202</v>
      </c>
      <c r="E31" s="368" t="s">
        <v>105</v>
      </c>
      <c r="F31" s="368" t="s">
        <v>105</v>
      </c>
      <c r="G31" s="368" t="s">
        <v>99</v>
      </c>
      <c r="H31" s="369">
        <v>45288</v>
      </c>
      <c r="I31" s="369">
        <v>46741</v>
      </c>
      <c r="J31" s="369">
        <v>46923</v>
      </c>
      <c r="K31" s="370">
        <v>156</v>
      </c>
      <c r="L31" s="371">
        <f>Table156101114[[#This Row],[النهاية المعدلة للمشروع]]-Table156101114[[#This Row],[البداية التعاقدية المشروع]]</f>
        <v>1453</v>
      </c>
      <c r="M31" s="372">
        <v>101925144.43000001</v>
      </c>
      <c r="N31" s="373">
        <v>0.50649999999999995</v>
      </c>
      <c r="O31" s="373">
        <v>0.53890000000000005</v>
      </c>
      <c r="P31" s="373">
        <f>Table156101114[[#This Row],[Act %]]-Table156101114[[#This Row],[المخطط % 15 اكتوبر2026]]</f>
        <v>3.2400000000000095E-2</v>
      </c>
      <c r="Q31" s="373" t="s">
        <v>78</v>
      </c>
      <c r="R31" s="373">
        <f t="shared" si="0"/>
        <v>0.70337233310392289</v>
      </c>
      <c r="S31" s="371">
        <f t="shared" si="1"/>
        <v>1.063968410661402</v>
      </c>
      <c r="T31" s="764">
        <f>_xlfn.XLOOKUP(Table156101114[[#This Row],[PO]],Table1[PO],Table1[نهاية المشروع المعدلة PMO LIVE],0)</f>
        <v>46741</v>
      </c>
      <c r="U31" s="772">
        <f>T31-Table156101114[[#This Row],[النهاية المعدلة للمشروع]]</f>
        <v>0</v>
      </c>
      <c r="V31" s="684" t="str">
        <f>_xlfn.XLOOKUP(Table156101114[[#This Row],[PO]],Table1[PO],Table1[حالة المشروع],0)</f>
        <v>متقدم</v>
      </c>
      <c r="W31" s="686" t="str">
        <f>IF(V31=Table156101114[[#This Row],[حالة المشروع]],"صح","غلط")</f>
        <v>صح</v>
      </c>
      <c r="X31" s="908"/>
      <c r="Y31" s="908"/>
    </row>
    <row r="32" spans="1:25" s="39" customFormat="1" ht="27" customHeight="1">
      <c r="A32" s="66">
        <v>38</v>
      </c>
      <c r="B32" s="773" t="s">
        <v>38</v>
      </c>
      <c r="C32" s="377" t="s">
        <v>14</v>
      </c>
      <c r="D32" s="395">
        <v>901230176</v>
      </c>
      <c r="E32" s="377" t="s">
        <v>105</v>
      </c>
      <c r="F32" s="395" t="s">
        <v>105</v>
      </c>
      <c r="G32" s="396" t="s">
        <v>99</v>
      </c>
      <c r="H32" s="380">
        <v>45249</v>
      </c>
      <c r="I32" s="392">
        <v>46379</v>
      </c>
      <c r="J32" s="392">
        <v>46456</v>
      </c>
      <c r="K32" s="397">
        <v>-82</v>
      </c>
      <c r="L32" s="398">
        <f>Table156101114[[#This Row],[النهاية المعدلة للمشروع]]-Table156101114[[#This Row],[البداية التعاقدية المشروع]]</f>
        <v>1130</v>
      </c>
      <c r="M32" s="399">
        <v>32905589.93</v>
      </c>
      <c r="N32" s="391">
        <v>0.74339999999999995</v>
      </c>
      <c r="O32" s="391">
        <v>0.55979999999999996</v>
      </c>
      <c r="P32" s="391">
        <f>Table156101114[[#This Row],[Act %]]-Table156101114[[#This Row],[المخطط % 15 اكتوبر2026]]</f>
        <v>-0.18359999999999999</v>
      </c>
      <c r="Q32" s="373" t="s">
        <v>100</v>
      </c>
      <c r="R32" s="383">
        <f t="shared" si="0"/>
        <v>0.93893805309734513</v>
      </c>
      <c r="S32" s="774">
        <f t="shared" si="1"/>
        <v>0.75302663438256656</v>
      </c>
      <c r="T32" s="762">
        <f>_xlfn.XLOOKUP(Table156101114[[#This Row],[PO]],Table1[PO],Table1[نهاية المشروع المعدلة PMO LIVE],0)</f>
        <v>46379</v>
      </c>
      <c r="U32" s="771">
        <f>T32-Table156101114[[#This Row],[النهاية المعدلة للمشروع]]</f>
        <v>0</v>
      </c>
      <c r="V32" s="684" t="str">
        <f>_xlfn.XLOOKUP(Table156101114[[#This Row],[PO]],Table1[PO],Table1[حالة المشروع],0)</f>
        <v>متأخر</v>
      </c>
      <c r="W32" s="686" t="str">
        <f>IF(V32=Table156101114[[#This Row],[حالة المشروع]],"صح","غلط")</f>
        <v>صح</v>
      </c>
      <c r="X32" s="908"/>
      <c r="Y32" s="908"/>
    </row>
    <row r="33" spans="1:25" s="39" customFormat="1" ht="27" customHeight="1">
      <c r="A33" s="67">
        <v>39</v>
      </c>
      <c r="B33" s="766" t="s">
        <v>186</v>
      </c>
      <c r="C33" s="375" t="s">
        <v>187</v>
      </c>
      <c r="D33" s="368">
        <v>901240391</v>
      </c>
      <c r="E33" s="368" t="s">
        <v>105</v>
      </c>
      <c r="F33" s="368" t="s">
        <v>105</v>
      </c>
      <c r="G33" s="368" t="s">
        <v>99</v>
      </c>
      <c r="H33" s="369">
        <v>45732</v>
      </c>
      <c r="I33" s="369">
        <v>46841</v>
      </c>
      <c r="J33" s="369">
        <v>46886</v>
      </c>
      <c r="K33" s="370">
        <v>-13</v>
      </c>
      <c r="L33" s="371">
        <f>Table156101114[[#This Row],[النهاية المعدلة للمشروع]]-Table156101114[[#This Row],[البداية التعاقدية المشروع]]</f>
        <v>1109</v>
      </c>
      <c r="M33" s="372">
        <v>12264700</v>
      </c>
      <c r="N33" s="979">
        <v>0.21679999999999999</v>
      </c>
      <c r="O33" s="373">
        <v>0.215</v>
      </c>
      <c r="P33" s="373">
        <f>Table156101114[[#This Row],[Act %]]-Table156101114[[#This Row],[المخطط % 15 اكتوبر2026]]</f>
        <v>-1.799999999999996E-3</v>
      </c>
      <c r="Q33" s="373" t="s">
        <v>77</v>
      </c>
      <c r="R33" s="373">
        <f t="shared" si="0"/>
        <v>0.521190261496844</v>
      </c>
      <c r="S33" s="371">
        <f t="shared" si="1"/>
        <v>0.9916974169741698</v>
      </c>
      <c r="T33" s="764">
        <f>_xlfn.XLOOKUP(Table156101114[[#This Row],[PO]],Table1[PO],Table1[نهاية المشروع المعدلة PMO LIVE],0)</f>
        <v>46841</v>
      </c>
      <c r="U33" s="772">
        <f>T33-Table156101114[[#This Row],[النهاية المعدلة للمشروع]]</f>
        <v>0</v>
      </c>
      <c r="V33" s="684" t="str">
        <f>_xlfn.XLOOKUP(Table156101114[[#This Row],[PO]],Table1[PO],Table1[حالة المشروع],0)</f>
        <v>منتظم</v>
      </c>
      <c r="W33" s="686" t="str">
        <f>IF(V33=Table156101114[[#This Row],[حالة المشروع]],"صح","غلط")</f>
        <v>صح</v>
      </c>
      <c r="X33" s="908"/>
      <c r="Y33" s="908"/>
    </row>
    <row r="34" spans="1:25" s="39" customFormat="1" ht="27" customHeight="1">
      <c r="A34" s="66">
        <v>40</v>
      </c>
      <c r="B34" s="761" t="s">
        <v>39</v>
      </c>
      <c r="C34" s="367" t="s">
        <v>16</v>
      </c>
      <c r="D34" s="368">
        <v>901240123</v>
      </c>
      <c r="E34" s="368" t="s">
        <v>105</v>
      </c>
      <c r="F34" s="368" t="s">
        <v>172</v>
      </c>
      <c r="G34" s="368" t="s">
        <v>99</v>
      </c>
      <c r="H34" s="369">
        <v>45522</v>
      </c>
      <c r="I34" s="369">
        <v>46322</v>
      </c>
      <c r="J34" s="369">
        <v>46460</v>
      </c>
      <c r="K34" s="370">
        <v>-116</v>
      </c>
      <c r="L34" s="371">
        <f>Table156101114[[#This Row],[النهاية المعدلة للمشروع]]-Table156101114[[#This Row],[البداية التعاقدية المشروع]]</f>
        <v>800</v>
      </c>
      <c r="M34" s="372">
        <v>22389932.399999999</v>
      </c>
      <c r="N34" s="373">
        <v>0.83089999999999997</v>
      </c>
      <c r="O34" s="373">
        <v>0.2777</v>
      </c>
      <c r="P34" s="373">
        <f>Table156101114[[#This Row],[Act %]]-Table156101114[[#This Row],[المخطط % 15 اكتوبر2026]]</f>
        <v>-0.55319999999999991</v>
      </c>
      <c r="Q34" s="373" t="s">
        <v>85</v>
      </c>
      <c r="R34" s="373">
        <f t="shared" ref="R34:R53" si="2">(($T$1-H34))/(I34-H34)</f>
        <v>0.98499999999999999</v>
      </c>
      <c r="S34" s="371">
        <f t="shared" ref="S34:S53" si="3">IFERROR(O34/N34,"1")</f>
        <v>0.33421591045853893</v>
      </c>
      <c r="T34" s="762">
        <f>_xlfn.XLOOKUP(Table156101114[[#This Row],[PO]],Table1[PO],Table1[نهاية المشروع المعدلة PMO LIVE],0)</f>
        <v>46322</v>
      </c>
      <c r="U34" s="771">
        <f>T34-Table156101114[[#This Row],[النهاية المعدلة للمشروع]]</f>
        <v>0</v>
      </c>
      <c r="V34" s="684" t="str">
        <f>_xlfn.XLOOKUP(Table156101114[[#This Row],[PO]],Table1[PO],Table1[حالة المشروع],0)</f>
        <v>متعثر</v>
      </c>
      <c r="W34" s="686" t="str">
        <f>IF(V34=Table156101114[[#This Row],[حالة المشروع]],"صح","غلط")</f>
        <v>صح</v>
      </c>
      <c r="X34" s="908"/>
      <c r="Y34" s="908"/>
    </row>
    <row r="35" spans="1:25" s="601" customFormat="1" ht="27" customHeight="1">
      <c r="A35" s="409">
        <v>41</v>
      </c>
      <c r="B35" s="744" t="s">
        <v>317</v>
      </c>
      <c r="C35" s="384" t="s">
        <v>189</v>
      </c>
      <c r="D35" s="385">
        <v>901250291</v>
      </c>
      <c r="E35" s="384" t="s">
        <v>105</v>
      </c>
      <c r="F35" s="385" t="s">
        <v>105</v>
      </c>
      <c r="G35" s="393" t="s">
        <v>99</v>
      </c>
      <c r="H35" s="386">
        <v>45902</v>
      </c>
      <c r="I35" s="386">
        <v>47252</v>
      </c>
      <c r="J35" s="374">
        <v>47412</v>
      </c>
      <c r="K35" s="387">
        <v>-137</v>
      </c>
      <c r="L35" s="394">
        <f>Table156101114[[#This Row],[النهاية المعدلة للمشروع]]-Table156101114[[#This Row],[البداية التعاقدية المشروع]]</f>
        <v>1350</v>
      </c>
      <c r="M35" s="388">
        <v>72054220</v>
      </c>
      <c r="N35" s="381">
        <v>9.1300000000000006E-2</v>
      </c>
      <c r="O35" s="381">
        <v>0.1263</v>
      </c>
      <c r="P35" s="381">
        <f>Table156101114[[#This Row],[Act %]]-Table156101114[[#This Row],[المخطط % 15 اكتوبر2026]]</f>
        <v>3.4999999999999989E-2</v>
      </c>
      <c r="Q35" s="381" t="s">
        <v>78</v>
      </c>
      <c r="R35" s="382">
        <f t="shared" si="2"/>
        <v>0.30222222222222223</v>
      </c>
      <c r="S35" s="770">
        <f t="shared" si="3"/>
        <v>1.3833515881708651</v>
      </c>
      <c r="T35" s="775">
        <f>_xlfn.XLOOKUP(Table156101114[[#This Row],[PO]],Table1[PO],Table1[نهاية المشروع المعدلة PMO LIVE],0)</f>
        <v>47252</v>
      </c>
      <c r="U35" s="776">
        <f>T35-Table156101114[[#This Row],[النهاية المعدلة للمشروع]]</f>
        <v>0</v>
      </c>
      <c r="V35" s="725" t="str">
        <f>_xlfn.XLOOKUP(Table156101114[[#This Row],[PO]],Table1[PO],Table1[حالة المشروع],0)</f>
        <v>متقدم</v>
      </c>
      <c r="W35" s="726" t="str">
        <f>IF(V35=Table156101114[[#This Row],[حالة المشروع]],"صح","غلط")</f>
        <v>صح</v>
      </c>
      <c r="X35" s="909"/>
      <c r="Y35" s="909"/>
    </row>
    <row r="36" spans="1:25" ht="27" customHeight="1">
      <c r="A36" s="68">
        <v>47</v>
      </c>
      <c r="B36" s="761" t="s">
        <v>40</v>
      </c>
      <c r="C36" s="367" t="s">
        <v>528</v>
      </c>
      <c r="D36" s="368">
        <v>901240091</v>
      </c>
      <c r="E36" s="368" t="s">
        <v>105</v>
      </c>
      <c r="F36" s="368" t="s">
        <v>172</v>
      </c>
      <c r="G36" s="368" t="s">
        <v>99</v>
      </c>
      <c r="H36" s="369">
        <v>45490</v>
      </c>
      <c r="I36" s="392">
        <v>46411</v>
      </c>
      <c r="J36" s="369">
        <v>46456</v>
      </c>
      <c r="K36" s="370">
        <v>-38</v>
      </c>
      <c r="L36" s="371">
        <f>Table156101114[[#This Row],[النهاية المعدلة للمشروع]]-Table156101114[[#This Row],[البداية التعاقدية المشروع]]</f>
        <v>921</v>
      </c>
      <c r="M36" s="372">
        <v>19721322</v>
      </c>
      <c r="N36" s="373">
        <v>0.60029999999999994</v>
      </c>
      <c r="O36" s="373">
        <v>0.47570000000000001</v>
      </c>
      <c r="P36" s="373">
        <f>Table156101114[[#This Row],[Act %]]-Table156101114[[#This Row],[المخطط % 15 اكتوبر2026]]</f>
        <v>-0.12459999999999993</v>
      </c>
      <c r="Q36" s="373" t="s">
        <v>100</v>
      </c>
      <c r="R36" s="373">
        <f t="shared" si="2"/>
        <v>0.89033659066232351</v>
      </c>
      <c r="S36" s="371">
        <f t="shared" si="3"/>
        <v>0.79243711477594547</v>
      </c>
      <c r="T36" s="762">
        <f>_xlfn.XLOOKUP(Table156101114[[#This Row],[PO]],Table1[PO],Table1[نهاية المشروع المعدلة PMO LIVE],0)</f>
        <v>46411</v>
      </c>
      <c r="U36" s="777">
        <f>T36-Table156101114[[#This Row],[النهاية المعدلة للمشروع]]</f>
        <v>0</v>
      </c>
      <c r="V36" s="684" t="str">
        <f>_xlfn.XLOOKUP(Table156101114[[#This Row],[PO]],Table1[PO],Table1[حالة المشروع],0)</f>
        <v>متأخر</v>
      </c>
      <c r="W36" s="686" t="str">
        <f>IF(V36=Table156101114[[#This Row],[حالة المشروع]],"صح","غلط")</f>
        <v>صح</v>
      </c>
    </row>
    <row r="37" spans="1:25" ht="27" customHeight="1">
      <c r="A37" s="874"/>
      <c r="B37" s="875" t="s">
        <v>41</v>
      </c>
      <c r="C37" s="876" t="s">
        <v>20</v>
      </c>
      <c r="D37" s="877">
        <v>901240189</v>
      </c>
      <c r="E37" s="876" t="s">
        <v>105</v>
      </c>
      <c r="F37" s="877" t="s">
        <v>172</v>
      </c>
      <c r="G37" s="878" t="s">
        <v>99</v>
      </c>
      <c r="H37" s="879">
        <v>45565</v>
      </c>
      <c r="I37" s="880">
        <v>46110</v>
      </c>
      <c r="J37" s="881">
        <v>46639</v>
      </c>
      <c r="K37" s="882">
        <v>-137</v>
      </c>
      <c r="L37" s="883">
        <f>Table156101114[[#This Row],[النهاية المعدلة للمشروع]]-Table156101114[[#This Row],[البداية التعاقدية المشروع]]</f>
        <v>545</v>
      </c>
      <c r="M37" s="884">
        <v>15000000.4</v>
      </c>
      <c r="N37" s="873">
        <v>1</v>
      </c>
      <c r="O37" s="873">
        <v>1</v>
      </c>
      <c r="P37" s="873">
        <f>Table156101114[[#This Row],[Act %]]-Table156101114[[#This Row],[المخطط % 15 اكتوبر2026]]</f>
        <v>0</v>
      </c>
      <c r="Q37" s="873" t="s">
        <v>77</v>
      </c>
      <c r="R37" s="885">
        <f t="shared" si="2"/>
        <v>1.3669724770642202</v>
      </c>
      <c r="S37" s="886">
        <f t="shared" si="3"/>
        <v>1</v>
      </c>
      <c r="T37" s="887">
        <f>_xlfn.XLOOKUP(Table156101114[[#This Row],[PO]],Table1[PO],Table1[نهاية المشروع المعدلة PMO LIVE],0)</f>
        <v>0</v>
      </c>
      <c r="U37" s="888">
        <f>T37-Table156101114[[#This Row],[النهاية المعدلة للمشروع]]</f>
        <v>-46110</v>
      </c>
      <c r="V37" s="684">
        <f>_xlfn.XLOOKUP(Table156101114[[#This Row],[PO]],Table1[PO],Table1[حالة المشروع],0)</f>
        <v>0</v>
      </c>
      <c r="W37" s="686" t="str">
        <f>IF(V37=Table156101114[[#This Row],[حالة المشروع]],"صح","غلط")</f>
        <v>غلط</v>
      </c>
    </row>
    <row r="38" spans="1:25" ht="27" customHeight="1" thickBot="1">
      <c r="A38" s="138"/>
      <c r="B38" s="778" t="s">
        <v>42</v>
      </c>
      <c r="C38" s="389" t="s">
        <v>19</v>
      </c>
      <c r="D38" s="368">
        <v>901240072</v>
      </c>
      <c r="E38" s="373" t="s">
        <v>105</v>
      </c>
      <c r="F38" s="373" t="s">
        <v>105</v>
      </c>
      <c r="G38" s="373" t="s">
        <v>99</v>
      </c>
      <c r="H38" s="369">
        <v>45565</v>
      </c>
      <c r="I38" s="369">
        <v>46685</v>
      </c>
      <c r="J38" s="369">
        <v>46837</v>
      </c>
      <c r="K38" s="370">
        <v>-130</v>
      </c>
      <c r="L38" s="371">
        <f>Table156101114[[#This Row],[النهاية المعدلة للمشروع]]-Table156101114[[#This Row],[البداية التعاقدية المشروع]]</f>
        <v>1120</v>
      </c>
      <c r="M38" s="390">
        <v>43666400</v>
      </c>
      <c r="N38" s="373">
        <v>0.25869999999999999</v>
      </c>
      <c r="O38" s="373">
        <v>0.32400000000000001</v>
      </c>
      <c r="P38" s="373">
        <f>Table156101114[[#This Row],[Act %]]-Table156101114[[#This Row],[المخطط % 15 اكتوبر2026]]</f>
        <v>6.5300000000000025E-2</v>
      </c>
      <c r="Q38" s="373" t="s">
        <v>78</v>
      </c>
      <c r="R38" s="373">
        <f t="shared" si="2"/>
        <v>0.6651785714285714</v>
      </c>
      <c r="S38" s="371">
        <f t="shared" si="3"/>
        <v>1.2524159257827601</v>
      </c>
      <c r="T38" s="762">
        <f>_xlfn.XLOOKUP(Table156101114[[#This Row],[PO]],Table1[PO],Table1[نهاية المشروع المعدلة PMO LIVE],0)</f>
        <v>46685</v>
      </c>
      <c r="U38" s="777">
        <f>T38-Table156101114[[#This Row],[النهاية المعدلة للمشروع]]</f>
        <v>0</v>
      </c>
      <c r="V38" s="684" t="str">
        <f>_xlfn.XLOOKUP(Table156101114[[#This Row],[PO]],Table1[PO],Table1[حالة المشروع],0)</f>
        <v>متقدم</v>
      </c>
      <c r="W38" s="686" t="str">
        <f>IF(V38=Table156101114[[#This Row],[حالة المشروع]],"صح","غلط")</f>
        <v>صح</v>
      </c>
    </row>
    <row r="39" spans="1:25" s="413" customFormat="1" ht="27" customHeight="1" thickTop="1">
      <c r="A39" s="411"/>
      <c r="B39" s="744" t="s">
        <v>251</v>
      </c>
      <c r="C39" s="384" t="s">
        <v>188</v>
      </c>
      <c r="D39" s="385">
        <v>901250150</v>
      </c>
      <c r="E39" s="384" t="s">
        <v>105</v>
      </c>
      <c r="F39" s="385" t="s">
        <v>105</v>
      </c>
      <c r="G39" s="393" t="s">
        <v>99</v>
      </c>
      <c r="H39" s="386">
        <v>45868</v>
      </c>
      <c r="I39" s="386">
        <v>47299</v>
      </c>
      <c r="J39" s="374">
        <v>47338</v>
      </c>
      <c r="K39" s="387">
        <v>-33</v>
      </c>
      <c r="L39" s="394">
        <f>Table156101114[[#This Row],[النهاية المعدلة للمشروع]]-Table156101114[[#This Row],[البداية التعاقدية المشروع]]</f>
        <v>1431</v>
      </c>
      <c r="M39" s="388">
        <v>40892454.780000001</v>
      </c>
      <c r="N39" s="373">
        <v>0.10539999999999999</v>
      </c>
      <c r="O39" s="381">
        <v>0.15540000000000001</v>
      </c>
      <c r="P39" s="381">
        <f>Table156101114[[#This Row],[Act %]]-Table156101114[[#This Row],[المخطط % 15 اكتوبر2026]]</f>
        <v>5.0000000000000017E-2</v>
      </c>
      <c r="Q39" s="373" t="s">
        <v>78</v>
      </c>
      <c r="R39" s="382">
        <f t="shared" si="2"/>
        <v>0.30887491264849753</v>
      </c>
      <c r="S39" s="770">
        <f t="shared" si="3"/>
        <v>1.4743833017077801</v>
      </c>
      <c r="T39" s="775">
        <f>_xlfn.XLOOKUP(Table156101114[[#This Row],[PO]],Table1[PO],Table1[نهاية المشروع المعدلة PMO LIVE],0)</f>
        <v>47299</v>
      </c>
      <c r="U39" s="779">
        <f>T39-Table156101114[[#This Row],[النهاية المعدلة للمشروع]]</f>
        <v>0</v>
      </c>
      <c r="V39" s="684" t="str">
        <f>_xlfn.XLOOKUP(Table156101114[[#This Row],[PO]],Table1[PO],Table1[حالة المشروع],0)</f>
        <v>متقدم</v>
      </c>
      <c r="W39" s="686" t="str">
        <f>IF(V39=Table156101114[[#This Row],[حالة المشروع]],"صح","غلط")</f>
        <v>صح</v>
      </c>
      <c r="X39" s="911"/>
      <c r="Y39" s="911"/>
    </row>
    <row r="40" spans="1:25" s="415" customFormat="1" ht="27" customHeight="1">
      <c r="A40" s="414"/>
      <c r="B40" s="773" t="s">
        <v>36</v>
      </c>
      <c r="C40" s="377" t="s">
        <v>12</v>
      </c>
      <c r="D40" s="395">
        <v>901230173</v>
      </c>
      <c r="E40" s="377" t="s">
        <v>105</v>
      </c>
      <c r="F40" s="395" t="s">
        <v>105</v>
      </c>
      <c r="G40" s="396" t="s">
        <v>99</v>
      </c>
      <c r="H40" s="380">
        <v>45215</v>
      </c>
      <c r="I40" s="380">
        <v>46311</v>
      </c>
      <c r="J40" s="392">
        <v>46568</v>
      </c>
      <c r="K40" s="397">
        <v>-96</v>
      </c>
      <c r="L40" s="398">
        <f>Table156101114[[#This Row],[النهاية المعدلة للمشروع]]-Table156101114[[#This Row],[البداية التعاقدية المشروع]]</f>
        <v>1096</v>
      </c>
      <c r="M40" s="399">
        <v>38500000</v>
      </c>
      <c r="N40" s="391">
        <v>1</v>
      </c>
      <c r="O40" s="391">
        <v>0.97160000000000002</v>
      </c>
      <c r="P40" s="391">
        <f>Table156101114[[#This Row],[Act %]]-Table156101114[[#This Row],[المخطط % 15 اكتوبر2026]]</f>
        <v>-2.8399999999999981E-2</v>
      </c>
      <c r="Q40" s="373" t="s">
        <v>77</v>
      </c>
      <c r="R40" s="383">
        <f t="shared" si="2"/>
        <v>0.99908759124087587</v>
      </c>
      <c r="S40" s="774">
        <f t="shared" si="3"/>
        <v>0.97160000000000002</v>
      </c>
      <c r="T40" s="762">
        <f>_xlfn.XLOOKUP(Table156101114[[#This Row],[PO]],Table1[PO],Table1[نهاية المشروع المعدلة PMO LIVE],0)</f>
        <v>46311</v>
      </c>
      <c r="U40" s="777">
        <f>T40-Table156101114[[#This Row],[النهاية المعدلة للمشروع]]</f>
        <v>0</v>
      </c>
      <c r="V40" s="684" t="str">
        <f>_xlfn.XLOOKUP(Table156101114[[#This Row],[PO]],Table1[PO],Table1[حالة المشروع],0)</f>
        <v>منتظم</v>
      </c>
      <c r="W40" s="686" t="str">
        <f>IF(V40=Table156101114[[#This Row],[حالة المشروع]],"صح","غلط")</f>
        <v>صح</v>
      </c>
      <c r="X40" s="912"/>
      <c r="Y40" s="912"/>
    </row>
    <row r="41" spans="1:25" s="413" customFormat="1" ht="27" customHeight="1">
      <c r="A41" s="411"/>
      <c r="B41" s="744" t="s">
        <v>252</v>
      </c>
      <c r="C41" s="384" t="s">
        <v>183</v>
      </c>
      <c r="D41" s="385">
        <v>901250200</v>
      </c>
      <c r="E41" s="384" t="s">
        <v>105</v>
      </c>
      <c r="F41" s="385" t="s">
        <v>172</v>
      </c>
      <c r="G41" s="393" t="s">
        <v>99</v>
      </c>
      <c r="H41" s="386">
        <v>45910</v>
      </c>
      <c r="I41" s="386">
        <v>47305</v>
      </c>
      <c r="J41" s="374">
        <v>47369</v>
      </c>
      <c r="K41" s="387">
        <v>-55</v>
      </c>
      <c r="L41" s="394">
        <f>Table156101114[[#This Row],[النهاية المعدلة للمشروع]]-Table156101114[[#This Row],[البداية التعاقدية المشروع]]</f>
        <v>1395</v>
      </c>
      <c r="M41" s="388">
        <v>22395000</v>
      </c>
      <c r="N41" s="373">
        <v>6.5000000000000002E-2</v>
      </c>
      <c r="O41" s="381">
        <v>5.2499999999999998E-2</v>
      </c>
      <c r="P41" s="381">
        <f>Table156101114[[#This Row],[Act %]]-Table156101114[[#This Row],[المخطط % 15 اكتوبر2026]]</f>
        <v>-1.2500000000000004E-2</v>
      </c>
      <c r="Q41" s="373" t="s">
        <v>77</v>
      </c>
      <c r="R41" s="382">
        <f t="shared" si="2"/>
        <v>0.28673835125448027</v>
      </c>
      <c r="S41" s="770">
        <f t="shared" si="3"/>
        <v>0.8076923076923076</v>
      </c>
      <c r="T41" s="775">
        <f>_xlfn.XLOOKUP(Table156101114[[#This Row],[PO]],Table1[PO],Table1[نهاية المشروع المعدلة PMO LIVE],0)</f>
        <v>47305</v>
      </c>
      <c r="U41" s="780">
        <f>T41-Table156101114[[#This Row],[النهاية المعدلة للمشروع]]</f>
        <v>0</v>
      </c>
      <c r="V41" s="684" t="str">
        <f>_xlfn.XLOOKUP(Table156101114[[#This Row],[PO]],Table1[PO],Table1[حالة المشروع],0)</f>
        <v>منتظم</v>
      </c>
      <c r="W41" s="686" t="str">
        <f>IF(V41=Table156101114[[#This Row],[حالة المشروع]],"صح","غلط")</f>
        <v>صح</v>
      </c>
      <c r="X41" s="911"/>
      <c r="Y41" s="911"/>
    </row>
    <row r="42" spans="1:25" s="415" customFormat="1" ht="27" customHeight="1">
      <c r="A42" s="414"/>
      <c r="B42" s="766" t="s">
        <v>185</v>
      </c>
      <c r="C42" s="367" t="s">
        <v>15</v>
      </c>
      <c r="D42" s="368">
        <v>901240102</v>
      </c>
      <c r="E42" s="368" t="s">
        <v>105</v>
      </c>
      <c r="F42" s="368" t="s">
        <v>105</v>
      </c>
      <c r="G42" s="368" t="s">
        <v>99</v>
      </c>
      <c r="H42" s="369">
        <v>45481</v>
      </c>
      <c r="I42" s="392">
        <v>46269</v>
      </c>
      <c r="J42" s="987">
        <v>46405</v>
      </c>
      <c r="K42" s="656">
        <v>-116</v>
      </c>
      <c r="L42" s="371">
        <f>Table156101114[[#This Row],[النهاية المعدلة للمشروع]]-Table156101114[[#This Row],[البداية التعاقدية المشروع]]</f>
        <v>788</v>
      </c>
      <c r="M42" s="372">
        <v>8142070</v>
      </c>
      <c r="N42" s="373">
        <v>1</v>
      </c>
      <c r="O42" s="373">
        <v>0.82</v>
      </c>
      <c r="P42" s="373">
        <f>Table156101114[[#This Row],[Act %]]-Table156101114[[#This Row],[المخطط % 15 اكتوبر2026]]</f>
        <v>-0.18000000000000005</v>
      </c>
      <c r="Q42" s="373" t="s">
        <v>100</v>
      </c>
      <c r="R42" s="373">
        <f t="shared" si="2"/>
        <v>1.0520304568527918</v>
      </c>
      <c r="S42" s="371">
        <f t="shared" si="3"/>
        <v>0.82</v>
      </c>
      <c r="T42" s="762">
        <f>_xlfn.XLOOKUP(Table156101114[[#This Row],[PO]],Table1[PO],Table1[نهاية المشروع المعدلة PMO LIVE],0)</f>
        <v>46269</v>
      </c>
      <c r="U42" s="781">
        <f>T42-Table156101114[[#This Row],[النهاية المعدلة للمشروع]]</f>
        <v>0</v>
      </c>
      <c r="V42" s="684" t="str">
        <f>_xlfn.XLOOKUP(Table156101114[[#This Row],[PO]],Table1[PO],Table1[حالة المشروع],0)</f>
        <v>متأخر</v>
      </c>
      <c r="W42" s="686" t="str">
        <f>IF(V42=Table156101114[[#This Row],[حالة المشروع]],"صح","غلط")</f>
        <v>صح</v>
      </c>
      <c r="X42" s="912"/>
      <c r="Y42" s="912"/>
    </row>
    <row r="43" spans="1:25" s="419" customFormat="1" ht="27" customHeight="1">
      <c r="A43" s="418"/>
      <c r="B43" s="766" t="s">
        <v>253</v>
      </c>
      <c r="C43" s="367" t="s">
        <v>246</v>
      </c>
      <c r="D43" s="368">
        <v>901250290</v>
      </c>
      <c r="E43" s="368" t="s">
        <v>105</v>
      </c>
      <c r="F43" s="368" t="s">
        <v>105</v>
      </c>
      <c r="G43" s="368" t="s">
        <v>99</v>
      </c>
      <c r="H43" s="369">
        <v>45939</v>
      </c>
      <c r="I43" s="369">
        <v>47309</v>
      </c>
      <c r="J43" s="369">
        <v>47486</v>
      </c>
      <c r="K43" s="370">
        <v>-152</v>
      </c>
      <c r="L43" s="371">
        <f>Table156101114[[#This Row],[النهاية المعدلة للمشروع]]-Table156101114[[#This Row],[البداية التعاقدية المشروع]]</f>
        <v>1370</v>
      </c>
      <c r="M43" s="372">
        <v>62999999</v>
      </c>
      <c r="N43" s="373">
        <v>5.0599999999999999E-2</v>
      </c>
      <c r="O43" s="373">
        <v>9.64E-2</v>
      </c>
      <c r="P43" s="373">
        <f>Table156101114[[#This Row],[Act %]]-Table156101114[[#This Row],[المخطط % 15 اكتوبر2026]]</f>
        <v>4.58E-2</v>
      </c>
      <c r="Q43" s="373" t="s">
        <v>78</v>
      </c>
      <c r="R43" s="373">
        <f t="shared" si="2"/>
        <v>0.27080291970802922</v>
      </c>
      <c r="S43" s="371">
        <f t="shared" si="3"/>
        <v>1.9051383399209487</v>
      </c>
      <c r="T43" s="775">
        <f>_xlfn.XLOOKUP(Table156101114[[#This Row],[PO]],Table1[PO],Table1[نهاية المشروع المعدلة PMO LIVE],0)</f>
        <v>47309</v>
      </c>
      <c r="U43" s="780">
        <f>T43-Table156101114[[#This Row],[النهاية المعدلة للمشروع]]</f>
        <v>0</v>
      </c>
      <c r="V43" s="684" t="str">
        <f>_xlfn.XLOOKUP(Table156101114[[#This Row],[PO]],Table1[PO],Table1[حالة المشروع],0)</f>
        <v>متقدم</v>
      </c>
      <c r="W43" s="686" t="str">
        <f>IF(V43=Table156101114[[#This Row],[حالة المشروع]],"صح","غلط")</f>
        <v>صح</v>
      </c>
      <c r="X43" s="913"/>
      <c r="Y43" s="913"/>
    </row>
    <row r="44" spans="1:25" s="417" customFormat="1" ht="27" customHeight="1">
      <c r="A44" s="416"/>
      <c r="B44" s="767" t="s">
        <v>362</v>
      </c>
      <c r="C44" s="367" t="s">
        <v>274</v>
      </c>
      <c r="D44" s="368">
        <v>901250275</v>
      </c>
      <c r="E44" s="368" t="s">
        <v>105</v>
      </c>
      <c r="F44" s="368" t="s">
        <v>105</v>
      </c>
      <c r="G44" s="368" t="s">
        <v>99</v>
      </c>
      <c r="H44" s="369">
        <v>45979</v>
      </c>
      <c r="I44" s="369">
        <v>46524</v>
      </c>
      <c r="J44" s="369">
        <v>46796</v>
      </c>
      <c r="K44" s="370">
        <v>-231</v>
      </c>
      <c r="L44" s="371">
        <f>Table156101114[[#This Row],[النهاية المعدلة للمشروع]]-Table156101114[[#This Row],[البداية التعاقدية المشروع]]</f>
        <v>545</v>
      </c>
      <c r="M44" s="372">
        <v>10401222.5</v>
      </c>
      <c r="N44" s="391">
        <v>0.41210000000000002</v>
      </c>
      <c r="O44" s="373">
        <v>7.51E-2</v>
      </c>
      <c r="P44" s="373">
        <f>Table156101114[[#This Row],[Act %]]-Table156101114[[#This Row],[المخطط % 15 اكتوبر2026]]</f>
        <v>-0.33700000000000002</v>
      </c>
      <c r="Q44" s="373" t="s">
        <v>85</v>
      </c>
      <c r="R44" s="373">
        <f t="shared" si="2"/>
        <v>0.60733944954128438</v>
      </c>
      <c r="S44" s="371">
        <f t="shared" si="3"/>
        <v>0.18223732103858287</v>
      </c>
      <c r="T44" s="762">
        <f>_xlfn.XLOOKUP(Table156101114[[#This Row],[PO]],Table1[PO],Table1[نهاية المشروع المعدلة PMO LIVE],0)</f>
        <v>46524</v>
      </c>
      <c r="U44" s="781">
        <f>T44-Table156101114[[#This Row],[النهاية المعدلة للمشروع]]</f>
        <v>0</v>
      </c>
      <c r="V44" s="684" t="str">
        <f>_xlfn.XLOOKUP(Table156101114[[#This Row],[PO]],Table1[PO],Table1[حالة المشروع],0)</f>
        <v>متعثر</v>
      </c>
      <c r="W44" s="686" t="str">
        <f>IF(V44=Table156101114[[#This Row],[حالة المشروع]],"صح","غلط")</f>
        <v>صح</v>
      </c>
      <c r="X44" s="914"/>
      <c r="Y44" s="914"/>
    </row>
    <row r="45" spans="1:25" s="413" customFormat="1" ht="27" customHeight="1">
      <c r="A45" s="889">
        <v>42</v>
      </c>
      <c r="B45" s="875" t="s">
        <v>632</v>
      </c>
      <c r="C45" s="876" t="s">
        <v>90</v>
      </c>
      <c r="D45" s="877">
        <v>901240373</v>
      </c>
      <c r="E45" s="876" t="s">
        <v>105</v>
      </c>
      <c r="F45" s="877" t="s">
        <v>105</v>
      </c>
      <c r="G45" s="878" t="s">
        <v>99</v>
      </c>
      <c r="H45" s="879">
        <v>45701</v>
      </c>
      <c r="I45" s="890">
        <v>46246</v>
      </c>
      <c r="J45" s="879" t="s">
        <v>759</v>
      </c>
      <c r="K45" s="882">
        <v>-156</v>
      </c>
      <c r="L45" s="883">
        <f>Table156101114[[#This Row],[النهاية المعدلة للمشروع]]-Table156101114[[#This Row],[البداية التعاقدية المشروع]]</f>
        <v>545</v>
      </c>
      <c r="M45" s="884">
        <v>16480116.789999999</v>
      </c>
      <c r="N45" s="873">
        <v>1</v>
      </c>
      <c r="O45" s="873">
        <v>0.80920000000000003</v>
      </c>
      <c r="P45" s="873">
        <f>Table156101114[[#This Row],[Act %]]-Table156101114[[#This Row],[المخطط % 15 اكتوبر2026]]</f>
        <v>-0.19079999999999997</v>
      </c>
      <c r="Q45" s="873" t="s">
        <v>100</v>
      </c>
      <c r="R45" s="891">
        <f t="shared" si="2"/>
        <v>1.1174311926605505</v>
      </c>
      <c r="S45" s="892">
        <f t="shared" si="3"/>
        <v>0.80920000000000003</v>
      </c>
      <c r="T45" s="893">
        <f>_xlfn.XLOOKUP(Table156101114[[#This Row],[PO]],Table1[PO],Table1[نهاية المشروع المعدلة PMO LIVE],0)</f>
        <v>0</v>
      </c>
      <c r="U45" s="894">
        <f>T45-Table156101114[[#This Row],[النهاية المعدلة للمشروع]]</f>
        <v>-46246</v>
      </c>
      <c r="V45" s="684">
        <f>_xlfn.XLOOKUP(Table156101114[[#This Row],[PO]],Table1[PO],Table1[حالة المشروع],0)</f>
        <v>0</v>
      </c>
      <c r="W45" s="686" t="str">
        <f>IF(V45=Table156101114[[#This Row],[حالة المشروع]],"صح","غلط")</f>
        <v>غلط</v>
      </c>
      <c r="X45" s="911"/>
      <c r="Y45" s="911"/>
    </row>
    <row r="46" spans="1:25" ht="27" customHeight="1">
      <c r="A46" s="66">
        <v>43</v>
      </c>
      <c r="B46" s="761" t="s">
        <v>403</v>
      </c>
      <c r="C46" s="367" t="s">
        <v>405</v>
      </c>
      <c r="D46" s="368">
        <v>901250499</v>
      </c>
      <c r="E46" s="368" t="s">
        <v>105</v>
      </c>
      <c r="F46" s="368" t="s">
        <v>105</v>
      </c>
      <c r="G46" s="368" t="s">
        <v>99</v>
      </c>
      <c r="H46" s="369">
        <v>46035</v>
      </c>
      <c r="I46" s="369">
        <v>46569</v>
      </c>
      <c r="J46" s="369">
        <v>46576</v>
      </c>
      <c r="K46" s="370">
        <v>-160</v>
      </c>
      <c r="L46" s="371">
        <f>Table156101114[[#This Row],[النهاية المعدلة للمشروع]]-Table156101114[[#This Row],[البداية التعاقدية المشروع]]</f>
        <v>534</v>
      </c>
      <c r="M46" s="372">
        <v>12519874</v>
      </c>
      <c r="N46" s="391">
        <v>0.14660000000000001</v>
      </c>
      <c r="O46" s="373">
        <v>0</v>
      </c>
      <c r="P46" s="373">
        <f>Table156101114[[#This Row],[Act %]]-Table156101114[[#This Row],[المخطط % 15 اكتوبر2026]]</f>
        <v>-0.14660000000000001</v>
      </c>
      <c r="Q46" s="373" t="s">
        <v>100</v>
      </c>
      <c r="R46" s="373">
        <f t="shared" si="2"/>
        <v>0.51498127340823974</v>
      </c>
      <c r="S46" s="371">
        <f t="shared" si="3"/>
        <v>0</v>
      </c>
      <c r="T46" s="762">
        <f>_xlfn.XLOOKUP(Table156101114[[#This Row],[PO]],Table1[PO],Table1[نهاية المشروع المعدلة PMO LIVE],0)</f>
        <v>46569</v>
      </c>
      <c r="U46" s="777">
        <f>T46-Table156101114[[#This Row],[النهاية المعدلة للمشروع]]</f>
        <v>0</v>
      </c>
      <c r="V46" s="684" t="str">
        <f>_xlfn.XLOOKUP(Table156101114[[#This Row],[PO]],Table1[PO],Table1[حالة المشروع],0)</f>
        <v>متأخر</v>
      </c>
      <c r="W46" s="686" t="str">
        <f>IF(V46=Table156101114[[#This Row],[حالة المشروع]],"صح","غلط")</f>
        <v>صح</v>
      </c>
    </row>
    <row r="47" spans="1:25" ht="27" customHeight="1" thickBot="1">
      <c r="A47" s="66"/>
      <c r="B47" s="788" t="s">
        <v>652</v>
      </c>
      <c r="C47" s="727" t="s">
        <v>653</v>
      </c>
      <c r="D47" s="728">
        <v>901260326</v>
      </c>
      <c r="E47" s="727" t="s">
        <v>105</v>
      </c>
      <c r="F47" s="728" t="s">
        <v>105</v>
      </c>
      <c r="G47" s="728" t="s">
        <v>99</v>
      </c>
      <c r="H47" s="729">
        <v>46245</v>
      </c>
      <c r="I47" s="729" t="s">
        <v>691</v>
      </c>
      <c r="J47" s="730">
        <v>46529</v>
      </c>
      <c r="K47" s="731">
        <v>-31</v>
      </c>
      <c r="L47" s="732">
        <f>Table156101114[[#This Row],[النهاية المعدلة للمشروع]]-Table156101114[[#This Row],[البداية التعاقدية المشروع]]</f>
        <v>243</v>
      </c>
      <c r="M47" s="733">
        <v>3268750</v>
      </c>
      <c r="N47" s="550">
        <v>5.91E-2</v>
      </c>
      <c r="O47" s="550" t="s">
        <v>876</v>
      </c>
      <c r="P47" s="550">
        <f>Table156101114[[#This Row],[Act %]]-Table156101114[[#This Row],[المخطط % 15 اكتوبر2026]]</f>
        <v>-5.91E-2</v>
      </c>
      <c r="Q47" s="550" t="s">
        <v>77</v>
      </c>
      <c r="R47" s="412">
        <f t="shared" si="2"/>
        <v>0.26748971193415638</v>
      </c>
      <c r="S47" s="789">
        <f t="shared" si="3"/>
        <v>0</v>
      </c>
      <c r="T47" s="790">
        <f>_xlfn.XLOOKUP(Table156101114[[#This Row],[PO]],Table1[PO],Table1[نهاية المشروع المعدلة PMO LIVE],0)</f>
        <v>46488</v>
      </c>
      <c r="U47" s="791">
        <f>T47-Table156101114[[#This Row],[النهاية المعدلة للمشروع]]</f>
        <v>0</v>
      </c>
      <c r="V47" s="684" t="str">
        <f>_xlfn.XLOOKUP(Table156101114[[#This Row],[PO]],Table1[PO],Table1[حالة المشروع],0)</f>
        <v>منتظم</v>
      </c>
      <c r="W47" s="686" t="str">
        <f>IF(V47=Table156101114[[#This Row],[حالة المشروع]],"صح","غلط")</f>
        <v>صح</v>
      </c>
    </row>
    <row r="48" spans="1:25" s="25" customFormat="1" ht="27" customHeight="1">
      <c r="A48" s="65">
        <v>20</v>
      </c>
      <c r="B48" s="734" t="s">
        <v>129</v>
      </c>
      <c r="C48" s="735" t="s">
        <v>109</v>
      </c>
      <c r="D48" s="736">
        <v>901240090</v>
      </c>
      <c r="E48" s="735" t="s">
        <v>116</v>
      </c>
      <c r="F48" s="736" t="s">
        <v>116</v>
      </c>
      <c r="G48" s="736" t="s">
        <v>99</v>
      </c>
      <c r="H48" s="737">
        <v>45447</v>
      </c>
      <c r="I48" s="737">
        <v>46936</v>
      </c>
      <c r="J48" s="738">
        <v>47103</v>
      </c>
      <c r="K48" s="739">
        <v>-143</v>
      </c>
      <c r="L48" s="739">
        <f>Table156101114[[#This Row],[النهاية المعدلة للمشروع]]-Table156101114[[#This Row],[البداية التعاقدية المشروع]]</f>
        <v>1489</v>
      </c>
      <c r="M48" s="740">
        <v>21591420</v>
      </c>
      <c r="N48" s="741">
        <v>0.2094</v>
      </c>
      <c r="O48" s="741">
        <v>0.28789999999999999</v>
      </c>
      <c r="P48" s="741">
        <f>Table156101114[[#This Row],[Act %]]-Table156101114[[#This Row],[المخطط % 15 اكتوبر2026]]</f>
        <v>7.8499999999999986E-2</v>
      </c>
      <c r="Q48" s="741" t="s">
        <v>78</v>
      </c>
      <c r="R48" s="742">
        <f t="shared" si="2"/>
        <v>0.57958361316319673</v>
      </c>
      <c r="S48" s="792">
        <f t="shared" si="3"/>
        <v>1.374880611270296</v>
      </c>
      <c r="T48" s="793">
        <f>_xlfn.XLOOKUP(Table156101114[[#This Row],[PO]],Table1[PO],Table1[نهاية المشروع المعدلة PMO LIVE],0)</f>
        <v>46936</v>
      </c>
      <c r="U48" s="743">
        <f>T48-Table156101114[[#This Row],[النهاية المعدلة للمشروع]]</f>
        <v>0</v>
      </c>
      <c r="V48" s="684" t="str">
        <f>_xlfn.XLOOKUP(Table156101114[[#This Row],[PO]],Table1[PO],Table1[حالة المشروع],0)</f>
        <v>متقدم</v>
      </c>
      <c r="W48" s="686" t="str">
        <f>IF(V48=Table156101114[[#This Row],[حالة المشروع]],"صح","غلط")</f>
        <v>صح</v>
      </c>
      <c r="X48" s="906"/>
      <c r="Y48" s="906"/>
    </row>
    <row r="49" spans="1:25" s="598" customFormat="1" ht="28.8">
      <c r="A49" s="409">
        <v>44</v>
      </c>
      <c r="B49" s="744" t="s">
        <v>130</v>
      </c>
      <c r="C49" s="384" t="s">
        <v>18</v>
      </c>
      <c r="D49" s="385">
        <v>901240105</v>
      </c>
      <c r="E49" s="384" t="s">
        <v>105</v>
      </c>
      <c r="F49" s="385" t="s">
        <v>105</v>
      </c>
      <c r="G49" s="385" t="s">
        <v>99</v>
      </c>
      <c r="H49" s="386">
        <v>45490</v>
      </c>
      <c r="I49" s="386">
        <v>47004</v>
      </c>
      <c r="J49" s="374">
        <v>47198</v>
      </c>
      <c r="K49" s="387">
        <v>-166</v>
      </c>
      <c r="L49" s="387">
        <f>Table156101114[[#This Row],[النهاية المعدلة للمشروع]]-Table156101114[[#This Row],[البداية التعاقدية المشروع]]</f>
        <v>1514</v>
      </c>
      <c r="M49" s="388">
        <v>55361550</v>
      </c>
      <c r="N49" s="381">
        <v>0.16259999999999999</v>
      </c>
      <c r="O49" s="381">
        <v>0.15620000000000001</v>
      </c>
      <c r="P49" s="381">
        <f>Table156101114[[#This Row],[Act %]]-Table156101114[[#This Row],[المخطط % 15 اكتوبر2026]]</f>
        <v>-6.399999999999989E-3</v>
      </c>
      <c r="Q49" s="381" t="s">
        <v>77</v>
      </c>
      <c r="R49" s="382">
        <f t="shared" si="2"/>
        <v>0.54161162483487446</v>
      </c>
      <c r="S49" s="784">
        <f t="shared" si="3"/>
        <v>0.96063960639606405</v>
      </c>
      <c r="T49" s="775">
        <f>_xlfn.XLOOKUP(Table156101114[[#This Row],[PO]],Table1[PO],Table1[نهاية المشروع المعدلة PMO LIVE],0)</f>
        <v>47004</v>
      </c>
      <c r="U49" s="745">
        <f>T49-Table156101114[[#This Row],[النهاية المعدلة للمشروع]]</f>
        <v>0</v>
      </c>
      <c r="V49" s="684" t="str">
        <f>_xlfn.XLOOKUP(Table156101114[[#This Row],[PO]],Table1[PO],Table1[حالة المشروع],0)</f>
        <v>منتظم</v>
      </c>
      <c r="W49" s="686" t="str">
        <f>IF(V49=Table156101114[[#This Row],[حالة المشروع]],"صح","غلط")</f>
        <v>صح</v>
      </c>
      <c r="X49" s="915"/>
      <c r="Y49" s="915"/>
    </row>
    <row r="50" spans="1:25" s="39" customFormat="1" ht="28.8">
      <c r="A50" s="66">
        <v>45</v>
      </c>
      <c r="B50" s="746" t="s">
        <v>128</v>
      </c>
      <c r="C50" s="400" t="s">
        <v>94</v>
      </c>
      <c r="D50" s="401">
        <v>901240282</v>
      </c>
      <c r="E50" s="400" t="s">
        <v>116</v>
      </c>
      <c r="F50" s="401" t="s">
        <v>116</v>
      </c>
      <c r="G50" s="401" t="s">
        <v>99</v>
      </c>
      <c r="H50" s="402">
        <v>45648</v>
      </c>
      <c r="I50" s="402">
        <v>47127</v>
      </c>
      <c r="J50" s="410">
        <v>47307</v>
      </c>
      <c r="K50" s="403">
        <v>-166</v>
      </c>
      <c r="L50" s="403">
        <f>Table156101114[[#This Row],[النهاية المعدلة للمشروع]]-Table156101114[[#This Row],[البداية التعاقدية المشروع]]</f>
        <v>1479</v>
      </c>
      <c r="M50" s="404">
        <v>23121750</v>
      </c>
      <c r="N50" s="405">
        <v>0.11840000000000001</v>
      </c>
      <c r="O50" s="405">
        <v>3.1699999999999999E-2</v>
      </c>
      <c r="P50" s="405">
        <f>Table156101114[[#This Row],[Act %]]-Table156101114[[#This Row],[المخطط % 15 اكتوبر2026]]</f>
        <v>-8.6699999999999999E-2</v>
      </c>
      <c r="Q50" s="405" t="s">
        <v>77</v>
      </c>
      <c r="R50" s="406">
        <f t="shared" si="2"/>
        <v>0.44759972954699123</v>
      </c>
      <c r="S50" s="782">
        <f t="shared" si="3"/>
        <v>0.26773648648648646</v>
      </c>
      <c r="T50" s="783">
        <f>_xlfn.XLOOKUP(Table156101114[[#This Row],[PO]],Table1[PO],Table1[نهاية المشروع المعدلة PMO LIVE],0)</f>
        <v>47127</v>
      </c>
      <c r="U50" s="747">
        <f>T50-Table156101114[[#This Row],[النهاية المعدلة للمشروع]]</f>
        <v>0</v>
      </c>
      <c r="V50" s="684" t="str">
        <f>_xlfn.XLOOKUP(Table156101114[[#This Row],[PO]],Table1[PO],Table1[حالة المشروع],0)</f>
        <v>منتظم</v>
      </c>
      <c r="W50" s="686" t="str">
        <f>IF(V50=Table156101114[[#This Row],[حالة المشروع]],"صح","غلط")</f>
        <v>صح</v>
      </c>
      <c r="X50" s="908"/>
      <c r="Y50" s="908"/>
    </row>
    <row r="51" spans="1:25" s="600" customFormat="1" ht="26.4" customHeight="1">
      <c r="A51" s="599">
        <v>21</v>
      </c>
      <c r="B51" s="744" t="s">
        <v>133</v>
      </c>
      <c r="C51" s="384" t="s">
        <v>134</v>
      </c>
      <c r="D51" s="385">
        <v>901250210</v>
      </c>
      <c r="E51" s="384" t="s">
        <v>116</v>
      </c>
      <c r="F51" s="385" t="s">
        <v>116</v>
      </c>
      <c r="G51" s="385" t="s">
        <v>99</v>
      </c>
      <c r="H51" s="386">
        <v>45868</v>
      </c>
      <c r="I51" s="386">
        <v>47302</v>
      </c>
      <c r="J51" s="374">
        <v>47451</v>
      </c>
      <c r="K51" s="387">
        <v>-126</v>
      </c>
      <c r="L51" s="387">
        <f>Table156101114[[#This Row],[النهاية المعدلة للمشروع]]-Table156101114[[#This Row],[البداية التعاقدية المشروع]]</f>
        <v>1434</v>
      </c>
      <c r="M51" s="388">
        <v>101528690</v>
      </c>
      <c r="N51" s="1005">
        <v>8.7099999999999997E-2</v>
      </c>
      <c r="O51" s="381">
        <v>0.13519999999999999</v>
      </c>
      <c r="P51" s="381">
        <f>Table156101114[[#This Row],[Act %]]-Table156101114[[#This Row],[المخطط % 15 اكتوبر2026]]</f>
        <v>4.809999999999999E-2</v>
      </c>
      <c r="Q51" s="381" t="s">
        <v>78</v>
      </c>
      <c r="R51" s="382">
        <f t="shared" si="2"/>
        <v>0.30822873082287311</v>
      </c>
      <c r="S51" s="784">
        <f t="shared" si="3"/>
        <v>1.5522388059701491</v>
      </c>
      <c r="T51" s="775">
        <f>_xlfn.XLOOKUP(Table156101114[[#This Row],[PO]],Table1[PO],Table1[نهاية المشروع المعدلة PMO LIVE],0)</f>
        <v>47302</v>
      </c>
      <c r="U51" s="748">
        <f>T51-Table156101114[[#This Row],[النهاية المعدلة للمشروع]]</f>
        <v>0</v>
      </c>
      <c r="V51" s="684" t="str">
        <f>_xlfn.XLOOKUP(Table156101114[[#This Row],[PO]],Table1[PO],Table1[حالة المشروع],0)</f>
        <v>متقدم</v>
      </c>
      <c r="W51" s="686" t="str">
        <f>IF(V51=Table156101114[[#This Row],[حالة المشروع]],"صح","غلط")</f>
        <v>صح</v>
      </c>
      <c r="X51" s="916"/>
      <c r="Y51" s="916"/>
    </row>
    <row r="52" spans="1:25" ht="28.8">
      <c r="B52" s="746" t="s">
        <v>261</v>
      </c>
      <c r="C52" s="400" t="s">
        <v>260</v>
      </c>
      <c r="D52" s="401">
        <v>901250252</v>
      </c>
      <c r="E52" s="400" t="s">
        <v>116</v>
      </c>
      <c r="F52" s="401" t="s">
        <v>116</v>
      </c>
      <c r="G52" s="408" t="s">
        <v>99</v>
      </c>
      <c r="H52" s="402">
        <v>45958</v>
      </c>
      <c r="I52" s="402">
        <v>47053</v>
      </c>
      <c r="J52" s="410">
        <v>47295</v>
      </c>
      <c r="K52" s="403">
        <v>-208</v>
      </c>
      <c r="L52" s="407">
        <f>Table156101114[[#This Row],[النهاية المعدلة للمشروع]]-Table156101114[[#This Row],[البداية التعاقدية المشروع]]</f>
        <v>1095</v>
      </c>
      <c r="M52" s="404">
        <v>172933470</v>
      </c>
      <c r="N52" s="405">
        <v>0.26919999999999999</v>
      </c>
      <c r="O52" s="405">
        <v>0.38500000000000001</v>
      </c>
      <c r="P52" s="405">
        <f>Table156101114[[#This Row],[Act %]]-Table156101114[[#This Row],[المخطط % 15 اكتوبر2026]]</f>
        <v>0.11580000000000001</v>
      </c>
      <c r="Q52" s="405" t="s">
        <v>78</v>
      </c>
      <c r="R52" s="406">
        <f t="shared" si="2"/>
        <v>0.32146118721461187</v>
      </c>
      <c r="S52" s="785">
        <f t="shared" si="3"/>
        <v>1.4301634472511144</v>
      </c>
      <c r="T52" s="783">
        <f>_xlfn.XLOOKUP(Table156101114[[#This Row],[PO]],Table1[PO],Table1[نهاية المشروع المعدلة PMO LIVE],0)</f>
        <v>47053</v>
      </c>
      <c r="U52" s="749">
        <f>T52-Table156101114[[#This Row],[النهاية المعدلة للمشروع]]</f>
        <v>0</v>
      </c>
      <c r="V52" s="684" t="str">
        <f>_xlfn.XLOOKUP(Table156101114[[#This Row],[PO]],Table1[PO],Table1[حالة المشروع],0)</f>
        <v>متقدم</v>
      </c>
      <c r="W52" s="686" t="str">
        <f>IF(V52=Table156101114[[#This Row],[حالة المشروع]],"صح","غلط")</f>
        <v>صح</v>
      </c>
    </row>
    <row r="53" spans="1:25" s="601" customFormat="1" ht="29.4" thickBot="1">
      <c r="A53" s="409">
        <v>46</v>
      </c>
      <c r="B53" s="750" t="s">
        <v>239</v>
      </c>
      <c r="C53" s="751" t="s">
        <v>171</v>
      </c>
      <c r="D53" s="752">
        <v>901250300</v>
      </c>
      <c r="E53" s="751" t="s">
        <v>116</v>
      </c>
      <c r="F53" s="752" t="s">
        <v>116</v>
      </c>
      <c r="G53" s="752" t="s">
        <v>99</v>
      </c>
      <c r="H53" s="753">
        <v>45942</v>
      </c>
      <c r="I53" s="753">
        <v>47286</v>
      </c>
      <c r="J53" s="754">
        <v>47449</v>
      </c>
      <c r="K53" s="755">
        <v>-140</v>
      </c>
      <c r="L53" s="756">
        <f>Table156101114[[#This Row],[النهاية المعدلة للمشروع]]-Table156101114[[#This Row],[البداية التعاقدية المشروع]]</f>
        <v>1344</v>
      </c>
      <c r="M53" s="757">
        <v>297570000</v>
      </c>
      <c r="N53" s="758">
        <v>8.4699999999999998E-2</v>
      </c>
      <c r="O53" s="758">
        <v>0.16389999999999999</v>
      </c>
      <c r="P53" s="758">
        <f>Table156101114[[#This Row],[Act %]]-Table156101114[[#This Row],[المخطط % 15 اكتوبر2026]]</f>
        <v>7.9199999999999993E-2</v>
      </c>
      <c r="Q53" s="758" t="s">
        <v>78</v>
      </c>
      <c r="R53" s="759">
        <f t="shared" si="2"/>
        <v>0.27380952380952384</v>
      </c>
      <c r="S53" s="786">
        <f t="shared" si="3"/>
        <v>1.9350649350649349</v>
      </c>
      <c r="T53" s="787">
        <f>_xlfn.XLOOKUP(Table156101114[[#This Row],[PO]],Table1[PO],Table1[نهاية المشروع المعدلة PMO LIVE],0)</f>
        <v>47286</v>
      </c>
      <c r="U53" s="760">
        <f>T53-Table156101114[[#This Row],[النهاية المعدلة للمشروع]]</f>
        <v>0</v>
      </c>
      <c r="V53" s="684" t="str">
        <f>_xlfn.XLOOKUP(Table156101114[[#This Row],[PO]],Table1[PO],Table1[حالة المشروع],0)</f>
        <v>متقدم</v>
      </c>
      <c r="W53" s="686" t="str">
        <f>IF(V53=Table156101114[[#This Row],[حالة المشروع]],"صح","غلط")</f>
        <v>صح</v>
      </c>
      <c r="X53" s="909"/>
      <c r="Y53" s="909"/>
    </row>
    <row r="54" spans="1:25">
      <c r="B54" s="76"/>
      <c r="N54" s="26"/>
    </row>
    <row r="55" spans="1:25">
      <c r="B55" s="77"/>
      <c r="N55" s="26"/>
    </row>
    <row r="56" spans="1:25">
      <c r="B56" s="77"/>
      <c r="N56" s="26"/>
    </row>
    <row r="57" spans="1:25">
      <c r="B57" s="77"/>
      <c r="N57" s="26"/>
    </row>
    <row r="58" spans="1:25">
      <c r="B58" s="77"/>
      <c r="N58" s="26"/>
    </row>
    <row r="59" spans="1:25">
      <c r="B59" s="77"/>
      <c r="N59" s="26"/>
    </row>
    <row r="60" spans="1:25">
      <c r="B60" s="77"/>
      <c r="N60" s="26"/>
    </row>
    <row r="61" spans="1:25">
      <c r="B61" s="77"/>
      <c r="I61" s="50"/>
      <c r="N61" s="26"/>
    </row>
    <row r="62" spans="1:25">
      <c r="B62" s="77"/>
      <c r="N62" s="26"/>
    </row>
    <row r="63" spans="1:25">
      <c r="B63" s="77"/>
      <c r="I63" s="50"/>
      <c r="N63" s="26"/>
    </row>
    <row r="64" spans="1:25">
      <c r="I64" s="342"/>
      <c r="N64" s="26"/>
    </row>
    <row r="65" spans="10:14">
      <c r="N65" s="26"/>
    </row>
    <row r="66" spans="10:14">
      <c r="N66" s="26"/>
    </row>
    <row r="67" spans="10:14">
      <c r="J67" s="528">
        <v>46484</v>
      </c>
      <c r="N67" s="26"/>
    </row>
    <row r="68" spans="10:14">
      <c r="J68" s="27">
        <v>46430</v>
      </c>
      <c r="N68" s="26"/>
    </row>
    <row r="69" spans="10:14">
      <c r="J69" s="26">
        <f>J67-J68</f>
        <v>54</v>
      </c>
      <c r="N69" s="26"/>
    </row>
    <row r="70" spans="10:14">
      <c r="N70" s="26"/>
    </row>
    <row r="71" spans="10:14">
      <c r="N71" s="26"/>
    </row>
    <row r="72" spans="10:14">
      <c r="N72" s="26"/>
    </row>
    <row r="73" spans="10:14">
      <c r="N73" s="26"/>
    </row>
    <row r="74" spans="10:14">
      <c r="N74" s="26"/>
    </row>
    <row r="75" spans="10:14">
      <c r="N75" s="26"/>
    </row>
    <row r="76" spans="10:14">
      <c r="N76" s="26"/>
    </row>
    <row r="77" spans="10:14">
      <c r="N77" s="26"/>
    </row>
    <row r="78" spans="10:14">
      <c r="N78" s="26"/>
    </row>
    <row r="79" spans="10:14">
      <c r="N79" s="26"/>
    </row>
    <row r="80" spans="10:14">
      <c r="N80" s="26"/>
    </row>
    <row r="81" spans="14:14">
      <c r="N81" s="26"/>
    </row>
    <row r="82" spans="14:14">
      <c r="N82" s="26"/>
    </row>
    <row r="83" spans="14:14">
      <c r="N83" s="26"/>
    </row>
    <row r="84" spans="14:14">
      <c r="N84" s="26"/>
    </row>
    <row r="85" spans="14:14">
      <c r="N85" s="26"/>
    </row>
    <row r="86" spans="14:14">
      <c r="N86" s="26"/>
    </row>
    <row r="87" spans="14:14">
      <c r="N87" s="26"/>
    </row>
    <row r="88" spans="14:14">
      <c r="N88" s="26"/>
    </row>
    <row r="89" spans="14:14">
      <c r="N89" s="26"/>
    </row>
    <row r="90" spans="14:14">
      <c r="N90" s="26"/>
    </row>
    <row r="91" spans="14:14">
      <c r="N91" s="26"/>
    </row>
    <row r="92" spans="14:14">
      <c r="N92" s="26"/>
    </row>
    <row r="93" spans="14:14">
      <c r="N93" s="26"/>
    </row>
    <row r="94" spans="14:14">
      <c r="N94" s="26"/>
    </row>
    <row r="95" spans="14:14">
      <c r="N95" s="26"/>
    </row>
    <row r="96" spans="14:14">
      <c r="N96" s="26"/>
    </row>
    <row r="97" spans="14:14">
      <c r="N97" s="26"/>
    </row>
    <row r="98" spans="14:14">
      <c r="N98" s="26"/>
    </row>
    <row r="99" spans="14:14">
      <c r="N99" s="26"/>
    </row>
    <row r="100" spans="14:14">
      <c r="N100" s="26"/>
    </row>
    <row r="101" spans="14:14">
      <c r="N101" s="26"/>
    </row>
    <row r="102" spans="14:14">
      <c r="N102" s="26"/>
    </row>
    <row r="103" spans="14:14">
      <c r="N103" s="26"/>
    </row>
    <row r="104" spans="14:14">
      <c r="N104" s="26"/>
    </row>
    <row r="105" spans="14:14">
      <c r="N105" s="26"/>
    </row>
    <row r="106" spans="14:14">
      <c r="N106" s="26"/>
    </row>
    <row r="107" spans="14:14">
      <c r="N107" s="26"/>
    </row>
    <row r="108" spans="14:14">
      <c r="N108" s="26"/>
    </row>
    <row r="109" spans="14:14">
      <c r="N109" s="26"/>
    </row>
    <row r="110" spans="14:14">
      <c r="N110" s="26"/>
    </row>
    <row r="111" spans="14:14">
      <c r="N111" s="26"/>
    </row>
    <row r="112" spans="14:14">
      <c r="N112" s="26"/>
    </row>
    <row r="113" spans="14:14">
      <c r="N113" s="26"/>
    </row>
    <row r="114" spans="14:14">
      <c r="N114" s="26"/>
    </row>
    <row r="115" spans="14:14">
      <c r="N115" s="26"/>
    </row>
    <row r="116" spans="14:14">
      <c r="N116" s="26"/>
    </row>
    <row r="117" spans="14:14">
      <c r="N117" s="26"/>
    </row>
    <row r="118" spans="14:14">
      <c r="N118" s="26"/>
    </row>
    <row r="119" spans="14:14">
      <c r="N119" s="26"/>
    </row>
    <row r="120" spans="14:14">
      <c r="N120" s="26"/>
    </row>
    <row r="121" spans="14:14">
      <c r="N121" s="26"/>
    </row>
    <row r="122" spans="14:14">
      <c r="N122" s="26"/>
    </row>
    <row r="123" spans="14:14">
      <c r="N123" s="26"/>
    </row>
    <row r="124" spans="14:14">
      <c r="N124" s="26"/>
    </row>
    <row r="125" spans="14:14">
      <c r="N125" s="26"/>
    </row>
    <row r="126" spans="14:14">
      <c r="N126" s="26"/>
    </row>
    <row r="127" spans="14:14">
      <c r="N127" s="26"/>
    </row>
    <row r="128" spans="14:14">
      <c r="N128" s="26"/>
    </row>
    <row r="129" spans="14:14">
      <c r="N129" s="26"/>
    </row>
    <row r="130" spans="14:14">
      <c r="N130" s="26"/>
    </row>
    <row r="131" spans="14:14">
      <c r="N131" s="26"/>
    </row>
    <row r="132" spans="14:14">
      <c r="N132" s="26"/>
    </row>
    <row r="133" spans="14:14">
      <c r="N133" s="26"/>
    </row>
    <row r="134" spans="14:14">
      <c r="N134" s="26"/>
    </row>
    <row r="135" spans="14:14">
      <c r="N135" s="26"/>
    </row>
    <row r="136" spans="14:14">
      <c r="N136" s="26"/>
    </row>
    <row r="137" spans="14:14">
      <c r="N137" s="26"/>
    </row>
    <row r="138" spans="14:14">
      <c r="N138" s="26"/>
    </row>
    <row r="139" spans="14:14">
      <c r="N139" s="26"/>
    </row>
    <row r="140" spans="14:14">
      <c r="N140" s="26"/>
    </row>
    <row r="141" spans="14:14">
      <c r="N141" s="26"/>
    </row>
    <row r="142" spans="14:14">
      <c r="N142" s="26"/>
    </row>
    <row r="143" spans="14:14">
      <c r="N143" s="26"/>
    </row>
    <row r="144" spans="14:14">
      <c r="N144" s="26"/>
    </row>
    <row r="145" spans="14:14">
      <c r="N145" s="26"/>
    </row>
    <row r="146" spans="14:14">
      <c r="N146" s="26"/>
    </row>
    <row r="147" spans="14:14">
      <c r="N147" s="26"/>
    </row>
    <row r="148" spans="14:14">
      <c r="N148" s="26"/>
    </row>
    <row r="149" spans="14:14">
      <c r="N149" s="26"/>
    </row>
    <row r="150" spans="14:14">
      <c r="N150" s="26"/>
    </row>
    <row r="151" spans="14:14">
      <c r="N151" s="26"/>
    </row>
    <row r="152" spans="14:14">
      <c r="N152" s="26"/>
    </row>
    <row r="153" spans="14:14">
      <c r="N153" s="26"/>
    </row>
    <row r="154" spans="14:14">
      <c r="N154" s="26"/>
    </row>
    <row r="155" spans="14:14">
      <c r="N155" s="26"/>
    </row>
    <row r="156" spans="14:14">
      <c r="N156" s="26"/>
    </row>
    <row r="157" spans="14:14">
      <c r="N157" s="26"/>
    </row>
    <row r="158" spans="14:14">
      <c r="N158" s="26"/>
    </row>
    <row r="159" spans="14:14">
      <c r="N159" s="26"/>
    </row>
    <row r="160" spans="14:14">
      <c r="N160" s="26"/>
    </row>
    <row r="161" spans="14:14">
      <c r="N161" s="26"/>
    </row>
    <row r="162" spans="14:14">
      <c r="N162" s="26"/>
    </row>
    <row r="163" spans="14:14">
      <c r="N163" s="26"/>
    </row>
    <row r="164" spans="14:14">
      <c r="N164" s="26"/>
    </row>
    <row r="165" spans="14:14">
      <c r="N165" s="26"/>
    </row>
    <row r="166" spans="14:14">
      <c r="N166" s="26"/>
    </row>
    <row r="167" spans="14:14">
      <c r="N167" s="26"/>
    </row>
    <row r="168" spans="14:14">
      <c r="N168" s="26"/>
    </row>
    <row r="169" spans="14:14">
      <c r="N169" s="26"/>
    </row>
    <row r="170" spans="14:14">
      <c r="N170" s="26"/>
    </row>
    <row r="171" spans="14:14">
      <c r="N171" s="26"/>
    </row>
    <row r="172" spans="14:14">
      <c r="N172" s="26"/>
    </row>
    <row r="173" spans="14:14">
      <c r="N173" s="26"/>
    </row>
    <row r="174" spans="14:14">
      <c r="N174" s="26"/>
    </row>
    <row r="175" spans="14:14">
      <c r="N175" s="26"/>
    </row>
    <row r="176" spans="14:14">
      <c r="N176" s="26"/>
    </row>
    <row r="177" spans="14:14">
      <c r="N177" s="26"/>
    </row>
    <row r="178" spans="14:14">
      <c r="N178" s="26"/>
    </row>
    <row r="179" spans="14:14">
      <c r="N179" s="26"/>
    </row>
    <row r="180" spans="14:14">
      <c r="N180" s="26"/>
    </row>
    <row r="181" spans="14:14">
      <c r="N181" s="26"/>
    </row>
    <row r="182" spans="14:14">
      <c r="N182" s="26"/>
    </row>
    <row r="183" spans="14:14">
      <c r="N183" s="26"/>
    </row>
    <row r="184" spans="14:14">
      <c r="N184" s="26"/>
    </row>
    <row r="185" spans="14:14">
      <c r="N185" s="26"/>
    </row>
    <row r="186" spans="14:14">
      <c r="N186" s="26"/>
    </row>
    <row r="187" spans="14:14">
      <c r="N187" s="26"/>
    </row>
    <row r="188" spans="14:14">
      <c r="N188" s="26"/>
    </row>
    <row r="189" spans="14:14">
      <c r="N189" s="26"/>
    </row>
    <row r="190" spans="14:14">
      <c r="N190" s="26"/>
    </row>
    <row r="191" spans="14:14">
      <c r="N191" s="26"/>
    </row>
    <row r="192" spans="14:14">
      <c r="N192" s="26"/>
    </row>
    <row r="193" spans="14:14">
      <c r="N193" s="26"/>
    </row>
    <row r="194" spans="14:14">
      <c r="N194" s="26"/>
    </row>
    <row r="195" spans="14:14">
      <c r="N195" s="26"/>
    </row>
    <row r="196" spans="14:14">
      <c r="N196" s="26"/>
    </row>
    <row r="197" spans="14:14">
      <c r="N197" s="26"/>
    </row>
    <row r="198" spans="14:14">
      <c r="N198" s="26"/>
    </row>
    <row r="199" spans="14:14">
      <c r="N199" s="26"/>
    </row>
    <row r="200" spans="14:14">
      <c r="N200" s="26"/>
    </row>
    <row r="201" spans="14:14">
      <c r="N201" s="26"/>
    </row>
    <row r="202" spans="14:14">
      <c r="N202" s="26"/>
    </row>
    <row r="203" spans="14:14">
      <c r="N203" s="26"/>
    </row>
    <row r="204" spans="14:14">
      <c r="N204" s="26"/>
    </row>
    <row r="205" spans="14:14">
      <c r="N205" s="26"/>
    </row>
    <row r="206" spans="14:14">
      <c r="N206" s="26"/>
    </row>
    <row r="207" spans="14:14">
      <c r="N207" s="26"/>
    </row>
    <row r="208" spans="14:14">
      <c r="N208" s="26"/>
    </row>
    <row r="209" spans="14:14">
      <c r="N209" s="26"/>
    </row>
    <row r="210" spans="14:14">
      <c r="N210" s="26"/>
    </row>
    <row r="211" spans="14:14">
      <c r="N211" s="26"/>
    </row>
    <row r="212" spans="14:14">
      <c r="N212" s="26"/>
    </row>
    <row r="213" spans="14:14">
      <c r="N213" s="26"/>
    </row>
    <row r="214" spans="14:14">
      <c r="N214" s="26"/>
    </row>
    <row r="215" spans="14:14">
      <c r="N215" s="26"/>
    </row>
    <row r="216" spans="14:14">
      <c r="N216" s="26"/>
    </row>
    <row r="217" spans="14:14">
      <c r="N217" s="26"/>
    </row>
    <row r="218" spans="14:14">
      <c r="N218" s="26"/>
    </row>
    <row r="219" spans="14:14">
      <c r="N219" s="26"/>
    </row>
    <row r="220" spans="14:14">
      <c r="N220" s="26"/>
    </row>
    <row r="221" spans="14:14">
      <c r="N221" s="26"/>
    </row>
    <row r="222" spans="14:14">
      <c r="N222" s="26"/>
    </row>
    <row r="223" spans="14:14">
      <c r="N223" s="26"/>
    </row>
    <row r="224" spans="14:14">
      <c r="N224" s="26"/>
    </row>
    <row r="225" spans="14:14">
      <c r="N225" s="26"/>
    </row>
    <row r="226" spans="14:14">
      <c r="N226" s="26"/>
    </row>
    <row r="227" spans="14:14">
      <c r="N227" s="26"/>
    </row>
    <row r="228" spans="14:14">
      <c r="N228" s="26"/>
    </row>
    <row r="229" spans="14:14">
      <c r="N229" s="26"/>
    </row>
    <row r="230" spans="14:14">
      <c r="N230" s="26"/>
    </row>
    <row r="231" spans="14:14">
      <c r="N231" s="26"/>
    </row>
    <row r="232" spans="14:14">
      <c r="N232" s="26"/>
    </row>
    <row r="233" spans="14:14">
      <c r="N233" s="26"/>
    </row>
    <row r="234" spans="14:14">
      <c r="N234" s="26"/>
    </row>
    <row r="235" spans="14:14">
      <c r="N235" s="26"/>
    </row>
    <row r="236" spans="14:14">
      <c r="N236" s="26"/>
    </row>
    <row r="237" spans="14:14">
      <c r="N237" s="26"/>
    </row>
    <row r="238" spans="14:14">
      <c r="N238" s="26"/>
    </row>
    <row r="239" spans="14:14">
      <c r="N239" s="26"/>
    </row>
    <row r="240" spans="14:14">
      <c r="N240" s="26"/>
    </row>
    <row r="241" spans="14:14">
      <c r="N241" s="26"/>
    </row>
    <row r="242" spans="14:14">
      <c r="N242" s="26"/>
    </row>
    <row r="243" spans="14:14">
      <c r="N243" s="26"/>
    </row>
    <row r="244" spans="14:14">
      <c r="N244" s="26"/>
    </row>
    <row r="245" spans="14:14">
      <c r="N245" s="26"/>
    </row>
    <row r="246" spans="14:14">
      <c r="N246" s="26"/>
    </row>
    <row r="247" spans="14:14">
      <c r="N247" s="26"/>
    </row>
    <row r="248" spans="14:14">
      <c r="N248" s="26"/>
    </row>
    <row r="249" spans="14:14">
      <c r="N249" s="26"/>
    </row>
    <row r="250" spans="14:14">
      <c r="N250" s="26"/>
    </row>
    <row r="251" spans="14:14">
      <c r="N251" s="26"/>
    </row>
    <row r="252" spans="14:14">
      <c r="N252" s="26"/>
    </row>
    <row r="253" spans="14:14">
      <c r="N253" s="26"/>
    </row>
    <row r="254" spans="14:14">
      <c r="N254" s="26"/>
    </row>
    <row r="255" spans="14:14">
      <c r="N255" s="26"/>
    </row>
    <row r="256" spans="14:14">
      <c r="N256" s="26"/>
    </row>
    <row r="257" spans="14:14">
      <c r="N257" s="26"/>
    </row>
    <row r="258" spans="14:14">
      <c r="N258" s="26"/>
    </row>
    <row r="259" spans="14:14">
      <c r="N259" s="26"/>
    </row>
    <row r="260" spans="14:14">
      <c r="N260" s="26"/>
    </row>
    <row r="261" spans="14:14">
      <c r="N261" s="26"/>
    </row>
    <row r="262" spans="14:14">
      <c r="N262" s="26"/>
    </row>
    <row r="263" spans="14:14">
      <c r="N263" s="26"/>
    </row>
    <row r="264" spans="14:14">
      <c r="N264" s="26"/>
    </row>
    <row r="265" spans="14:14">
      <c r="N265" s="26"/>
    </row>
    <row r="266" spans="14:14">
      <c r="N266" s="26"/>
    </row>
    <row r="267" spans="14:14">
      <c r="N267" s="26"/>
    </row>
    <row r="268" spans="14:14">
      <c r="N268" s="26"/>
    </row>
    <row r="269" spans="14:14">
      <c r="N269" s="26"/>
    </row>
    <row r="270" spans="14:14">
      <c r="N270" s="26"/>
    </row>
    <row r="271" spans="14:14">
      <c r="N271" s="26"/>
    </row>
    <row r="272" spans="14:14">
      <c r="N272" s="26"/>
    </row>
    <row r="273" spans="14:14">
      <c r="N273" s="26"/>
    </row>
    <row r="274" spans="14:14">
      <c r="N274" s="26"/>
    </row>
    <row r="275" spans="14:14">
      <c r="N275" s="26"/>
    </row>
    <row r="276" spans="14:14">
      <c r="N276" s="26"/>
    </row>
    <row r="277" spans="14:14">
      <c r="N277" s="26"/>
    </row>
    <row r="278" spans="14:14">
      <c r="N278" s="26"/>
    </row>
    <row r="279" spans="14:14">
      <c r="N279" s="26"/>
    </row>
    <row r="280" spans="14:14">
      <c r="N280" s="26"/>
    </row>
    <row r="281" spans="14:14">
      <c r="N281" s="26"/>
    </row>
    <row r="282" spans="14:14">
      <c r="N282" s="26"/>
    </row>
    <row r="283" spans="14:14">
      <c r="N283" s="26"/>
    </row>
    <row r="284" spans="14:14">
      <c r="N284" s="26"/>
    </row>
    <row r="285" spans="14:14">
      <c r="N285" s="26"/>
    </row>
    <row r="286" spans="14:14">
      <c r="N286" s="26"/>
    </row>
    <row r="287" spans="14:14">
      <c r="N287" s="26"/>
    </row>
    <row r="288" spans="14:14">
      <c r="N288" s="26"/>
    </row>
    <row r="289" spans="14:14">
      <c r="N289" s="26"/>
    </row>
    <row r="290" spans="14:14">
      <c r="N290" s="26"/>
    </row>
    <row r="291" spans="14:14">
      <c r="N291" s="26"/>
    </row>
    <row r="292" spans="14:14">
      <c r="N292" s="26"/>
    </row>
    <row r="293" spans="14:14">
      <c r="N293" s="26"/>
    </row>
    <row r="294" spans="14:14">
      <c r="N294" s="26"/>
    </row>
    <row r="295" spans="14:14">
      <c r="N295" s="26"/>
    </row>
    <row r="296" spans="14:14">
      <c r="N296" s="26"/>
    </row>
    <row r="297" spans="14:14">
      <c r="N297" s="26"/>
    </row>
    <row r="298" spans="14:14">
      <c r="N298" s="26"/>
    </row>
    <row r="299" spans="14:14">
      <c r="N299" s="26"/>
    </row>
    <row r="300" spans="14:14">
      <c r="N300" s="26"/>
    </row>
    <row r="301" spans="14:14">
      <c r="N301" s="26"/>
    </row>
    <row r="302" spans="14:14">
      <c r="N302" s="26"/>
    </row>
    <row r="303" spans="14:14">
      <c r="N303" s="26"/>
    </row>
    <row r="304" spans="14:14">
      <c r="N304" s="26"/>
    </row>
    <row r="305" spans="14:14">
      <c r="N305" s="26"/>
    </row>
    <row r="306" spans="14:14">
      <c r="N306" s="26"/>
    </row>
    <row r="307" spans="14:14">
      <c r="N307" s="26"/>
    </row>
    <row r="308" spans="14:14">
      <c r="N308" s="26"/>
    </row>
    <row r="309" spans="14:14">
      <c r="N309" s="26"/>
    </row>
    <row r="310" spans="14:14">
      <c r="N310" s="26"/>
    </row>
    <row r="311" spans="14:14">
      <c r="N311" s="26"/>
    </row>
    <row r="312" spans="14:14">
      <c r="N312" s="26"/>
    </row>
    <row r="313" spans="14:14">
      <c r="N313" s="26"/>
    </row>
    <row r="314" spans="14:14">
      <c r="N314" s="26"/>
    </row>
    <row r="315" spans="14:14">
      <c r="N315" s="26"/>
    </row>
    <row r="316" spans="14:14">
      <c r="N316" s="26"/>
    </row>
    <row r="317" spans="14:14">
      <c r="N317" s="26"/>
    </row>
    <row r="318" spans="14:14">
      <c r="N318" s="26"/>
    </row>
    <row r="319" spans="14:14">
      <c r="N319" s="26"/>
    </row>
    <row r="320" spans="14:14">
      <c r="N320" s="26"/>
    </row>
    <row r="321" spans="14:14">
      <c r="N321" s="26"/>
    </row>
    <row r="322" spans="14:14">
      <c r="N322" s="26"/>
    </row>
    <row r="323" spans="14:14">
      <c r="N323" s="26"/>
    </row>
    <row r="324" spans="14:14">
      <c r="N324" s="26"/>
    </row>
    <row r="325" spans="14:14">
      <c r="N325" s="26"/>
    </row>
    <row r="326" spans="14:14">
      <c r="N326" s="26"/>
    </row>
    <row r="327" spans="14:14">
      <c r="N327" s="26"/>
    </row>
    <row r="328" spans="14:14">
      <c r="N328" s="26"/>
    </row>
    <row r="329" spans="14:14">
      <c r="N329" s="26"/>
    </row>
    <row r="330" spans="14:14">
      <c r="N330" s="26"/>
    </row>
    <row r="331" spans="14:14">
      <c r="N331" s="26"/>
    </row>
    <row r="332" spans="14:14">
      <c r="N332" s="26"/>
    </row>
    <row r="333" spans="14:14">
      <c r="N333" s="26"/>
    </row>
    <row r="334" spans="14:14">
      <c r="N334" s="26"/>
    </row>
    <row r="335" spans="14:14">
      <c r="N335" s="26"/>
    </row>
    <row r="336" spans="14:14">
      <c r="N336" s="26"/>
    </row>
    <row r="337" spans="14:14">
      <c r="N337" s="26"/>
    </row>
    <row r="338" spans="14:14">
      <c r="N338" s="26"/>
    </row>
    <row r="339" spans="14:14">
      <c r="N339" s="26"/>
    </row>
    <row r="340" spans="14:14">
      <c r="N340" s="26"/>
    </row>
    <row r="341" spans="14:14">
      <c r="N341" s="26"/>
    </row>
    <row r="342" spans="14:14">
      <c r="N342" s="26"/>
    </row>
    <row r="343" spans="14:14">
      <c r="N343" s="26"/>
    </row>
    <row r="344" spans="14:14">
      <c r="N344" s="26"/>
    </row>
    <row r="345" spans="14:14">
      <c r="N345" s="26"/>
    </row>
    <row r="346" spans="14:14">
      <c r="N346" s="26"/>
    </row>
    <row r="347" spans="14:14">
      <c r="N347" s="26"/>
    </row>
    <row r="348" spans="14:14">
      <c r="N348" s="26"/>
    </row>
    <row r="349" spans="14:14">
      <c r="N349" s="26"/>
    </row>
    <row r="350" spans="14:14">
      <c r="N350" s="26"/>
    </row>
    <row r="351" spans="14:14">
      <c r="N351" s="26"/>
    </row>
    <row r="352" spans="14:14">
      <c r="N352" s="26"/>
    </row>
    <row r="353" spans="14:14">
      <c r="N353" s="26"/>
    </row>
    <row r="354" spans="14:14">
      <c r="N354" s="26"/>
    </row>
    <row r="355" spans="14:14">
      <c r="N355" s="26"/>
    </row>
    <row r="356" spans="14:14">
      <c r="N356" s="26"/>
    </row>
    <row r="357" spans="14:14">
      <c r="N357" s="26"/>
    </row>
    <row r="358" spans="14:14">
      <c r="N358" s="26"/>
    </row>
    <row r="359" spans="14:14">
      <c r="N359" s="26"/>
    </row>
    <row r="360" spans="14:14">
      <c r="N360" s="26"/>
    </row>
    <row r="361" spans="14:14">
      <c r="N361" s="26"/>
    </row>
    <row r="362" spans="14:14">
      <c r="N362" s="26"/>
    </row>
    <row r="363" spans="14:14">
      <c r="N363" s="26"/>
    </row>
    <row r="364" spans="14:14">
      <c r="N364" s="26"/>
    </row>
    <row r="365" spans="14:14">
      <c r="N365" s="26"/>
    </row>
    <row r="366" spans="14:14">
      <c r="N366" s="26"/>
    </row>
    <row r="367" spans="14:14">
      <c r="N367" s="26"/>
    </row>
    <row r="368" spans="14:14">
      <c r="N368" s="26"/>
    </row>
    <row r="369" spans="14:14">
      <c r="N369" s="26"/>
    </row>
    <row r="370" spans="14:14">
      <c r="N370" s="26"/>
    </row>
    <row r="371" spans="14:14">
      <c r="N371" s="26"/>
    </row>
    <row r="372" spans="14:14">
      <c r="N372" s="26"/>
    </row>
    <row r="373" spans="14:14">
      <c r="N373" s="26"/>
    </row>
    <row r="374" spans="14:14">
      <c r="N374" s="26"/>
    </row>
    <row r="375" spans="14:14">
      <c r="N375" s="26"/>
    </row>
    <row r="376" spans="14:14">
      <c r="N376" s="26"/>
    </row>
    <row r="377" spans="14:14">
      <c r="N377" s="26"/>
    </row>
    <row r="378" spans="14:14">
      <c r="N378" s="26"/>
    </row>
    <row r="379" spans="14:14">
      <c r="N379" s="26"/>
    </row>
    <row r="380" spans="14:14">
      <c r="N380" s="26"/>
    </row>
    <row r="381" spans="14:14">
      <c r="N381" s="26"/>
    </row>
    <row r="382" spans="14:14">
      <c r="N382" s="26"/>
    </row>
    <row r="383" spans="14:14">
      <c r="N383" s="26"/>
    </row>
    <row r="384" spans="14:14">
      <c r="N384" s="26"/>
    </row>
    <row r="385" spans="14:14">
      <c r="N385" s="26"/>
    </row>
    <row r="386" spans="14:14">
      <c r="N386" s="26"/>
    </row>
    <row r="387" spans="14:14">
      <c r="N387" s="26"/>
    </row>
    <row r="388" spans="14:14">
      <c r="N388" s="26"/>
    </row>
    <row r="389" spans="14:14">
      <c r="N389" s="26"/>
    </row>
    <row r="390" spans="14:14">
      <c r="N390" s="26"/>
    </row>
    <row r="391" spans="14:14">
      <c r="N391" s="26"/>
    </row>
    <row r="392" spans="14:14">
      <c r="N392" s="26"/>
    </row>
    <row r="393" spans="14:14">
      <c r="N393" s="26"/>
    </row>
    <row r="394" spans="14:14">
      <c r="N394" s="26"/>
    </row>
    <row r="395" spans="14:14">
      <c r="N395" s="26"/>
    </row>
    <row r="396" spans="14:14">
      <c r="N396" s="26"/>
    </row>
    <row r="397" spans="14:14">
      <c r="N397" s="26"/>
    </row>
    <row r="398" spans="14:14">
      <c r="N398" s="26"/>
    </row>
    <row r="399" spans="14:14">
      <c r="N399" s="26"/>
    </row>
    <row r="400" spans="14:14">
      <c r="N400" s="26"/>
    </row>
    <row r="401" spans="14:14">
      <c r="N401" s="26"/>
    </row>
    <row r="402" spans="14:14">
      <c r="N402" s="26"/>
    </row>
    <row r="403" spans="14:14">
      <c r="N403" s="26"/>
    </row>
    <row r="404" spans="14:14">
      <c r="N404" s="26"/>
    </row>
    <row r="405" spans="14:14">
      <c r="N405" s="26"/>
    </row>
    <row r="406" spans="14:14">
      <c r="N406" s="26"/>
    </row>
    <row r="407" spans="14:14">
      <c r="N407" s="26"/>
    </row>
    <row r="408" spans="14:14">
      <c r="N408" s="26"/>
    </row>
    <row r="409" spans="14:14">
      <c r="N409" s="26"/>
    </row>
    <row r="410" spans="14:14">
      <c r="N410" s="26"/>
    </row>
    <row r="411" spans="14:14">
      <c r="N411" s="26"/>
    </row>
    <row r="412" spans="14:14">
      <c r="N412" s="26"/>
    </row>
    <row r="413" spans="14:14">
      <c r="N413" s="26"/>
    </row>
    <row r="414" spans="14:14">
      <c r="N414" s="26"/>
    </row>
    <row r="415" spans="14:14">
      <c r="N415" s="26"/>
    </row>
    <row r="416" spans="14:14">
      <c r="N416" s="26"/>
    </row>
    <row r="417" spans="14:14">
      <c r="N417" s="26"/>
    </row>
    <row r="418" spans="14:14">
      <c r="N418" s="26"/>
    </row>
    <row r="419" spans="14:14">
      <c r="N419" s="26"/>
    </row>
    <row r="420" spans="14:14">
      <c r="N420" s="26"/>
    </row>
    <row r="421" spans="14:14">
      <c r="N421" s="26"/>
    </row>
    <row r="422" spans="14:14">
      <c r="N422" s="26"/>
    </row>
    <row r="423" spans="14:14">
      <c r="N423" s="26"/>
    </row>
    <row r="424" spans="14:14">
      <c r="N424" s="26"/>
    </row>
    <row r="425" spans="14:14">
      <c r="N425" s="26"/>
    </row>
    <row r="426" spans="14:14">
      <c r="N426" s="26"/>
    </row>
    <row r="427" spans="14:14">
      <c r="N427" s="26"/>
    </row>
    <row r="428" spans="14:14">
      <c r="N428" s="26"/>
    </row>
    <row r="429" spans="14:14">
      <c r="N429" s="26"/>
    </row>
    <row r="430" spans="14:14">
      <c r="N430" s="26"/>
    </row>
    <row r="431" spans="14:14">
      <c r="N431" s="26"/>
    </row>
    <row r="432" spans="14:14">
      <c r="N432" s="26"/>
    </row>
    <row r="433" spans="14:14">
      <c r="N433" s="26"/>
    </row>
    <row r="434" spans="14:14">
      <c r="N434" s="26"/>
    </row>
    <row r="435" spans="14:14">
      <c r="N435" s="26"/>
    </row>
    <row r="436" spans="14:14">
      <c r="N436" s="26"/>
    </row>
    <row r="437" spans="14:14">
      <c r="N437" s="26"/>
    </row>
    <row r="438" spans="14:14">
      <c r="N438" s="26"/>
    </row>
    <row r="439" spans="14:14">
      <c r="N439" s="26"/>
    </row>
    <row r="440" spans="14:14">
      <c r="N440" s="26"/>
    </row>
    <row r="441" spans="14:14">
      <c r="N441" s="26"/>
    </row>
    <row r="442" spans="14:14">
      <c r="N442" s="26"/>
    </row>
    <row r="443" spans="14:14">
      <c r="N443" s="26"/>
    </row>
    <row r="444" spans="14:14">
      <c r="N444" s="26"/>
    </row>
    <row r="445" spans="14:14">
      <c r="N445" s="26"/>
    </row>
    <row r="446" spans="14:14">
      <c r="N446" s="26"/>
    </row>
    <row r="447" spans="14:14">
      <c r="N447" s="26"/>
    </row>
    <row r="448" spans="14:14">
      <c r="N448" s="26"/>
    </row>
    <row r="449" spans="14:14">
      <c r="N449" s="26"/>
    </row>
    <row r="450" spans="14:14">
      <c r="N450" s="26"/>
    </row>
    <row r="451" spans="14:14">
      <c r="N451" s="26"/>
    </row>
    <row r="452" spans="14:14">
      <c r="N452" s="26"/>
    </row>
    <row r="453" spans="14:14">
      <c r="N453" s="26"/>
    </row>
    <row r="454" spans="14:14">
      <c r="N454" s="26"/>
    </row>
    <row r="455" spans="14:14">
      <c r="N455" s="26"/>
    </row>
    <row r="456" spans="14:14">
      <c r="N456" s="26"/>
    </row>
    <row r="457" spans="14:14">
      <c r="N457" s="26"/>
    </row>
    <row r="458" spans="14:14">
      <c r="N458" s="26"/>
    </row>
    <row r="459" spans="14:14">
      <c r="N459" s="26"/>
    </row>
    <row r="460" spans="14:14">
      <c r="N460" s="26"/>
    </row>
    <row r="461" spans="14:14">
      <c r="N461" s="26"/>
    </row>
    <row r="462" spans="14:14">
      <c r="N462" s="26"/>
    </row>
    <row r="463" spans="14:14">
      <c r="N463" s="26"/>
    </row>
    <row r="464" spans="14:14">
      <c r="N464" s="26"/>
    </row>
    <row r="465" spans="14:14">
      <c r="N465" s="26"/>
    </row>
    <row r="466" spans="14:14">
      <c r="N466" s="26"/>
    </row>
    <row r="467" spans="14:14">
      <c r="N467" s="26"/>
    </row>
    <row r="468" spans="14:14">
      <c r="N468" s="26"/>
    </row>
    <row r="469" spans="14:14">
      <c r="N469" s="26"/>
    </row>
    <row r="470" spans="14:14">
      <c r="N470" s="26"/>
    </row>
    <row r="471" spans="14:14">
      <c r="N471" s="26"/>
    </row>
    <row r="472" spans="14:14">
      <c r="N472" s="26"/>
    </row>
    <row r="473" spans="14:14">
      <c r="N473" s="26"/>
    </row>
    <row r="474" spans="14:14">
      <c r="N474" s="26"/>
    </row>
    <row r="475" spans="14:14">
      <c r="N475" s="26"/>
    </row>
    <row r="476" spans="14:14">
      <c r="N476" s="26"/>
    </row>
    <row r="477" spans="14:14">
      <c r="N477" s="26"/>
    </row>
    <row r="478" spans="14:14">
      <c r="N478" s="26"/>
    </row>
    <row r="479" spans="14:14">
      <c r="N479" s="26"/>
    </row>
    <row r="480" spans="14:14">
      <c r="N480" s="26"/>
    </row>
    <row r="481" spans="14:14">
      <c r="N481" s="26"/>
    </row>
    <row r="482" spans="14:14">
      <c r="N482" s="26"/>
    </row>
    <row r="483" spans="14:14">
      <c r="N483" s="26"/>
    </row>
    <row r="484" spans="14:14">
      <c r="N484" s="26"/>
    </row>
    <row r="485" spans="14:14">
      <c r="N485" s="26"/>
    </row>
    <row r="486" spans="14:14">
      <c r="N486" s="26"/>
    </row>
    <row r="487" spans="14:14">
      <c r="N487" s="26"/>
    </row>
    <row r="488" spans="14:14">
      <c r="N488" s="26"/>
    </row>
    <row r="489" spans="14:14">
      <c r="N489" s="26"/>
    </row>
    <row r="490" spans="14:14">
      <c r="N490" s="26"/>
    </row>
    <row r="491" spans="14:14">
      <c r="N491" s="26"/>
    </row>
    <row r="492" spans="14:14">
      <c r="N492" s="26"/>
    </row>
    <row r="493" spans="14:14">
      <c r="N493" s="26"/>
    </row>
    <row r="494" spans="14:14">
      <c r="N494" s="26"/>
    </row>
    <row r="495" spans="14:14">
      <c r="N495" s="26"/>
    </row>
    <row r="496" spans="14:14">
      <c r="N496" s="26"/>
    </row>
    <row r="497" spans="14:14">
      <c r="N497" s="26"/>
    </row>
    <row r="498" spans="14:14">
      <c r="N498" s="26"/>
    </row>
    <row r="499" spans="14:14">
      <c r="N499" s="26"/>
    </row>
    <row r="500" spans="14:14">
      <c r="N500" s="26"/>
    </row>
    <row r="501" spans="14:14">
      <c r="N501" s="26"/>
    </row>
    <row r="502" spans="14:14">
      <c r="N502" s="26"/>
    </row>
    <row r="503" spans="14:14">
      <c r="N503" s="26"/>
    </row>
    <row r="504" spans="14:14">
      <c r="N504" s="26"/>
    </row>
    <row r="505" spans="14:14">
      <c r="N505" s="26"/>
    </row>
    <row r="506" spans="14:14">
      <c r="N506" s="26"/>
    </row>
    <row r="507" spans="14:14">
      <c r="N507" s="26"/>
    </row>
    <row r="508" spans="14:14">
      <c r="N508" s="26"/>
    </row>
    <row r="509" spans="14:14">
      <c r="N509" s="26"/>
    </row>
    <row r="510" spans="14:14">
      <c r="N510" s="26"/>
    </row>
    <row r="511" spans="14:14">
      <c r="N511" s="26"/>
    </row>
    <row r="512" spans="14:14">
      <c r="N512" s="26"/>
    </row>
    <row r="513" spans="14:14">
      <c r="N513" s="26"/>
    </row>
    <row r="514" spans="14:14">
      <c r="N514" s="26"/>
    </row>
    <row r="515" spans="14:14">
      <c r="N515" s="26"/>
    </row>
    <row r="516" spans="14:14">
      <c r="N516" s="26"/>
    </row>
    <row r="517" spans="14:14">
      <c r="N517" s="26"/>
    </row>
    <row r="518" spans="14:14">
      <c r="N518" s="26"/>
    </row>
    <row r="519" spans="14:14">
      <c r="N519" s="26"/>
    </row>
    <row r="520" spans="14:14">
      <c r="N520" s="26"/>
    </row>
    <row r="521" spans="14:14">
      <c r="N521" s="26"/>
    </row>
    <row r="522" spans="14:14">
      <c r="N522" s="26"/>
    </row>
    <row r="523" spans="14:14">
      <c r="N523" s="26"/>
    </row>
    <row r="524" spans="14:14">
      <c r="N524" s="26"/>
    </row>
    <row r="525" spans="14:14">
      <c r="N525" s="26"/>
    </row>
    <row r="526" spans="14:14">
      <c r="N526" s="26"/>
    </row>
    <row r="527" spans="14:14">
      <c r="N527" s="26"/>
    </row>
    <row r="528" spans="14:14">
      <c r="N528" s="26"/>
    </row>
    <row r="529" spans="14:14">
      <c r="N529" s="26"/>
    </row>
    <row r="530" spans="14:14">
      <c r="N530" s="26"/>
    </row>
    <row r="531" spans="14:14">
      <c r="N531" s="26"/>
    </row>
    <row r="532" spans="14:14">
      <c r="N532" s="26"/>
    </row>
    <row r="533" spans="14:14">
      <c r="N533" s="26"/>
    </row>
    <row r="534" spans="14:14">
      <c r="N534" s="26"/>
    </row>
    <row r="535" spans="14:14">
      <c r="N535" s="26"/>
    </row>
    <row r="536" spans="14:14">
      <c r="N536" s="26"/>
    </row>
    <row r="537" spans="14:14">
      <c r="N537" s="26"/>
    </row>
    <row r="538" spans="14:14">
      <c r="N538" s="26"/>
    </row>
    <row r="539" spans="14:14">
      <c r="N539" s="26"/>
    </row>
    <row r="540" spans="14:14">
      <c r="N540" s="26"/>
    </row>
    <row r="541" spans="14:14">
      <c r="N541" s="26"/>
    </row>
    <row r="542" spans="14:14">
      <c r="N542" s="26"/>
    </row>
    <row r="543" spans="14:14">
      <c r="N543" s="26"/>
    </row>
    <row r="544" spans="14:14">
      <c r="N544" s="26"/>
    </row>
    <row r="545" spans="14:14">
      <c r="N545" s="26"/>
    </row>
    <row r="546" spans="14:14">
      <c r="N546" s="26"/>
    </row>
    <row r="547" spans="14:14">
      <c r="N547" s="26"/>
    </row>
    <row r="548" spans="14:14">
      <c r="N548" s="26"/>
    </row>
    <row r="549" spans="14:14">
      <c r="N549" s="26"/>
    </row>
    <row r="550" spans="14:14">
      <c r="N550" s="26"/>
    </row>
    <row r="551" spans="14:14">
      <c r="N551" s="26"/>
    </row>
    <row r="552" spans="14:14">
      <c r="N552" s="26"/>
    </row>
    <row r="553" spans="14:14">
      <c r="N553" s="26"/>
    </row>
    <row r="554" spans="14:14">
      <c r="N554" s="26"/>
    </row>
    <row r="555" spans="14:14">
      <c r="N555" s="26"/>
    </row>
    <row r="556" spans="14:14">
      <c r="N556" s="26"/>
    </row>
    <row r="557" spans="14:14">
      <c r="N557" s="26"/>
    </row>
    <row r="558" spans="14:14">
      <c r="N558" s="26"/>
    </row>
  </sheetData>
  <sheetProtection selectLockedCells="1" selectUnlockedCells="1"/>
  <autoFilter ref="T1:T53" xr:uid="{7B29E8F4-8145-4FC6-B266-A6E272053A42}"/>
  <conditionalFormatting sqref="B5">
    <cfRule type="duplicateValues" dxfId="16" priority="14"/>
  </conditionalFormatting>
  <conditionalFormatting sqref="B6">
    <cfRule type="duplicateValues" dxfId="15" priority="11"/>
  </conditionalFormatting>
  <conditionalFormatting sqref="B7:C9 B16:C16 C11 B2:C4">
    <cfRule type="duplicateValues" dxfId="14" priority="17"/>
  </conditionalFormatting>
  <conditionalFormatting sqref="B13:C14 C12">
    <cfRule type="duplicateValues" dxfId="13" priority="7"/>
  </conditionalFormatting>
  <conditionalFormatting sqref="B15:C15">
    <cfRule type="duplicateValues" dxfId="12" priority="13"/>
  </conditionalFormatting>
  <conditionalFormatting sqref="B48:D48">
    <cfRule type="duplicateValues" dxfId="11" priority="6"/>
  </conditionalFormatting>
  <conditionalFormatting sqref="C5">
    <cfRule type="duplicateValues" dxfId="10" priority="15"/>
  </conditionalFormatting>
  <conditionalFormatting sqref="C6">
    <cfRule type="duplicateValues" dxfId="9" priority="12"/>
  </conditionalFormatting>
  <conditionalFormatting sqref="C22">
    <cfRule type="duplicateValues" dxfId="8" priority="16"/>
  </conditionalFormatting>
  <conditionalFormatting sqref="D1:D1048576 V1:V1048576">
    <cfRule type="duplicateValues" dxfId="7" priority="1"/>
  </conditionalFormatting>
  <conditionalFormatting sqref="D1:D1048576">
    <cfRule type="duplicateValues" dxfId="6" priority="407"/>
  </conditionalFormatting>
  <printOptions horizontalCentered="1" verticalCentered="1"/>
  <pageMargins left="0" right="0" top="0" bottom="0" header="0" footer="0"/>
  <pageSetup paperSize="9" scale="24" orientation="portrait" r:id="rId1"/>
  <ignoredErrors>
    <ignoredError sqref="R2:R53" calculatedColumn="1"/>
    <ignoredError sqref="T2:T53 S41:S53" unlockedFormula="1"/>
  </ignoredErrors>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621A-9929-462D-AB21-5C2B67958BC9}">
  <dimension ref="A1"/>
  <sheetViews>
    <sheetView zoomScaleNormal="100" workbookViewId="0">
      <selection activeCell="I9" sqref="I9"/>
    </sheetView>
  </sheetViews>
  <sheetFormatPr defaultRowHeight="14.4"/>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4D33-EFD3-426A-8140-3C8A570510EE}">
  <sheetPr>
    <tabColor rgb="FFFF0000"/>
  </sheetPr>
  <dimension ref="A1:AB74"/>
  <sheetViews>
    <sheetView rightToLeft="1" view="pageBreakPreview" zoomScaleNormal="100" zoomScaleSheetLayoutView="100" workbookViewId="0">
      <pane xSplit="3" ySplit="2" topLeftCell="D3" activePane="bottomRight" state="frozen"/>
      <selection pane="topRight" activeCell="D1" sqref="D1"/>
      <selection pane="bottomLeft" activeCell="A3" sqref="A3"/>
      <selection pane="bottomRight" activeCell="I41" sqref="I41"/>
    </sheetView>
  </sheetViews>
  <sheetFormatPr defaultColWidth="8.88671875" defaultRowHeight="14.4"/>
  <cols>
    <col min="1" max="1" width="4.33203125" style="53" customWidth="1"/>
    <col min="2" max="2" width="9.6640625" style="53" customWidth="1"/>
    <col min="3" max="3" width="8.88671875" customWidth="1"/>
    <col min="4" max="4" width="29.33203125" style="53" customWidth="1"/>
    <col min="5" max="5" width="14.109375" style="53" customWidth="1"/>
    <col min="6" max="6" width="9.6640625" style="53" customWidth="1"/>
    <col min="7" max="7" width="10.109375" style="53" customWidth="1"/>
    <col min="8" max="10" width="8.5546875" style="53" customWidth="1"/>
    <col min="11" max="11" width="9.6640625" style="59" customWidth="1"/>
    <col min="12" max="12" width="9.6640625" style="206" customWidth="1"/>
    <col min="13" max="13" width="12" style="207" customWidth="1"/>
    <col min="14" max="15" width="13.33203125" style="53" customWidth="1"/>
    <col min="16" max="16" width="30.6640625" style="62" hidden="1" customWidth="1"/>
    <col min="17" max="28" width="7.33203125" style="137" customWidth="1"/>
    <col min="29" max="16384" width="8.88671875" style="53"/>
  </cols>
  <sheetData>
    <row r="1" spans="1:28" ht="63" customHeight="1">
      <c r="A1" s="1255" t="s">
        <v>399</v>
      </c>
      <c r="B1" s="1255"/>
      <c r="C1" s="1255"/>
      <c r="D1" s="1255"/>
      <c r="E1" s="1255"/>
      <c r="F1" s="1255"/>
      <c r="G1" s="1255"/>
      <c r="H1" s="1255"/>
      <c r="I1" s="1255"/>
      <c r="J1" s="1255"/>
      <c r="K1" s="1255"/>
      <c r="L1" s="1255"/>
      <c r="M1" s="1255"/>
      <c r="N1" s="1255"/>
      <c r="O1" s="1255"/>
      <c r="P1" s="1255"/>
      <c r="Q1" s="1255"/>
      <c r="R1" s="1255"/>
      <c r="S1" s="1255"/>
      <c r="T1" s="1255"/>
      <c r="U1" s="1255"/>
      <c r="V1" s="1255"/>
      <c r="W1" s="1255"/>
      <c r="X1" s="1255"/>
      <c r="Y1" s="1255"/>
      <c r="Z1" s="1255"/>
      <c r="AA1" s="1255"/>
      <c r="AB1" s="1255"/>
    </row>
    <row r="2" spans="1:28" s="117" customFormat="1" ht="48" customHeight="1">
      <c r="A2" s="156" t="s">
        <v>9</v>
      </c>
      <c r="B2" s="157" t="s">
        <v>367</v>
      </c>
      <c r="C2" s="158" t="s">
        <v>8</v>
      </c>
      <c r="D2" s="158" t="s">
        <v>0</v>
      </c>
      <c r="E2" s="158" t="s">
        <v>51</v>
      </c>
      <c r="F2" s="158" t="s">
        <v>149</v>
      </c>
      <c r="G2" s="158" t="s">
        <v>150</v>
      </c>
      <c r="H2" s="158" t="s">
        <v>76</v>
      </c>
      <c r="I2" s="158" t="s">
        <v>368</v>
      </c>
      <c r="J2" s="158" t="s">
        <v>369</v>
      </c>
      <c r="K2" s="159" t="s">
        <v>113</v>
      </c>
      <c r="L2" s="160" t="s">
        <v>370</v>
      </c>
      <c r="M2" s="159" t="s">
        <v>371</v>
      </c>
      <c r="N2" s="158" t="s">
        <v>389</v>
      </c>
      <c r="O2" s="158" t="s">
        <v>392</v>
      </c>
      <c r="P2" s="161" t="s">
        <v>400</v>
      </c>
      <c r="Q2" s="162" t="s">
        <v>372</v>
      </c>
      <c r="R2" s="161" t="s">
        <v>373</v>
      </c>
      <c r="S2" s="161" t="s">
        <v>374</v>
      </c>
      <c r="T2" s="161" t="s">
        <v>375</v>
      </c>
      <c r="U2" s="161" t="s">
        <v>376</v>
      </c>
      <c r="V2" s="161" t="s">
        <v>377</v>
      </c>
      <c r="W2" s="161" t="s">
        <v>378</v>
      </c>
      <c r="X2" s="161" t="s">
        <v>379</v>
      </c>
      <c r="Y2" s="161" t="s">
        <v>380</v>
      </c>
      <c r="Z2" s="161" t="s">
        <v>381</v>
      </c>
      <c r="AA2" s="161" t="s">
        <v>382</v>
      </c>
      <c r="AB2" s="161" t="s">
        <v>383</v>
      </c>
    </row>
    <row r="3" spans="1:28" s="117" customFormat="1" ht="30.6" customHeight="1">
      <c r="A3" s="170">
        <f>SUBTOTAL(3,$B$3:B3)</f>
        <v>1</v>
      </c>
      <c r="B3" s="171" t="s">
        <v>384</v>
      </c>
      <c r="C3" s="171">
        <v>901240018</v>
      </c>
      <c r="D3" s="173" t="s">
        <v>52</v>
      </c>
      <c r="E3" s="173" t="s">
        <v>28</v>
      </c>
      <c r="F3" s="173" t="s">
        <v>266</v>
      </c>
      <c r="G3" s="173" t="s">
        <v>268</v>
      </c>
      <c r="H3" s="171" t="s">
        <v>100</v>
      </c>
      <c r="I3" s="174">
        <v>0.31979999999999997</v>
      </c>
      <c r="J3" s="174">
        <v>0.20780000000000001</v>
      </c>
      <c r="K3" s="208">
        <v>-0.11199999999999996</v>
      </c>
      <c r="L3" s="209">
        <v>83905989.5</v>
      </c>
      <c r="M3" s="71"/>
      <c r="N3" s="177">
        <v>46026</v>
      </c>
      <c r="O3" s="211" t="s">
        <v>391</v>
      </c>
      <c r="P3" s="178" t="s">
        <v>393</v>
      </c>
      <c r="Q3" s="212" t="s">
        <v>390</v>
      </c>
      <c r="R3" s="213" t="s">
        <v>77</v>
      </c>
      <c r="S3" s="213"/>
      <c r="T3" s="169"/>
      <c r="U3" s="213"/>
      <c r="V3" s="213"/>
      <c r="W3" s="213"/>
      <c r="X3" s="213"/>
      <c r="Y3" s="213"/>
      <c r="Z3" s="213"/>
      <c r="AA3" s="213"/>
      <c r="AB3" s="214"/>
    </row>
    <row r="4" spans="1:28" s="193" customFormat="1" ht="31.95" customHeight="1">
      <c r="A4" s="163">
        <f>SUBTOTAL(3,$B$3:B4)</f>
        <v>2</v>
      </c>
      <c r="B4" s="164" t="s">
        <v>384</v>
      </c>
      <c r="C4" s="164">
        <v>901240023</v>
      </c>
      <c r="D4" s="165" t="s">
        <v>61</v>
      </c>
      <c r="E4" s="165" t="s">
        <v>10</v>
      </c>
      <c r="F4" s="165" t="s">
        <v>151</v>
      </c>
      <c r="G4" s="165" t="s">
        <v>154</v>
      </c>
      <c r="H4" s="164" t="s">
        <v>77</v>
      </c>
      <c r="I4" s="166">
        <v>0.85260000000000002</v>
      </c>
      <c r="J4" s="166">
        <v>0.81579999999999997</v>
      </c>
      <c r="K4" s="183">
        <v>-3.6800000000000055E-2</v>
      </c>
      <c r="L4" s="184">
        <v>20939976.25</v>
      </c>
      <c r="M4" s="185">
        <v>46081</v>
      </c>
      <c r="N4" s="185">
        <v>46035</v>
      </c>
      <c r="O4" s="185" t="s">
        <v>391</v>
      </c>
      <c r="P4" s="168" t="s">
        <v>401</v>
      </c>
      <c r="Q4" s="186" t="s">
        <v>390</v>
      </c>
      <c r="R4" s="187" t="s">
        <v>385</v>
      </c>
      <c r="S4" s="187"/>
      <c r="T4" s="187"/>
      <c r="U4" s="187"/>
      <c r="V4" s="187"/>
      <c r="W4" s="187"/>
      <c r="X4" s="187"/>
      <c r="Y4" s="187"/>
      <c r="Z4" s="187"/>
      <c r="AA4" s="187"/>
      <c r="AB4" s="187"/>
    </row>
    <row r="5" spans="1:28" s="188" customFormat="1" ht="31.95" customHeight="1">
      <c r="A5" s="170">
        <f>SUBTOTAL(3,$B$3:B5)</f>
        <v>3</v>
      </c>
      <c r="B5" s="171" t="s">
        <v>384</v>
      </c>
      <c r="C5" s="171">
        <v>901250110</v>
      </c>
      <c r="D5" s="173" t="s">
        <v>107</v>
      </c>
      <c r="E5" s="173" t="s">
        <v>104</v>
      </c>
      <c r="F5" s="173" t="s">
        <v>266</v>
      </c>
      <c r="G5" s="173" t="s">
        <v>267</v>
      </c>
      <c r="H5" s="171" t="s">
        <v>77</v>
      </c>
      <c r="I5" s="174">
        <v>0.2462</v>
      </c>
      <c r="J5" s="174">
        <v>0.17299999999999999</v>
      </c>
      <c r="K5" s="175">
        <v>-7.3200000000000015E-2</v>
      </c>
      <c r="L5" s="176">
        <v>4936775.2</v>
      </c>
      <c r="M5" s="177"/>
      <c r="N5" s="177">
        <v>46042</v>
      </c>
      <c r="O5" s="177" t="s">
        <v>391</v>
      </c>
      <c r="P5" s="178" t="s">
        <v>398</v>
      </c>
      <c r="Q5" s="179" t="s">
        <v>390</v>
      </c>
      <c r="R5" s="180" t="s">
        <v>390</v>
      </c>
      <c r="S5" s="180" t="s">
        <v>390</v>
      </c>
      <c r="T5" s="180" t="s">
        <v>77</v>
      </c>
      <c r="U5" s="180"/>
      <c r="V5" s="180"/>
      <c r="W5" s="180"/>
      <c r="X5" s="180"/>
      <c r="Y5" s="180"/>
      <c r="Z5" s="180"/>
      <c r="AA5" s="180"/>
      <c r="AB5" s="180"/>
    </row>
    <row r="6" spans="1:28" s="188" customFormat="1" ht="31.95" customHeight="1">
      <c r="A6" s="163">
        <f>SUBTOTAL(3,$B$3:B6)</f>
        <v>4</v>
      </c>
      <c r="B6" s="164" t="s">
        <v>384</v>
      </c>
      <c r="C6" s="164">
        <v>901240123</v>
      </c>
      <c r="D6" s="165" t="s">
        <v>117</v>
      </c>
      <c r="E6" s="165" t="s">
        <v>16</v>
      </c>
      <c r="F6" s="165" t="s">
        <v>164</v>
      </c>
      <c r="G6" s="165" t="s">
        <v>165</v>
      </c>
      <c r="H6" s="164" t="s">
        <v>77</v>
      </c>
      <c r="I6" s="166">
        <v>0.25</v>
      </c>
      <c r="J6" s="166">
        <v>0.2029</v>
      </c>
      <c r="K6" s="183">
        <v>-4.7100000000000003E-2</v>
      </c>
      <c r="L6" s="184">
        <v>25748422.260000002</v>
      </c>
      <c r="M6" s="185"/>
      <c r="N6" s="192">
        <v>46042</v>
      </c>
      <c r="O6" s="192" t="s">
        <v>391</v>
      </c>
      <c r="P6" s="168" t="s">
        <v>398</v>
      </c>
      <c r="Q6" s="186" t="s">
        <v>390</v>
      </c>
      <c r="R6" s="187" t="s">
        <v>390</v>
      </c>
      <c r="S6" s="187" t="s">
        <v>390</v>
      </c>
      <c r="T6" s="187" t="s">
        <v>390</v>
      </c>
      <c r="U6" s="187" t="s">
        <v>77</v>
      </c>
      <c r="V6" s="187"/>
      <c r="W6" s="187"/>
      <c r="X6" s="187"/>
      <c r="Y6" s="187"/>
      <c r="Z6" s="187"/>
      <c r="AA6" s="187"/>
      <c r="AB6" s="187"/>
    </row>
    <row r="7" spans="1:28" s="188" customFormat="1" ht="34.200000000000003" customHeight="1">
      <c r="A7" s="170">
        <f>SUBTOTAL(3,$B$3:B7)</f>
        <v>5</v>
      </c>
      <c r="B7" s="171" t="s">
        <v>384</v>
      </c>
      <c r="C7" s="171">
        <v>901240095</v>
      </c>
      <c r="D7" s="173" t="s">
        <v>58</v>
      </c>
      <c r="E7" s="173" t="s">
        <v>31</v>
      </c>
      <c r="F7" s="173" t="s">
        <v>164</v>
      </c>
      <c r="G7" s="173" t="s">
        <v>265</v>
      </c>
      <c r="H7" s="171" t="s">
        <v>77</v>
      </c>
      <c r="I7" s="174">
        <v>0.24709999999999999</v>
      </c>
      <c r="J7" s="174">
        <v>0.17899999999999999</v>
      </c>
      <c r="K7" s="175">
        <v>-6.8099999999999994E-2</v>
      </c>
      <c r="L7" s="176">
        <v>29432727.16</v>
      </c>
      <c r="M7" s="177"/>
      <c r="N7" s="177">
        <v>46044</v>
      </c>
      <c r="O7" s="177" t="s">
        <v>391</v>
      </c>
      <c r="P7" s="178" t="s">
        <v>394</v>
      </c>
      <c r="Q7" s="179" t="s">
        <v>390</v>
      </c>
      <c r="R7" s="180" t="s">
        <v>390</v>
      </c>
      <c r="S7" s="180" t="s">
        <v>77</v>
      </c>
      <c r="T7" s="180"/>
      <c r="U7" s="180"/>
      <c r="V7" s="180"/>
      <c r="W7" s="180"/>
      <c r="X7" s="180"/>
      <c r="Y7" s="180"/>
      <c r="Z7" s="180"/>
      <c r="AA7" s="180"/>
      <c r="AB7" s="180"/>
    </row>
    <row r="8" spans="1:28" s="188" customFormat="1" ht="31.95" customHeight="1">
      <c r="A8" s="163">
        <f>SUBTOTAL(3,$B$3:B8)</f>
        <v>6</v>
      </c>
      <c r="B8" s="164" t="s">
        <v>384</v>
      </c>
      <c r="C8" s="164">
        <v>901230177</v>
      </c>
      <c r="D8" s="165" t="s">
        <v>66</v>
      </c>
      <c r="E8" s="165" t="s">
        <v>15</v>
      </c>
      <c r="F8" s="165" t="s">
        <v>151</v>
      </c>
      <c r="G8" s="165" t="s">
        <v>152</v>
      </c>
      <c r="H8" s="164" t="s">
        <v>77</v>
      </c>
      <c r="I8" s="166">
        <v>0.29389999999999999</v>
      </c>
      <c r="J8" s="166">
        <v>0.22500000000000001</v>
      </c>
      <c r="K8" s="183">
        <v>-6.8899999999999989E-2</v>
      </c>
      <c r="L8" s="184">
        <v>78223592.25</v>
      </c>
      <c r="M8" s="185"/>
      <c r="N8" s="192">
        <v>46051</v>
      </c>
      <c r="O8" s="192" t="s">
        <v>391</v>
      </c>
      <c r="P8" s="168" t="s">
        <v>398</v>
      </c>
      <c r="Q8" s="186" t="s">
        <v>390</v>
      </c>
      <c r="R8" s="187" t="s">
        <v>390</v>
      </c>
      <c r="S8" s="187" t="s">
        <v>390</v>
      </c>
      <c r="T8" s="187" t="s">
        <v>390</v>
      </c>
      <c r="U8" s="187" t="s">
        <v>77</v>
      </c>
      <c r="V8" s="187"/>
      <c r="W8" s="187"/>
      <c r="X8" s="187"/>
      <c r="Y8" s="187"/>
      <c r="Z8" s="187"/>
      <c r="AA8" s="187"/>
      <c r="AB8" s="187"/>
    </row>
    <row r="9" spans="1:28" s="188" customFormat="1" ht="31.95" customHeight="1">
      <c r="A9" s="170">
        <f>SUBTOTAL(3,$B$3:B9)</f>
        <v>7</v>
      </c>
      <c r="B9" s="171" t="s">
        <v>384</v>
      </c>
      <c r="C9" s="171">
        <v>901240072</v>
      </c>
      <c r="D9" s="173" t="s">
        <v>71</v>
      </c>
      <c r="E9" s="173" t="s">
        <v>10</v>
      </c>
      <c r="F9" s="173" t="s">
        <v>151</v>
      </c>
      <c r="G9" s="173" t="s">
        <v>154</v>
      </c>
      <c r="H9" s="194" t="s">
        <v>77</v>
      </c>
      <c r="I9" s="174">
        <v>0.14949999999999999</v>
      </c>
      <c r="J9" s="174">
        <v>0.122</v>
      </c>
      <c r="K9" s="175">
        <v>-2.7499999999999997E-2</v>
      </c>
      <c r="L9" s="176">
        <v>50216360</v>
      </c>
      <c r="M9" s="177"/>
      <c r="N9" s="177">
        <v>46055</v>
      </c>
      <c r="O9" s="177" t="s">
        <v>391</v>
      </c>
      <c r="P9" s="178" t="s">
        <v>398</v>
      </c>
      <c r="Q9" s="179"/>
      <c r="R9" s="180" t="s">
        <v>390</v>
      </c>
      <c r="S9" s="180" t="s">
        <v>390</v>
      </c>
      <c r="T9" s="180" t="s">
        <v>390</v>
      </c>
      <c r="U9" s="180" t="s">
        <v>77</v>
      </c>
      <c r="V9" s="180"/>
      <c r="W9" s="180"/>
      <c r="X9" s="180"/>
      <c r="Y9" s="180"/>
      <c r="Z9" s="180"/>
      <c r="AA9" s="180"/>
      <c r="AB9" s="180"/>
    </row>
    <row r="10" spans="1:28" s="188" customFormat="1" ht="31.95" customHeight="1">
      <c r="A10" s="163">
        <f>SUBTOTAL(3,$B$3:B10)</f>
        <v>8</v>
      </c>
      <c r="B10" s="164" t="s">
        <v>384</v>
      </c>
      <c r="C10" s="164">
        <v>901240144</v>
      </c>
      <c r="D10" s="165" t="s">
        <v>5</v>
      </c>
      <c r="E10" s="165" t="s">
        <v>21</v>
      </c>
      <c r="F10" s="165" t="s">
        <v>164</v>
      </c>
      <c r="G10" s="165" t="s">
        <v>264</v>
      </c>
      <c r="H10" s="164" t="s">
        <v>77</v>
      </c>
      <c r="I10" s="166">
        <v>0.42180000000000001</v>
      </c>
      <c r="J10" s="166">
        <v>0.39500000000000002</v>
      </c>
      <c r="K10" s="183">
        <v>-2.679999999999999E-2</v>
      </c>
      <c r="L10" s="184">
        <v>24989167</v>
      </c>
      <c r="M10" s="185"/>
      <c r="N10" s="192">
        <v>46055</v>
      </c>
      <c r="O10" s="192" t="s">
        <v>391</v>
      </c>
      <c r="P10" s="168" t="s">
        <v>398</v>
      </c>
      <c r="Q10" s="186"/>
      <c r="R10" s="187" t="s">
        <v>390</v>
      </c>
      <c r="S10" s="187" t="s">
        <v>390</v>
      </c>
      <c r="T10" s="187" t="s">
        <v>390</v>
      </c>
      <c r="U10" s="187" t="s">
        <v>77</v>
      </c>
      <c r="V10" s="187"/>
      <c r="W10" s="187"/>
      <c r="X10" s="187"/>
      <c r="Y10" s="187"/>
      <c r="Z10" s="187"/>
      <c r="AA10" s="187"/>
      <c r="AB10" s="187"/>
    </row>
    <row r="11" spans="1:28" s="188" customFormat="1" ht="31.95" customHeight="1">
      <c r="A11" s="170">
        <f>SUBTOTAL(3,$B$3:B11)</f>
        <v>9</v>
      </c>
      <c r="B11" s="171" t="s">
        <v>384</v>
      </c>
      <c r="C11" s="171">
        <v>901240189</v>
      </c>
      <c r="D11" s="173" t="s">
        <v>70</v>
      </c>
      <c r="E11" s="173" t="s">
        <v>20</v>
      </c>
      <c r="F11" s="173" t="s">
        <v>164</v>
      </c>
      <c r="G11" s="173" t="s">
        <v>264</v>
      </c>
      <c r="H11" s="171" t="s">
        <v>78</v>
      </c>
      <c r="I11" s="174">
        <v>0.43559999999999999</v>
      </c>
      <c r="J11" s="174">
        <v>0.46179999999999999</v>
      </c>
      <c r="K11" s="175">
        <v>2.6200000000000001E-2</v>
      </c>
      <c r="L11" s="176">
        <v>17250000.460000001</v>
      </c>
      <c r="M11" s="177">
        <v>46356</v>
      </c>
      <c r="N11" s="177">
        <v>46067</v>
      </c>
      <c r="O11" s="177" t="s">
        <v>391</v>
      </c>
      <c r="P11" s="178" t="s">
        <v>168</v>
      </c>
      <c r="Q11" s="179"/>
      <c r="R11" s="180" t="s">
        <v>390</v>
      </c>
      <c r="S11" s="180" t="s">
        <v>390</v>
      </c>
      <c r="T11" s="180" t="s">
        <v>390</v>
      </c>
      <c r="U11" s="180" t="s">
        <v>77</v>
      </c>
      <c r="V11" s="180"/>
      <c r="W11" s="180"/>
      <c r="X11" s="180"/>
      <c r="Y11" s="180"/>
      <c r="Z11" s="180"/>
      <c r="AA11" s="180"/>
      <c r="AB11" s="180"/>
    </row>
    <row r="12" spans="1:28" s="188" customFormat="1" ht="31.95" customHeight="1">
      <c r="A12" s="163">
        <f>SUBTOTAL(3,$B$3:B12)</f>
        <v>10</v>
      </c>
      <c r="B12" s="164" t="s">
        <v>384</v>
      </c>
      <c r="C12" s="164">
        <v>901230273</v>
      </c>
      <c r="D12" s="165" t="s">
        <v>57</v>
      </c>
      <c r="E12" s="165" t="s">
        <v>26</v>
      </c>
      <c r="F12" s="165" t="s">
        <v>159</v>
      </c>
      <c r="G12" s="165" t="s">
        <v>160</v>
      </c>
      <c r="H12" s="191" t="s">
        <v>77</v>
      </c>
      <c r="I12" s="166">
        <v>0.54420000000000002</v>
      </c>
      <c r="J12" s="166">
        <v>0.51559999999999995</v>
      </c>
      <c r="K12" s="183">
        <v>-2.860000000000007E-2</v>
      </c>
      <c r="L12" s="184">
        <v>26147277.449999999</v>
      </c>
      <c r="M12" s="185">
        <v>46325</v>
      </c>
      <c r="N12" s="185">
        <v>46072</v>
      </c>
      <c r="O12" s="185" t="s">
        <v>391</v>
      </c>
      <c r="P12" s="168" t="s">
        <v>398</v>
      </c>
      <c r="Q12" s="186"/>
      <c r="R12" s="187" t="s">
        <v>390</v>
      </c>
      <c r="S12" s="187" t="s">
        <v>390</v>
      </c>
      <c r="T12" s="187" t="s">
        <v>390</v>
      </c>
      <c r="U12" s="187" t="s">
        <v>390</v>
      </c>
      <c r="V12" s="187" t="s">
        <v>77</v>
      </c>
      <c r="W12" s="187"/>
      <c r="X12" s="187"/>
      <c r="Y12" s="187"/>
      <c r="Z12" s="187"/>
      <c r="AA12" s="187"/>
      <c r="AB12" s="187"/>
    </row>
    <row r="13" spans="1:28" s="188" customFormat="1" ht="34.200000000000003" customHeight="1">
      <c r="A13" s="170">
        <f>SUBTOTAL(3,$B$3:B13)</f>
        <v>11</v>
      </c>
      <c r="B13" s="171" t="s">
        <v>384</v>
      </c>
      <c r="C13" s="171">
        <v>901240391</v>
      </c>
      <c r="D13" s="173" t="s">
        <v>92</v>
      </c>
      <c r="E13" s="173" t="s">
        <v>93</v>
      </c>
      <c r="F13" s="173" t="s">
        <v>151</v>
      </c>
      <c r="G13" s="173" t="s">
        <v>157</v>
      </c>
      <c r="H13" s="171" t="s">
        <v>77</v>
      </c>
      <c r="I13" s="174">
        <v>0.1071</v>
      </c>
      <c r="J13" s="174">
        <v>0.09</v>
      </c>
      <c r="K13" s="175">
        <v>-1.7100000000000004E-2</v>
      </c>
      <c r="L13" s="176">
        <v>14104405</v>
      </c>
      <c r="M13" s="177"/>
      <c r="N13" s="177">
        <v>46086</v>
      </c>
      <c r="O13" s="177" t="s">
        <v>391</v>
      </c>
      <c r="P13" s="178" t="s">
        <v>398</v>
      </c>
      <c r="Q13" s="179"/>
      <c r="R13" s="180"/>
      <c r="S13" s="180" t="s">
        <v>390</v>
      </c>
      <c r="T13" s="180" t="s">
        <v>390</v>
      </c>
      <c r="U13" s="180" t="s">
        <v>390</v>
      </c>
      <c r="V13" s="180" t="s">
        <v>77</v>
      </c>
      <c r="W13" s="180"/>
      <c r="X13" s="180"/>
      <c r="Y13" s="180"/>
      <c r="Z13" s="180"/>
      <c r="AA13" s="180"/>
      <c r="AB13" s="180"/>
    </row>
    <row r="14" spans="1:28" s="193" customFormat="1" ht="37.950000000000003" customHeight="1">
      <c r="A14" s="163">
        <f>SUBTOTAL(3,$B$3:B14)</f>
        <v>12</v>
      </c>
      <c r="B14" s="164" t="s">
        <v>384</v>
      </c>
      <c r="C14" s="164">
        <v>901240210</v>
      </c>
      <c r="D14" s="165" t="s">
        <v>60</v>
      </c>
      <c r="E14" s="165" t="s">
        <v>35</v>
      </c>
      <c r="F14" s="165" t="s">
        <v>164</v>
      </c>
      <c r="G14" s="165" t="s">
        <v>386</v>
      </c>
      <c r="H14" s="195" t="s">
        <v>78</v>
      </c>
      <c r="I14" s="196">
        <v>0.3301</v>
      </c>
      <c r="J14" s="196">
        <v>0.33600000000000002</v>
      </c>
      <c r="K14" s="183">
        <v>5.9000000000000163E-3</v>
      </c>
      <c r="L14" s="184">
        <v>32081964</v>
      </c>
      <c r="M14" s="185"/>
      <c r="N14" s="185">
        <v>46089</v>
      </c>
      <c r="O14" s="185" t="s">
        <v>391</v>
      </c>
      <c r="P14" s="168" t="s">
        <v>398</v>
      </c>
      <c r="Q14" s="186"/>
      <c r="R14" s="187"/>
      <c r="S14" s="187" t="s">
        <v>390</v>
      </c>
      <c r="T14" s="187" t="s">
        <v>390</v>
      </c>
      <c r="U14" s="187" t="s">
        <v>390</v>
      </c>
      <c r="V14" s="187" t="s">
        <v>77</v>
      </c>
      <c r="W14" s="187"/>
      <c r="X14" s="187"/>
      <c r="Y14" s="187"/>
      <c r="Z14" s="187"/>
      <c r="AA14" s="187"/>
      <c r="AB14" s="187"/>
    </row>
    <row r="15" spans="1:28" s="193" customFormat="1" ht="36" customHeight="1">
      <c r="A15" s="170">
        <f>SUBTOTAL(3,$B$3:B15)</f>
        <v>13</v>
      </c>
      <c r="B15" s="171" t="s">
        <v>384</v>
      </c>
      <c r="C15" s="171">
        <v>901240136</v>
      </c>
      <c r="D15" s="173" t="s">
        <v>4</v>
      </c>
      <c r="E15" s="173" t="s">
        <v>33</v>
      </c>
      <c r="F15" s="173" t="s">
        <v>159</v>
      </c>
      <c r="G15" s="173" t="s">
        <v>160</v>
      </c>
      <c r="H15" s="171" t="s">
        <v>77</v>
      </c>
      <c r="I15" s="174">
        <v>0.1134</v>
      </c>
      <c r="J15" s="174">
        <v>8.1199999999999994E-2</v>
      </c>
      <c r="K15" s="175">
        <v>-3.2200000000000006E-2</v>
      </c>
      <c r="L15" s="176">
        <v>35894605</v>
      </c>
      <c r="M15" s="177"/>
      <c r="N15" s="197">
        <v>46091</v>
      </c>
      <c r="O15" s="197" t="s">
        <v>391</v>
      </c>
      <c r="P15" s="178" t="s">
        <v>398</v>
      </c>
      <c r="Q15" s="179"/>
      <c r="R15" s="180"/>
      <c r="S15" s="180" t="s">
        <v>390</v>
      </c>
      <c r="T15" s="180" t="s">
        <v>390</v>
      </c>
      <c r="U15" s="180" t="s">
        <v>390</v>
      </c>
      <c r="V15" s="180" t="s">
        <v>77</v>
      </c>
      <c r="W15" s="180"/>
      <c r="X15" s="180"/>
      <c r="Y15" s="180"/>
      <c r="Z15" s="180"/>
      <c r="AA15" s="180"/>
      <c r="AB15" s="180"/>
    </row>
    <row r="16" spans="1:28" s="193" customFormat="1" ht="31.95" customHeight="1">
      <c r="A16" s="163">
        <f>SUBTOTAL(3,$B$3:B16)</f>
        <v>14</v>
      </c>
      <c r="B16" s="164" t="s">
        <v>384</v>
      </c>
      <c r="C16" s="164">
        <v>901240021</v>
      </c>
      <c r="D16" s="165" t="s">
        <v>84</v>
      </c>
      <c r="E16" s="165" t="s">
        <v>30</v>
      </c>
      <c r="F16" s="165" t="s">
        <v>159</v>
      </c>
      <c r="G16" s="165" t="s">
        <v>159</v>
      </c>
      <c r="H16" s="164" t="s">
        <v>78</v>
      </c>
      <c r="I16" s="166">
        <v>0.36770000000000003</v>
      </c>
      <c r="J16" s="166">
        <v>0.37459999999999999</v>
      </c>
      <c r="K16" s="183">
        <v>6.8999999999999617E-3</v>
      </c>
      <c r="L16" s="184">
        <v>111774958.40000001</v>
      </c>
      <c r="M16" s="185"/>
      <c r="N16" s="185">
        <v>46093</v>
      </c>
      <c r="O16" s="185" t="s">
        <v>391</v>
      </c>
      <c r="P16" s="168" t="s">
        <v>395</v>
      </c>
      <c r="Q16" s="186"/>
      <c r="R16" s="187"/>
      <c r="S16" s="187" t="s">
        <v>390</v>
      </c>
      <c r="T16" s="180" t="s">
        <v>77</v>
      </c>
      <c r="U16" s="187"/>
      <c r="V16" s="180"/>
      <c r="W16" s="187"/>
      <c r="X16" s="187"/>
      <c r="Y16" s="187"/>
      <c r="Z16" s="187"/>
      <c r="AA16" s="187"/>
      <c r="AB16" s="187"/>
    </row>
    <row r="17" spans="1:28" s="193" customFormat="1" ht="31.95" customHeight="1">
      <c r="A17" s="170">
        <f>SUBTOTAL(3,$B$3:B17)</f>
        <v>15</v>
      </c>
      <c r="B17" s="171" t="s">
        <v>384</v>
      </c>
      <c r="C17" s="171">
        <v>901230191</v>
      </c>
      <c r="D17" s="173" t="s">
        <v>62</v>
      </c>
      <c r="E17" s="173" t="s">
        <v>11</v>
      </c>
      <c r="F17" s="173" t="s">
        <v>164</v>
      </c>
      <c r="G17" s="173" t="s">
        <v>165</v>
      </c>
      <c r="H17" s="198" t="s">
        <v>77</v>
      </c>
      <c r="I17" s="174">
        <v>0.51190000000000002</v>
      </c>
      <c r="J17" s="174">
        <v>0.48449999999999999</v>
      </c>
      <c r="K17" s="175">
        <v>-2.7400000000000035E-2</v>
      </c>
      <c r="L17" s="176">
        <v>48379713.399999999</v>
      </c>
      <c r="M17" s="177"/>
      <c r="N17" s="177">
        <v>46093</v>
      </c>
      <c r="O17" s="177" t="s">
        <v>391</v>
      </c>
      <c r="P17" s="178" t="s">
        <v>398</v>
      </c>
      <c r="Q17" s="179"/>
      <c r="R17" s="180"/>
      <c r="S17" s="180" t="s">
        <v>390</v>
      </c>
      <c r="T17" s="180" t="s">
        <v>390</v>
      </c>
      <c r="U17" s="180" t="s">
        <v>390</v>
      </c>
      <c r="V17" s="180" t="s">
        <v>77</v>
      </c>
      <c r="W17" s="180"/>
      <c r="X17" s="180"/>
      <c r="Y17" s="180"/>
      <c r="Z17" s="180"/>
      <c r="AA17" s="180"/>
      <c r="AB17" s="180"/>
    </row>
    <row r="18" spans="1:28" s="193" customFormat="1" ht="31.95" customHeight="1">
      <c r="A18" s="163">
        <f>SUBTOTAL(3,$B$3:B18)</f>
        <v>16</v>
      </c>
      <c r="B18" s="164" t="s">
        <v>384</v>
      </c>
      <c r="C18" s="164">
        <v>901250275</v>
      </c>
      <c r="D18" s="165" t="s">
        <v>272</v>
      </c>
      <c r="E18" s="165" t="s">
        <v>274</v>
      </c>
      <c r="F18" s="165" t="s">
        <v>151</v>
      </c>
      <c r="G18" s="165">
        <v>0</v>
      </c>
      <c r="H18" s="164" t="s">
        <v>77</v>
      </c>
      <c r="I18" s="166">
        <v>0.01</v>
      </c>
      <c r="J18" s="166">
        <v>0</v>
      </c>
      <c r="K18" s="183">
        <v>-0.01</v>
      </c>
      <c r="L18" s="184">
        <v>11961405.880000001</v>
      </c>
      <c r="M18" s="185"/>
      <c r="N18" s="185">
        <v>46103</v>
      </c>
      <c r="O18" s="185" t="s">
        <v>391</v>
      </c>
      <c r="P18" s="168" t="s">
        <v>359</v>
      </c>
      <c r="Q18" s="186"/>
      <c r="R18" s="187"/>
      <c r="S18" s="187" t="s">
        <v>390</v>
      </c>
      <c r="T18" s="187" t="s">
        <v>390</v>
      </c>
      <c r="U18" s="187" t="s">
        <v>390</v>
      </c>
      <c r="V18" s="187" t="s">
        <v>390</v>
      </c>
      <c r="W18" s="187" t="s">
        <v>77</v>
      </c>
      <c r="X18" s="187"/>
      <c r="Y18" s="187"/>
      <c r="Z18" s="187"/>
      <c r="AA18" s="187"/>
      <c r="AB18" s="187"/>
    </row>
    <row r="19" spans="1:28" s="193" customFormat="1" ht="31.95" customHeight="1">
      <c r="A19" s="170">
        <f>SUBTOTAL(3,$B$3:B19)</f>
        <v>17</v>
      </c>
      <c r="B19" s="171" t="s">
        <v>384</v>
      </c>
      <c r="C19" s="171">
        <v>901250201</v>
      </c>
      <c r="D19" s="173" t="s">
        <v>144</v>
      </c>
      <c r="E19" s="173" t="s">
        <v>148</v>
      </c>
      <c r="F19" s="173" t="s">
        <v>164</v>
      </c>
      <c r="G19" s="173" t="s">
        <v>167</v>
      </c>
      <c r="H19" s="171" t="s">
        <v>77</v>
      </c>
      <c r="I19" s="174">
        <v>2.4E-2</v>
      </c>
      <c r="J19" s="174">
        <v>1.1900000000000001E-2</v>
      </c>
      <c r="K19" s="175">
        <v>-1.21E-2</v>
      </c>
      <c r="L19" s="176">
        <v>20790349.75</v>
      </c>
      <c r="M19" s="177"/>
      <c r="N19" s="197">
        <v>46103</v>
      </c>
      <c r="O19" s="197" t="s">
        <v>391</v>
      </c>
      <c r="P19" s="178" t="s">
        <v>398</v>
      </c>
      <c r="Q19" s="179"/>
      <c r="R19" s="180"/>
      <c r="S19" s="180" t="s">
        <v>390</v>
      </c>
      <c r="T19" s="180" t="s">
        <v>390</v>
      </c>
      <c r="U19" s="180" t="s">
        <v>390</v>
      </c>
      <c r="V19" s="180" t="s">
        <v>390</v>
      </c>
      <c r="W19" s="180" t="s">
        <v>77</v>
      </c>
      <c r="X19" s="180"/>
      <c r="Y19" s="180"/>
      <c r="Z19" s="180"/>
      <c r="AA19" s="180"/>
      <c r="AB19" s="180"/>
    </row>
    <row r="20" spans="1:28" s="193" customFormat="1" ht="31.95" customHeight="1">
      <c r="A20" s="163">
        <f>SUBTOTAL(3,$B$3:B20)</f>
        <v>18</v>
      </c>
      <c r="B20" s="164" t="s">
        <v>384</v>
      </c>
      <c r="C20" s="164">
        <v>901230317</v>
      </c>
      <c r="D20" s="165" t="s">
        <v>53</v>
      </c>
      <c r="E20" s="165" t="s">
        <v>27</v>
      </c>
      <c r="F20" s="165" t="s">
        <v>159</v>
      </c>
      <c r="G20" s="165" t="s">
        <v>161</v>
      </c>
      <c r="H20" s="164" t="s">
        <v>77</v>
      </c>
      <c r="I20" s="166">
        <v>0.3982</v>
      </c>
      <c r="J20" s="166">
        <v>0.38679999999999998</v>
      </c>
      <c r="K20" s="183">
        <v>-1.1400000000000021E-2</v>
      </c>
      <c r="L20" s="184">
        <v>43639020.100000001</v>
      </c>
      <c r="M20" s="185"/>
      <c r="N20" s="192">
        <v>46116</v>
      </c>
      <c r="O20" s="192" t="s">
        <v>391</v>
      </c>
      <c r="P20" s="168" t="s">
        <v>359</v>
      </c>
      <c r="Q20" s="186"/>
      <c r="R20" s="187"/>
      <c r="S20" s="187"/>
      <c r="T20" s="187" t="s">
        <v>390</v>
      </c>
      <c r="U20" s="187" t="s">
        <v>390</v>
      </c>
      <c r="V20" s="187" t="s">
        <v>390</v>
      </c>
      <c r="W20" s="187" t="s">
        <v>77</v>
      </c>
      <c r="X20" s="187"/>
      <c r="Y20" s="187"/>
      <c r="Z20" s="187"/>
      <c r="AA20" s="187"/>
      <c r="AB20" s="187"/>
    </row>
    <row r="21" spans="1:28" s="193" customFormat="1" ht="31.95" customHeight="1">
      <c r="A21" s="170">
        <f>SUBTOTAL(3,$B$3:B21)</f>
        <v>19</v>
      </c>
      <c r="B21" s="171" t="s">
        <v>384</v>
      </c>
      <c r="C21" s="171">
        <v>901240105</v>
      </c>
      <c r="D21" s="173" t="s">
        <v>68</v>
      </c>
      <c r="E21" s="173" t="s">
        <v>75</v>
      </c>
      <c r="F21" s="173" t="s">
        <v>151</v>
      </c>
      <c r="G21" s="173" t="s">
        <v>155</v>
      </c>
      <c r="H21" s="171" t="s">
        <v>77</v>
      </c>
      <c r="I21" s="174">
        <v>0.12989999999999999</v>
      </c>
      <c r="J21" s="174">
        <v>0.115</v>
      </c>
      <c r="K21" s="175">
        <v>-1.4899999999999983E-2</v>
      </c>
      <c r="L21" s="176">
        <v>63665782.5</v>
      </c>
      <c r="M21" s="177"/>
      <c r="N21" s="177">
        <v>46124</v>
      </c>
      <c r="O21" s="177" t="s">
        <v>391</v>
      </c>
      <c r="P21" s="178" t="s">
        <v>398</v>
      </c>
      <c r="Q21" s="179"/>
      <c r="R21" s="180"/>
      <c r="S21" s="180"/>
      <c r="T21" s="180" t="s">
        <v>390</v>
      </c>
      <c r="U21" s="180" t="s">
        <v>390</v>
      </c>
      <c r="V21" s="180" t="s">
        <v>390</v>
      </c>
      <c r="W21" s="180" t="s">
        <v>77</v>
      </c>
      <c r="X21" s="180"/>
      <c r="Y21" s="180"/>
      <c r="Z21" s="180"/>
      <c r="AA21" s="180"/>
      <c r="AB21" s="180"/>
    </row>
    <row r="22" spans="1:28" s="193" customFormat="1" ht="31.95" customHeight="1">
      <c r="A22" s="163">
        <f>SUBTOTAL(3,$B$3:B22)</f>
        <v>20</v>
      </c>
      <c r="B22" s="164" t="s">
        <v>384</v>
      </c>
      <c r="C22" s="164">
        <v>901240137</v>
      </c>
      <c r="D22" s="165" t="s">
        <v>3</v>
      </c>
      <c r="E22" s="165" t="s">
        <v>29</v>
      </c>
      <c r="F22" s="165" t="s">
        <v>159</v>
      </c>
      <c r="G22" s="165" t="s">
        <v>163</v>
      </c>
      <c r="H22" s="164" t="s">
        <v>77</v>
      </c>
      <c r="I22" s="166">
        <v>9.5600000000000004E-2</v>
      </c>
      <c r="J22" s="166">
        <v>7.4999999999999997E-2</v>
      </c>
      <c r="K22" s="183">
        <v>-2.0600000000000007E-2</v>
      </c>
      <c r="L22" s="184">
        <v>28950042.5</v>
      </c>
      <c r="M22" s="185"/>
      <c r="N22" s="192">
        <v>46127</v>
      </c>
      <c r="O22" s="192" t="s">
        <v>391</v>
      </c>
      <c r="P22" s="168" t="s">
        <v>398</v>
      </c>
      <c r="Q22" s="186"/>
      <c r="R22" s="187"/>
      <c r="S22" s="187"/>
      <c r="T22" s="187" t="s">
        <v>390</v>
      </c>
      <c r="U22" s="187" t="s">
        <v>390</v>
      </c>
      <c r="V22" s="187" t="s">
        <v>390</v>
      </c>
      <c r="W22" s="187" t="s">
        <v>390</v>
      </c>
      <c r="X22" s="187" t="s">
        <v>77</v>
      </c>
      <c r="Y22" s="187"/>
      <c r="Z22" s="187"/>
      <c r="AA22" s="187"/>
      <c r="AB22" s="187"/>
    </row>
    <row r="23" spans="1:28" s="193" customFormat="1" ht="31.95" customHeight="1">
      <c r="A23" s="170">
        <f>SUBTOTAL(3,$B$3:B23)</f>
        <v>21</v>
      </c>
      <c r="B23" s="171" t="s">
        <v>384</v>
      </c>
      <c r="C23" s="171">
        <v>901250059</v>
      </c>
      <c r="D23" s="173" t="s">
        <v>108</v>
      </c>
      <c r="E23" s="173" t="s">
        <v>103</v>
      </c>
      <c r="F23" s="173" t="s">
        <v>164</v>
      </c>
      <c r="G23" s="173" t="s">
        <v>264</v>
      </c>
      <c r="H23" s="194" t="s">
        <v>78</v>
      </c>
      <c r="I23" s="174">
        <v>0.21099999999999999</v>
      </c>
      <c r="J23" s="174">
        <v>0.30840000000000001</v>
      </c>
      <c r="K23" s="175">
        <v>9.7400000000000014E-2</v>
      </c>
      <c r="L23" s="176">
        <v>58221206.399999999</v>
      </c>
      <c r="M23" s="177"/>
      <c r="N23" s="177">
        <v>46134</v>
      </c>
      <c r="O23" s="177" t="s">
        <v>391</v>
      </c>
      <c r="P23" s="178" t="s">
        <v>398</v>
      </c>
      <c r="Q23" s="179"/>
      <c r="R23" s="180"/>
      <c r="S23" s="180"/>
      <c r="T23" s="180" t="s">
        <v>390</v>
      </c>
      <c r="U23" s="180" t="s">
        <v>390</v>
      </c>
      <c r="V23" s="180" t="s">
        <v>390</v>
      </c>
      <c r="W23" s="180" t="s">
        <v>390</v>
      </c>
      <c r="X23" s="180" t="s">
        <v>77</v>
      </c>
      <c r="Y23" s="180"/>
      <c r="Z23" s="180"/>
      <c r="AA23" s="180"/>
      <c r="AB23" s="180"/>
    </row>
    <row r="24" spans="1:28" s="193" customFormat="1" ht="31.95" customHeight="1">
      <c r="A24" s="163">
        <f>SUBTOTAL(3,$B$3:B24)</f>
        <v>22</v>
      </c>
      <c r="B24" s="164" t="s">
        <v>384</v>
      </c>
      <c r="C24" s="164">
        <v>901250200</v>
      </c>
      <c r="D24" s="165" t="s">
        <v>141</v>
      </c>
      <c r="E24" s="165" t="s">
        <v>145</v>
      </c>
      <c r="F24" s="165" t="s">
        <v>164</v>
      </c>
      <c r="G24" s="165" t="s">
        <v>166</v>
      </c>
      <c r="H24" s="164" t="s">
        <v>77</v>
      </c>
      <c r="I24" s="166">
        <v>4.0000000000000001E-3</v>
      </c>
      <c r="J24" s="166">
        <v>3.2000000000000002E-3</v>
      </c>
      <c r="K24" s="183">
        <v>-7.9999999999999993E-4</v>
      </c>
      <c r="L24" s="184">
        <v>25754250</v>
      </c>
      <c r="M24" s="185"/>
      <c r="N24" s="192">
        <v>46135</v>
      </c>
      <c r="O24" s="192" t="s">
        <v>391</v>
      </c>
      <c r="P24" s="168" t="s">
        <v>398</v>
      </c>
      <c r="Q24" s="186"/>
      <c r="R24" s="187"/>
      <c r="S24" s="187"/>
      <c r="T24" s="187" t="s">
        <v>390</v>
      </c>
      <c r="U24" s="187" t="s">
        <v>390</v>
      </c>
      <c r="V24" s="187" t="s">
        <v>390</v>
      </c>
      <c r="W24" s="187" t="s">
        <v>390</v>
      </c>
      <c r="X24" s="187" t="s">
        <v>77</v>
      </c>
      <c r="Y24" s="187"/>
      <c r="Z24" s="187"/>
      <c r="AA24" s="187"/>
      <c r="AB24" s="187"/>
    </row>
    <row r="25" spans="1:28" s="193" customFormat="1" ht="31.95" customHeight="1">
      <c r="A25" s="170">
        <f>SUBTOTAL(3,$B$3:B25)</f>
        <v>23</v>
      </c>
      <c r="B25" s="171" t="s">
        <v>384</v>
      </c>
      <c r="C25" s="172">
        <v>901230202</v>
      </c>
      <c r="D25" s="173" t="s">
        <v>64</v>
      </c>
      <c r="E25" s="173" t="s">
        <v>13</v>
      </c>
      <c r="F25" s="173" t="s">
        <v>151</v>
      </c>
      <c r="G25" s="173" t="s">
        <v>155</v>
      </c>
      <c r="H25" s="171" t="s">
        <v>78</v>
      </c>
      <c r="I25" s="174">
        <v>0.4249</v>
      </c>
      <c r="J25" s="174">
        <v>0.42520000000000002</v>
      </c>
      <c r="K25" s="175">
        <v>3.0000000000002247E-4</v>
      </c>
      <c r="L25" s="176">
        <v>117213916.06</v>
      </c>
      <c r="M25" s="177"/>
      <c r="N25" s="197">
        <v>46144</v>
      </c>
      <c r="O25" s="197" t="s">
        <v>391</v>
      </c>
      <c r="P25" s="178" t="s">
        <v>398</v>
      </c>
      <c r="Q25" s="179"/>
      <c r="R25" s="180"/>
      <c r="S25" s="180"/>
      <c r="T25" s="180"/>
      <c r="U25" s="180" t="s">
        <v>390</v>
      </c>
      <c r="V25" s="180" t="s">
        <v>390</v>
      </c>
      <c r="W25" s="180" t="s">
        <v>390</v>
      </c>
      <c r="X25" s="180" t="s">
        <v>77</v>
      </c>
      <c r="Y25" s="180"/>
      <c r="Z25" s="180"/>
      <c r="AA25" s="180"/>
      <c r="AB25" s="180"/>
    </row>
    <row r="26" spans="1:28" s="193" customFormat="1" ht="31.95" customHeight="1">
      <c r="A26" s="163">
        <f>SUBTOTAL(3,$B$3:B26)</f>
        <v>24</v>
      </c>
      <c r="B26" s="164" t="s">
        <v>384</v>
      </c>
      <c r="C26" s="164">
        <v>901250206</v>
      </c>
      <c r="D26" s="165" t="s">
        <v>240</v>
      </c>
      <c r="E26" s="165" t="s">
        <v>241</v>
      </c>
      <c r="F26" s="165" t="s">
        <v>266</v>
      </c>
      <c r="G26" s="165" t="s">
        <v>237</v>
      </c>
      <c r="H26" s="164" t="s">
        <v>78</v>
      </c>
      <c r="I26" s="166">
        <v>8.9999999999999998E-4</v>
      </c>
      <c r="J26" s="166">
        <v>4.99E-2</v>
      </c>
      <c r="K26" s="183">
        <v>4.9000000000000002E-2</v>
      </c>
      <c r="L26" s="184">
        <v>30431665.699999999</v>
      </c>
      <c r="M26" s="185"/>
      <c r="N26" s="185">
        <v>46155</v>
      </c>
      <c r="O26" s="185" t="s">
        <v>391</v>
      </c>
      <c r="P26" s="168" t="s">
        <v>398</v>
      </c>
      <c r="Q26" s="186"/>
      <c r="R26" s="187"/>
      <c r="S26" s="187"/>
      <c r="T26" s="187"/>
      <c r="U26" s="187" t="s">
        <v>390</v>
      </c>
      <c r="V26" s="187" t="s">
        <v>390</v>
      </c>
      <c r="W26" s="187" t="s">
        <v>390</v>
      </c>
      <c r="X26" s="187" t="s">
        <v>77</v>
      </c>
      <c r="Y26" s="187"/>
      <c r="Z26" s="187"/>
      <c r="AA26" s="187"/>
      <c r="AB26" s="187"/>
    </row>
    <row r="27" spans="1:28" s="193" customFormat="1" ht="31.95" customHeight="1">
      <c r="A27" s="170">
        <f>SUBTOTAL(3,$B$3:B27)</f>
        <v>25</v>
      </c>
      <c r="B27" s="171" t="s">
        <v>384</v>
      </c>
      <c r="C27" s="171">
        <v>901230145</v>
      </c>
      <c r="D27" s="173" t="s">
        <v>56</v>
      </c>
      <c r="E27" s="173" t="s">
        <v>25</v>
      </c>
      <c r="F27" s="173" t="s">
        <v>266</v>
      </c>
      <c r="G27" s="173" t="s">
        <v>388</v>
      </c>
      <c r="H27" s="171" t="s">
        <v>77</v>
      </c>
      <c r="I27" s="174">
        <v>0.47420000000000001</v>
      </c>
      <c r="J27" s="174">
        <v>0.46439999999999998</v>
      </c>
      <c r="K27" s="175">
        <v>-9.8000000000000309E-3</v>
      </c>
      <c r="L27" s="176">
        <v>56750066.600000001</v>
      </c>
      <c r="M27" s="177"/>
      <c r="N27" s="177">
        <v>46164</v>
      </c>
      <c r="O27" s="177" t="s">
        <v>391</v>
      </c>
      <c r="P27" s="178" t="s">
        <v>398</v>
      </c>
      <c r="Q27" s="179"/>
      <c r="R27" s="180"/>
      <c r="S27" s="180"/>
      <c r="T27" s="180"/>
      <c r="U27" s="180" t="s">
        <v>390</v>
      </c>
      <c r="V27" s="180" t="s">
        <v>390</v>
      </c>
      <c r="W27" s="180" t="s">
        <v>390</v>
      </c>
      <c r="X27" s="180" t="s">
        <v>390</v>
      </c>
      <c r="Y27" s="180" t="s">
        <v>77</v>
      </c>
      <c r="Z27" s="180"/>
      <c r="AA27" s="180"/>
      <c r="AB27" s="180"/>
    </row>
    <row r="28" spans="1:28" s="193" customFormat="1" ht="31.95" customHeight="1">
      <c r="A28" s="163">
        <f>SUBTOTAL(3,$B$3:B28)</f>
        <v>26</v>
      </c>
      <c r="B28" s="164" t="s">
        <v>384</v>
      </c>
      <c r="C28" s="164">
        <v>901250150</v>
      </c>
      <c r="D28" s="165" t="s">
        <v>131</v>
      </c>
      <c r="E28" s="165" t="s">
        <v>132</v>
      </c>
      <c r="F28" s="165" t="s">
        <v>151</v>
      </c>
      <c r="G28" s="165" t="s">
        <v>158</v>
      </c>
      <c r="H28" s="164" t="s">
        <v>78</v>
      </c>
      <c r="I28" s="166">
        <v>1.5699999999999999E-2</v>
      </c>
      <c r="J28" s="166">
        <v>2.4299999999999999E-2</v>
      </c>
      <c r="K28" s="183">
        <v>8.6E-3</v>
      </c>
      <c r="L28" s="184">
        <v>47026323</v>
      </c>
      <c r="M28" s="185"/>
      <c r="N28" s="185">
        <v>46170</v>
      </c>
      <c r="O28" s="185" t="s">
        <v>391</v>
      </c>
      <c r="P28" s="168" t="s">
        <v>398</v>
      </c>
      <c r="Q28" s="186"/>
      <c r="R28" s="187"/>
      <c r="S28" s="187"/>
      <c r="T28" s="187"/>
      <c r="U28" s="187" t="s">
        <v>390</v>
      </c>
      <c r="V28" s="187" t="s">
        <v>390</v>
      </c>
      <c r="W28" s="187" t="s">
        <v>390</v>
      </c>
      <c r="X28" s="187" t="s">
        <v>390</v>
      </c>
      <c r="Y28" s="187" t="s">
        <v>77</v>
      </c>
      <c r="Z28" s="187"/>
      <c r="AA28" s="187"/>
      <c r="AB28" s="187"/>
    </row>
    <row r="29" spans="1:28" s="54" customFormat="1" ht="35.4" customHeight="1">
      <c r="A29" s="170">
        <f>SUBTOTAL(3,$B$3:B29)</f>
        <v>27</v>
      </c>
      <c r="B29" s="171" t="s">
        <v>384</v>
      </c>
      <c r="C29" s="171">
        <v>901250252</v>
      </c>
      <c r="D29" s="173" t="s">
        <v>261</v>
      </c>
      <c r="E29" s="173" t="s">
        <v>260</v>
      </c>
      <c r="F29" s="173" t="s">
        <v>266</v>
      </c>
      <c r="G29" s="173" t="s">
        <v>265</v>
      </c>
      <c r="H29" s="171" t="s">
        <v>78</v>
      </c>
      <c r="I29" s="174">
        <v>0</v>
      </c>
      <c r="J29" s="174">
        <v>3.1800000000000002E-2</v>
      </c>
      <c r="K29" s="175">
        <v>3.1800000000000002E-2</v>
      </c>
      <c r="L29" s="176">
        <v>198873490.5</v>
      </c>
      <c r="M29" s="177"/>
      <c r="N29" s="177">
        <v>46175</v>
      </c>
      <c r="O29" s="177" t="s">
        <v>391</v>
      </c>
      <c r="P29" s="178" t="s">
        <v>398</v>
      </c>
      <c r="Q29" s="179"/>
      <c r="R29" s="180"/>
      <c r="S29" s="180"/>
      <c r="T29" s="180"/>
      <c r="U29" s="180"/>
      <c r="V29" s="180" t="s">
        <v>390</v>
      </c>
      <c r="W29" s="180" t="s">
        <v>390</v>
      </c>
      <c r="X29" s="180" t="s">
        <v>390</v>
      </c>
      <c r="Y29" s="180" t="s">
        <v>77</v>
      </c>
      <c r="Z29" s="180"/>
      <c r="AA29" s="180"/>
      <c r="AB29" s="180"/>
    </row>
    <row r="30" spans="1:28" s="193" customFormat="1" ht="31.95" customHeight="1">
      <c r="A30" s="163">
        <f>SUBTOTAL(3,$B$3:B30)</f>
        <v>28</v>
      </c>
      <c r="B30" s="164" t="s">
        <v>384</v>
      </c>
      <c r="C30" s="164">
        <v>901250290</v>
      </c>
      <c r="D30" s="165" t="s">
        <v>190</v>
      </c>
      <c r="E30" s="165" t="s">
        <v>191</v>
      </c>
      <c r="F30" s="165" t="s">
        <v>151</v>
      </c>
      <c r="G30" s="165" t="s">
        <v>156</v>
      </c>
      <c r="H30" s="164" t="s">
        <v>77</v>
      </c>
      <c r="I30" s="166">
        <v>1.6000000000000001E-3</v>
      </c>
      <c r="J30" s="166">
        <v>0</v>
      </c>
      <c r="K30" s="183">
        <v>-1.6000000000000001E-3</v>
      </c>
      <c r="L30" s="184">
        <v>72449998.849999994</v>
      </c>
      <c r="M30" s="185"/>
      <c r="N30" s="185">
        <v>46186</v>
      </c>
      <c r="O30" s="185" t="s">
        <v>391</v>
      </c>
      <c r="P30" s="168" t="s">
        <v>398</v>
      </c>
      <c r="Q30" s="186"/>
      <c r="R30" s="187"/>
      <c r="S30" s="187"/>
      <c r="T30" s="187"/>
      <c r="U30" s="187"/>
      <c r="V30" s="187" t="s">
        <v>390</v>
      </c>
      <c r="W30" s="187" t="s">
        <v>390</v>
      </c>
      <c r="X30" s="187" t="s">
        <v>390</v>
      </c>
      <c r="Y30" s="187" t="s">
        <v>77</v>
      </c>
      <c r="Z30" s="187"/>
      <c r="AA30" s="187"/>
      <c r="AB30" s="187"/>
    </row>
    <row r="31" spans="1:28" s="54" customFormat="1" ht="31.95" customHeight="1">
      <c r="A31" s="170">
        <f>SUBTOTAL(3,$B$3:B31)</f>
        <v>29</v>
      </c>
      <c r="B31" s="171" t="s">
        <v>384</v>
      </c>
      <c r="C31" s="171">
        <v>901250210</v>
      </c>
      <c r="D31" s="173" t="s">
        <v>133</v>
      </c>
      <c r="E31" s="173" t="s">
        <v>134</v>
      </c>
      <c r="F31" s="173" t="s">
        <v>159</v>
      </c>
      <c r="G31" s="173" t="s">
        <v>159</v>
      </c>
      <c r="H31" s="171" t="s">
        <v>78</v>
      </c>
      <c r="I31" s="174">
        <v>2.5399999999999999E-2</v>
      </c>
      <c r="J31" s="174">
        <v>4.53E-2</v>
      </c>
      <c r="K31" s="175">
        <v>1.9900000000000001E-2</v>
      </c>
      <c r="L31" s="176">
        <v>116757993.5</v>
      </c>
      <c r="M31" s="177"/>
      <c r="N31" s="197">
        <v>46191</v>
      </c>
      <c r="O31" s="197" t="s">
        <v>391</v>
      </c>
      <c r="P31" s="178" t="s">
        <v>398</v>
      </c>
      <c r="Q31" s="179"/>
      <c r="R31" s="180"/>
      <c r="S31" s="180"/>
      <c r="T31" s="180"/>
      <c r="U31" s="180"/>
      <c r="V31" s="180" t="s">
        <v>390</v>
      </c>
      <c r="W31" s="180" t="s">
        <v>390</v>
      </c>
      <c r="X31" s="180" t="s">
        <v>390</v>
      </c>
      <c r="Y31" s="180" t="s">
        <v>390</v>
      </c>
      <c r="Z31" s="180" t="s">
        <v>77</v>
      </c>
      <c r="AA31" s="180"/>
      <c r="AB31" s="180"/>
    </row>
    <row r="32" spans="1:28" s="193" customFormat="1" ht="31.95" customHeight="1">
      <c r="A32" s="163">
        <f>SUBTOTAL(3,$B$3:B32)</f>
        <v>30</v>
      </c>
      <c r="B32" s="164" t="s">
        <v>384</v>
      </c>
      <c r="C32" s="182">
        <v>901250199</v>
      </c>
      <c r="D32" s="165" t="s">
        <v>244</v>
      </c>
      <c r="E32" s="165" t="s">
        <v>241</v>
      </c>
      <c r="F32" s="165" t="s">
        <v>159</v>
      </c>
      <c r="G32" s="165">
        <v>0</v>
      </c>
      <c r="H32" s="164" t="s">
        <v>78</v>
      </c>
      <c r="I32" s="166">
        <v>0</v>
      </c>
      <c r="J32" s="166">
        <v>1.2800000000000001E-2</v>
      </c>
      <c r="K32" s="183">
        <v>1.2800000000000001E-2</v>
      </c>
      <c r="L32" s="184">
        <v>37933893.100000001</v>
      </c>
      <c r="M32" s="185"/>
      <c r="N32" s="185">
        <v>46216</v>
      </c>
      <c r="O32" s="185" t="s">
        <v>391</v>
      </c>
      <c r="P32" s="168" t="s">
        <v>398</v>
      </c>
      <c r="Q32" s="186"/>
      <c r="R32" s="187"/>
      <c r="S32" s="187"/>
      <c r="T32" s="187"/>
      <c r="U32" s="187"/>
      <c r="V32" s="187"/>
      <c r="W32" s="187" t="s">
        <v>390</v>
      </c>
      <c r="X32" s="187" t="s">
        <v>390</v>
      </c>
      <c r="Y32" s="187" t="s">
        <v>390</v>
      </c>
      <c r="Z32" s="187" t="s">
        <v>77</v>
      </c>
      <c r="AA32" s="187"/>
      <c r="AB32" s="187"/>
    </row>
    <row r="33" spans="1:28" s="193" customFormat="1" ht="31.95" customHeight="1">
      <c r="A33" s="170">
        <f>SUBTOTAL(3,$B$3:B33)</f>
        <v>31</v>
      </c>
      <c r="B33" s="171" t="s">
        <v>384</v>
      </c>
      <c r="C33" s="171">
        <v>901250291</v>
      </c>
      <c r="D33" s="173" t="s">
        <v>143</v>
      </c>
      <c r="E33" s="173" t="s">
        <v>147</v>
      </c>
      <c r="F33" s="173" t="s">
        <v>151</v>
      </c>
      <c r="G33" s="173" t="s">
        <v>153</v>
      </c>
      <c r="H33" s="171" t="s">
        <v>78</v>
      </c>
      <c r="I33" s="174">
        <v>6.4999999999999997E-3</v>
      </c>
      <c r="J33" s="174">
        <v>2.5700000000000001E-2</v>
      </c>
      <c r="K33" s="175">
        <v>1.9200000000000002E-2</v>
      </c>
      <c r="L33" s="176">
        <v>82862353</v>
      </c>
      <c r="M33" s="177"/>
      <c r="N33" s="197">
        <v>46223</v>
      </c>
      <c r="O33" s="197" t="s">
        <v>391</v>
      </c>
      <c r="P33" s="178" t="s">
        <v>398</v>
      </c>
      <c r="Q33" s="179"/>
      <c r="R33" s="180"/>
      <c r="S33" s="180"/>
      <c r="T33" s="180"/>
      <c r="U33" s="180"/>
      <c r="V33" s="180"/>
      <c r="W33" s="180" t="s">
        <v>390</v>
      </c>
      <c r="X33" s="180" t="s">
        <v>390</v>
      </c>
      <c r="Y33" s="180" t="s">
        <v>390</v>
      </c>
      <c r="Z33" s="180" t="s">
        <v>390</v>
      </c>
      <c r="AA33" s="180" t="s">
        <v>77</v>
      </c>
      <c r="AB33" s="180"/>
    </row>
    <row r="34" spans="1:28" s="193" customFormat="1" ht="31.95" customHeight="1">
      <c r="A34" s="163">
        <f>SUBTOTAL(3,$B$3:B34)</f>
        <v>32</v>
      </c>
      <c r="B34" s="164" t="s">
        <v>384</v>
      </c>
      <c r="C34" s="164">
        <v>901230173</v>
      </c>
      <c r="D34" s="165" t="s">
        <v>63</v>
      </c>
      <c r="E34" s="165" t="s">
        <v>12</v>
      </c>
      <c r="F34" s="165" t="s">
        <v>151</v>
      </c>
      <c r="G34" s="165" t="s">
        <v>153</v>
      </c>
      <c r="H34" s="164" t="s">
        <v>78</v>
      </c>
      <c r="I34" s="166">
        <v>0.73780000000000001</v>
      </c>
      <c r="J34" s="166">
        <v>0.85499999999999998</v>
      </c>
      <c r="K34" s="183">
        <v>0.11719999999999997</v>
      </c>
      <c r="L34" s="184">
        <v>44275000</v>
      </c>
      <c r="M34" s="185">
        <v>46386</v>
      </c>
      <c r="N34" s="192">
        <v>46226</v>
      </c>
      <c r="O34" s="192" t="s">
        <v>391</v>
      </c>
      <c r="P34" s="168" t="s">
        <v>398</v>
      </c>
      <c r="Q34" s="186"/>
      <c r="R34" s="187"/>
      <c r="S34" s="187"/>
      <c r="T34" s="187"/>
      <c r="U34" s="187"/>
      <c r="V34" s="187"/>
      <c r="W34" s="187" t="s">
        <v>390</v>
      </c>
      <c r="X34" s="187" t="s">
        <v>390</v>
      </c>
      <c r="Y34" s="187" t="s">
        <v>390</v>
      </c>
      <c r="Z34" s="187" t="s">
        <v>390</v>
      </c>
      <c r="AA34" s="187" t="s">
        <v>77</v>
      </c>
      <c r="AB34" s="187"/>
    </row>
    <row r="35" spans="1:28" s="193" customFormat="1" ht="31.95" customHeight="1">
      <c r="A35" s="170">
        <f>SUBTOTAL(3,$B$3:B35)</f>
        <v>33</v>
      </c>
      <c r="B35" s="171" t="s">
        <v>384</v>
      </c>
      <c r="C35" s="171">
        <v>901250253</v>
      </c>
      <c r="D35" s="173" t="s">
        <v>276</v>
      </c>
      <c r="E35" s="173" t="s">
        <v>241</v>
      </c>
      <c r="F35" s="173" t="s">
        <v>266</v>
      </c>
      <c r="G35" s="173">
        <v>0</v>
      </c>
      <c r="H35" s="194" t="s">
        <v>77</v>
      </c>
      <c r="I35" s="174">
        <v>0</v>
      </c>
      <c r="J35" s="174">
        <v>0</v>
      </c>
      <c r="K35" s="175">
        <v>0</v>
      </c>
      <c r="L35" s="176">
        <v>68354965</v>
      </c>
      <c r="M35" s="177"/>
      <c r="N35" s="177">
        <v>46236</v>
      </c>
      <c r="O35" s="177" t="s">
        <v>391</v>
      </c>
      <c r="P35" s="178" t="s">
        <v>398</v>
      </c>
      <c r="Q35" s="179"/>
      <c r="R35" s="180"/>
      <c r="S35" s="180"/>
      <c r="T35" s="180"/>
      <c r="U35" s="180"/>
      <c r="V35" s="180"/>
      <c r="W35" s="180"/>
      <c r="X35" s="180" t="s">
        <v>390</v>
      </c>
      <c r="Y35" s="180" t="s">
        <v>390</v>
      </c>
      <c r="Z35" s="180" t="s">
        <v>390</v>
      </c>
      <c r="AA35" s="180" t="s">
        <v>77</v>
      </c>
      <c r="AB35" s="180"/>
    </row>
    <row r="36" spans="1:28" s="193" customFormat="1" ht="31.95" customHeight="1">
      <c r="A36" s="163">
        <f>SUBTOTAL(3,$B$3:B36)</f>
        <v>34</v>
      </c>
      <c r="B36" s="164" t="s">
        <v>384</v>
      </c>
      <c r="C36" s="164">
        <v>901240355</v>
      </c>
      <c r="D36" s="165" t="s">
        <v>89</v>
      </c>
      <c r="E36" s="165" t="s">
        <v>91</v>
      </c>
      <c r="F36" s="165" t="s">
        <v>164</v>
      </c>
      <c r="G36" s="165" t="s">
        <v>264</v>
      </c>
      <c r="H36" s="164" t="s">
        <v>78</v>
      </c>
      <c r="I36" s="166">
        <v>0.13400000000000001</v>
      </c>
      <c r="J36" s="166">
        <v>0.34189999999999998</v>
      </c>
      <c r="K36" s="183">
        <v>0.20789999999999997</v>
      </c>
      <c r="L36" s="184">
        <v>29649714</v>
      </c>
      <c r="M36" s="185"/>
      <c r="N36" s="185">
        <v>46246</v>
      </c>
      <c r="O36" s="185" t="s">
        <v>391</v>
      </c>
      <c r="P36" s="168" t="s">
        <v>398</v>
      </c>
      <c r="Q36" s="186"/>
      <c r="R36" s="187"/>
      <c r="S36" s="187"/>
      <c r="T36" s="187"/>
      <c r="U36" s="187"/>
      <c r="V36" s="187"/>
      <c r="W36" s="187"/>
      <c r="X36" s="187" t="s">
        <v>390</v>
      </c>
      <c r="Y36" s="187" t="s">
        <v>390</v>
      </c>
      <c r="Z36" s="187" t="s">
        <v>390</v>
      </c>
      <c r="AA36" s="187" t="s">
        <v>77</v>
      </c>
      <c r="AB36" s="187"/>
    </row>
    <row r="37" spans="1:28" s="54" customFormat="1" ht="31.95" customHeight="1">
      <c r="A37" s="170">
        <f>SUBTOTAL(3,$B$3:B37)</f>
        <v>35</v>
      </c>
      <c r="B37" s="171" t="s">
        <v>384</v>
      </c>
      <c r="C37" s="171">
        <v>901250300</v>
      </c>
      <c r="D37" s="173" t="s">
        <v>170</v>
      </c>
      <c r="E37" s="173" t="s">
        <v>171</v>
      </c>
      <c r="F37" s="173" t="s">
        <v>266</v>
      </c>
      <c r="G37" s="173" t="s">
        <v>269</v>
      </c>
      <c r="H37" s="171" t="s">
        <v>78</v>
      </c>
      <c r="I37" s="174">
        <v>2.0000000000000001E-4</v>
      </c>
      <c r="J37" s="174">
        <v>2.8500000000000001E-2</v>
      </c>
      <c r="K37" s="175">
        <v>2.8300000000000002E-2</v>
      </c>
      <c r="L37" s="176">
        <v>342205500</v>
      </c>
      <c r="M37" s="177"/>
      <c r="N37" s="177">
        <v>46246</v>
      </c>
      <c r="O37" s="177" t="s">
        <v>391</v>
      </c>
      <c r="P37" s="178" t="s">
        <v>398</v>
      </c>
      <c r="Q37" s="179"/>
      <c r="R37" s="180"/>
      <c r="S37" s="180"/>
      <c r="T37" s="180"/>
      <c r="U37" s="180"/>
      <c r="V37" s="180"/>
      <c r="W37" s="180"/>
      <c r="X37" s="180" t="s">
        <v>390</v>
      </c>
      <c r="Y37" s="180" t="s">
        <v>390</v>
      </c>
      <c r="Z37" s="180" t="s">
        <v>390</v>
      </c>
      <c r="AA37" s="180" t="s">
        <v>77</v>
      </c>
      <c r="AB37" s="180"/>
    </row>
    <row r="38" spans="1:28" s="193" customFormat="1" ht="31.95" customHeight="1">
      <c r="A38" s="163">
        <f>SUBTOTAL(3,$B$3:B38)</f>
        <v>36</v>
      </c>
      <c r="B38" s="164" t="s">
        <v>384</v>
      </c>
      <c r="C38" s="164">
        <v>901250341</v>
      </c>
      <c r="D38" s="165" t="s">
        <v>271</v>
      </c>
      <c r="E38" s="165" t="s">
        <v>273</v>
      </c>
      <c r="F38" s="165" t="s">
        <v>266</v>
      </c>
      <c r="G38" s="165">
        <v>0</v>
      </c>
      <c r="H38" s="164" t="s">
        <v>77</v>
      </c>
      <c r="I38" s="166">
        <v>0</v>
      </c>
      <c r="J38" s="166">
        <v>0</v>
      </c>
      <c r="K38" s="183">
        <v>0</v>
      </c>
      <c r="L38" s="184">
        <v>21801222.75</v>
      </c>
      <c r="M38" s="185"/>
      <c r="N38" s="185">
        <v>46270</v>
      </c>
      <c r="O38" s="185" t="s">
        <v>391</v>
      </c>
      <c r="P38" s="168" t="s">
        <v>398</v>
      </c>
      <c r="Q38" s="186"/>
      <c r="R38" s="187"/>
      <c r="S38" s="187"/>
      <c r="T38" s="187"/>
      <c r="U38" s="187"/>
      <c r="V38" s="187"/>
      <c r="W38" s="187"/>
      <c r="X38" s="187"/>
      <c r="Y38" s="187" t="s">
        <v>390</v>
      </c>
      <c r="Z38" s="187" t="s">
        <v>390</v>
      </c>
      <c r="AA38" s="187" t="s">
        <v>390</v>
      </c>
      <c r="AB38" s="187" t="s">
        <v>77</v>
      </c>
    </row>
    <row r="39" spans="1:28" ht="31.95" customHeight="1">
      <c r="A39" s="170">
        <f>SUBTOTAL(3,$B$3:B39)</f>
        <v>37</v>
      </c>
      <c r="B39" s="171" t="s">
        <v>384</v>
      </c>
      <c r="C39" s="172">
        <v>901250191</v>
      </c>
      <c r="D39" s="173" t="s">
        <v>142</v>
      </c>
      <c r="E39" s="173" t="s">
        <v>146</v>
      </c>
      <c r="F39" s="173" t="s">
        <v>164</v>
      </c>
      <c r="G39" s="173" t="s">
        <v>237</v>
      </c>
      <c r="H39" s="171" t="s">
        <v>78</v>
      </c>
      <c r="I39" s="174">
        <v>2.5999999999999999E-3</v>
      </c>
      <c r="J39" s="174">
        <v>2.5999999999999999E-2</v>
      </c>
      <c r="K39" s="175">
        <v>2.3399999999999997E-2</v>
      </c>
      <c r="L39" s="176">
        <v>43412500</v>
      </c>
      <c r="M39" s="177"/>
      <c r="N39" s="177">
        <v>46279</v>
      </c>
      <c r="O39" s="177" t="s">
        <v>391</v>
      </c>
      <c r="P39" s="178" t="s">
        <v>398</v>
      </c>
      <c r="Q39" s="179"/>
      <c r="R39" s="180"/>
      <c r="S39" s="180"/>
      <c r="T39" s="180"/>
      <c r="U39" s="180"/>
      <c r="V39" s="180"/>
      <c r="W39" s="180"/>
      <c r="X39" s="180"/>
      <c r="Y39" s="180" t="s">
        <v>390</v>
      </c>
      <c r="Z39" s="180" t="s">
        <v>390</v>
      </c>
      <c r="AA39" s="180" t="s">
        <v>390</v>
      </c>
      <c r="AB39" s="180" t="s">
        <v>77</v>
      </c>
    </row>
    <row r="40" spans="1:28" s="188" customFormat="1" ht="31.95" customHeight="1">
      <c r="A40" s="163">
        <f>SUBTOTAL(3,$B$3:B40)</f>
        <v>38</v>
      </c>
      <c r="B40" s="164" t="s">
        <v>384</v>
      </c>
      <c r="C40" s="164">
        <v>901240102</v>
      </c>
      <c r="D40" s="165" t="s">
        <v>69</v>
      </c>
      <c r="E40" s="165" t="s">
        <v>15</v>
      </c>
      <c r="F40" s="165" t="s">
        <v>151</v>
      </c>
      <c r="G40" s="165" t="s">
        <v>153</v>
      </c>
      <c r="H40" s="165" t="s">
        <v>100</v>
      </c>
      <c r="I40" s="166">
        <v>0.31940000000000002</v>
      </c>
      <c r="J40" s="166">
        <v>8.8099999999999998E-2</v>
      </c>
      <c r="K40" s="183">
        <v>-0.23130000000000001</v>
      </c>
      <c r="L40" s="184">
        <v>18565680.5</v>
      </c>
      <c r="M40" s="210"/>
      <c r="N40" s="167" t="s">
        <v>169</v>
      </c>
      <c r="O40" s="192" t="s">
        <v>391</v>
      </c>
      <c r="P40" s="168" t="s">
        <v>398</v>
      </c>
      <c r="Q40" s="180" t="s">
        <v>390</v>
      </c>
      <c r="R40" s="180" t="s">
        <v>390</v>
      </c>
      <c r="S40" s="180" t="s">
        <v>390</v>
      </c>
      <c r="T40" s="180" t="s">
        <v>390</v>
      </c>
      <c r="U40" s="187" t="s">
        <v>77</v>
      </c>
      <c r="V40" s="187"/>
      <c r="W40" s="187"/>
      <c r="X40" s="187"/>
      <c r="Y40" s="187"/>
      <c r="Z40" s="187"/>
      <c r="AA40" s="187"/>
      <c r="AB40" s="187"/>
    </row>
    <row r="41" spans="1:28" ht="31.95" customHeight="1">
      <c r="A41" s="170">
        <f>SUBTOTAL(3,$B$3:B41)</f>
        <v>39</v>
      </c>
      <c r="B41" s="171" t="s">
        <v>384</v>
      </c>
      <c r="C41" s="172">
        <v>901230176</v>
      </c>
      <c r="D41" s="173" t="s">
        <v>65</v>
      </c>
      <c r="E41" s="173" t="s">
        <v>14</v>
      </c>
      <c r="F41" s="173" t="s">
        <v>151</v>
      </c>
      <c r="G41" s="173" t="s">
        <v>156</v>
      </c>
      <c r="H41" s="171" t="s">
        <v>85</v>
      </c>
      <c r="I41" s="174">
        <v>0.79879999999999995</v>
      </c>
      <c r="J41" s="174">
        <v>0.47810000000000002</v>
      </c>
      <c r="K41" s="175">
        <v>-0.32069999999999993</v>
      </c>
      <c r="L41" s="176">
        <v>37841428.420000002</v>
      </c>
      <c r="M41" s="177">
        <v>46386</v>
      </c>
      <c r="N41" s="177" t="s">
        <v>169</v>
      </c>
      <c r="O41" s="177" t="s">
        <v>391</v>
      </c>
      <c r="P41" s="178" t="s">
        <v>396</v>
      </c>
      <c r="Q41" s="180" t="s">
        <v>390</v>
      </c>
      <c r="R41" s="180" t="s">
        <v>77</v>
      </c>
      <c r="S41" s="180"/>
      <c r="T41" s="180"/>
      <c r="U41" s="180"/>
      <c r="V41" s="180"/>
      <c r="W41" s="180"/>
      <c r="X41" s="180"/>
      <c r="Y41" s="180"/>
      <c r="Z41" s="180"/>
      <c r="AA41" s="180"/>
      <c r="AB41" s="180"/>
    </row>
    <row r="42" spans="1:28" s="188" customFormat="1" ht="31.95" customHeight="1">
      <c r="A42" s="181">
        <f>SUBTOTAL(3,$B$3:B42)</f>
        <v>40</v>
      </c>
      <c r="B42" s="182" t="s">
        <v>384</v>
      </c>
      <c r="C42" s="164">
        <v>901240075</v>
      </c>
      <c r="D42" s="165" t="s">
        <v>54</v>
      </c>
      <c r="E42" s="165" t="s">
        <v>29</v>
      </c>
      <c r="F42" s="165" t="s">
        <v>159</v>
      </c>
      <c r="G42" s="165" t="s">
        <v>162</v>
      </c>
      <c r="H42" s="164" t="s">
        <v>100</v>
      </c>
      <c r="I42" s="166">
        <v>0.37709999999999999</v>
      </c>
      <c r="J42" s="166">
        <v>0.1283</v>
      </c>
      <c r="K42" s="183">
        <v>-0.24879999999999999</v>
      </c>
      <c r="L42" s="184">
        <v>44879296.770000003</v>
      </c>
      <c r="M42" s="185"/>
      <c r="N42" s="185" t="s">
        <v>169</v>
      </c>
      <c r="O42" s="185" t="s">
        <v>391</v>
      </c>
      <c r="P42" s="168" t="s">
        <v>398</v>
      </c>
      <c r="Q42" s="180" t="s">
        <v>390</v>
      </c>
      <c r="R42" s="180" t="s">
        <v>390</v>
      </c>
      <c r="S42" s="180" t="s">
        <v>390</v>
      </c>
      <c r="T42" s="180" t="s">
        <v>390</v>
      </c>
      <c r="U42" s="187" t="s">
        <v>77</v>
      </c>
      <c r="V42" s="187"/>
      <c r="W42" s="187"/>
      <c r="X42" s="187"/>
      <c r="Y42" s="187"/>
      <c r="Z42" s="187"/>
      <c r="AA42" s="187"/>
      <c r="AB42" s="187"/>
    </row>
    <row r="43" spans="1:28" s="188" customFormat="1" ht="31.95" customHeight="1">
      <c r="A43" s="170">
        <f>SUBTOTAL(3,$B$3:B43)</f>
        <v>41</v>
      </c>
      <c r="B43" s="171" t="s">
        <v>384</v>
      </c>
      <c r="C43" s="171">
        <v>901240141</v>
      </c>
      <c r="D43" s="173" t="s">
        <v>67</v>
      </c>
      <c r="E43" s="173" t="s">
        <v>17</v>
      </c>
      <c r="F43" s="173" t="s">
        <v>151</v>
      </c>
      <c r="G43" s="173" t="s">
        <v>152</v>
      </c>
      <c r="H43" s="189" t="s">
        <v>100</v>
      </c>
      <c r="I43" s="190">
        <v>0.62549999999999994</v>
      </c>
      <c r="J43" s="190">
        <v>0.46100000000000002</v>
      </c>
      <c r="K43" s="175">
        <v>-0.16449999999999992</v>
      </c>
      <c r="L43" s="176">
        <v>29852058.109999999</v>
      </c>
      <c r="M43" s="177">
        <v>46386</v>
      </c>
      <c r="N43" s="177" t="s">
        <v>169</v>
      </c>
      <c r="O43" s="177" t="s">
        <v>391</v>
      </c>
      <c r="P43" s="178" t="s">
        <v>398</v>
      </c>
      <c r="Q43" s="180" t="s">
        <v>390</v>
      </c>
      <c r="R43" s="180" t="s">
        <v>390</v>
      </c>
      <c r="S43" s="180" t="s">
        <v>390</v>
      </c>
      <c r="T43" s="180" t="s">
        <v>390</v>
      </c>
      <c r="U43" s="180" t="s">
        <v>77</v>
      </c>
      <c r="V43" s="180"/>
      <c r="W43" s="180"/>
      <c r="X43" s="180"/>
      <c r="Y43" s="180"/>
      <c r="Z43" s="180"/>
      <c r="AA43" s="180"/>
      <c r="AB43" s="180"/>
    </row>
    <row r="44" spans="1:28" s="188" customFormat="1" ht="31.95" customHeight="1">
      <c r="A44" s="163">
        <f>SUBTOTAL(3,$B$3:B44)</f>
        <v>42</v>
      </c>
      <c r="B44" s="164" t="s">
        <v>384</v>
      </c>
      <c r="C44" s="164">
        <v>901240090</v>
      </c>
      <c r="D44" s="165" t="s">
        <v>59</v>
      </c>
      <c r="E44" s="165" t="s">
        <v>32</v>
      </c>
      <c r="F44" s="165" t="s">
        <v>159</v>
      </c>
      <c r="G44" s="165" t="s">
        <v>165</v>
      </c>
      <c r="H44" s="164" t="s">
        <v>100</v>
      </c>
      <c r="I44" s="166">
        <v>0.28599999999999998</v>
      </c>
      <c r="J44" s="166">
        <v>6.2E-2</v>
      </c>
      <c r="K44" s="183">
        <v>-0.22399999999999998</v>
      </c>
      <c r="L44" s="184">
        <v>24830133</v>
      </c>
      <c r="M44" s="185"/>
      <c r="N44" s="185" t="s">
        <v>169</v>
      </c>
      <c r="O44" s="185" t="s">
        <v>391</v>
      </c>
      <c r="P44" s="168" t="s">
        <v>358</v>
      </c>
      <c r="Q44" s="180" t="s">
        <v>390</v>
      </c>
      <c r="R44" s="180" t="s">
        <v>77</v>
      </c>
      <c r="S44" s="187"/>
      <c r="T44" s="187"/>
      <c r="U44" s="187"/>
      <c r="V44" s="187"/>
      <c r="W44" s="187"/>
      <c r="X44" s="187"/>
      <c r="Y44" s="187"/>
      <c r="Z44" s="187"/>
      <c r="AA44" s="187"/>
      <c r="AB44" s="187"/>
    </row>
    <row r="45" spans="1:28" ht="31.95" customHeight="1">
      <c r="A45" s="170">
        <f>SUBTOTAL(3,$B$3:B45)</f>
        <v>43</v>
      </c>
      <c r="B45" s="171" t="s">
        <v>384</v>
      </c>
      <c r="C45" s="171">
        <v>901230253</v>
      </c>
      <c r="D45" s="173" t="s">
        <v>55</v>
      </c>
      <c r="E45" s="173" t="s">
        <v>24</v>
      </c>
      <c r="F45" s="173" t="s">
        <v>164</v>
      </c>
      <c r="G45" s="173" t="s">
        <v>165</v>
      </c>
      <c r="H45" s="171" t="s">
        <v>100</v>
      </c>
      <c r="I45" s="190">
        <v>0.39679999999999999</v>
      </c>
      <c r="J45" s="190">
        <v>0.16869999999999999</v>
      </c>
      <c r="K45" s="175">
        <v>-0.2281</v>
      </c>
      <c r="L45" s="176">
        <v>26810392.75</v>
      </c>
      <c r="M45" s="177"/>
      <c r="N45" s="177" t="s">
        <v>169</v>
      </c>
      <c r="O45" s="177" t="s">
        <v>391</v>
      </c>
      <c r="P45" s="178" t="s">
        <v>398</v>
      </c>
      <c r="Q45" s="180" t="s">
        <v>390</v>
      </c>
      <c r="R45" s="180" t="s">
        <v>390</v>
      </c>
      <c r="S45" s="180" t="s">
        <v>390</v>
      </c>
      <c r="T45" s="180" t="s">
        <v>390</v>
      </c>
      <c r="U45" s="180" t="s">
        <v>77</v>
      </c>
      <c r="V45" s="180"/>
      <c r="W45" s="180"/>
      <c r="X45" s="180"/>
      <c r="Y45" s="180"/>
      <c r="Z45" s="180"/>
      <c r="AA45" s="180"/>
      <c r="AB45" s="180"/>
    </row>
    <row r="46" spans="1:28" s="188" customFormat="1" ht="31.95" customHeight="1">
      <c r="A46" s="163">
        <f>SUBTOTAL(3,$B$3:B46)</f>
        <v>44</v>
      </c>
      <c r="B46" s="164" t="s">
        <v>384</v>
      </c>
      <c r="C46" s="164">
        <v>901240091</v>
      </c>
      <c r="D46" s="165" t="s">
        <v>138</v>
      </c>
      <c r="E46" s="165" t="s">
        <v>74</v>
      </c>
      <c r="F46" s="165" t="s">
        <v>164</v>
      </c>
      <c r="G46" s="165" t="s">
        <v>264</v>
      </c>
      <c r="H46" s="191" t="s">
        <v>100</v>
      </c>
      <c r="I46" s="166">
        <v>0.53420000000000001</v>
      </c>
      <c r="J46" s="166">
        <v>0.3251</v>
      </c>
      <c r="K46" s="183">
        <v>-0.20910000000000001</v>
      </c>
      <c r="L46" s="184">
        <v>22679520.300000001</v>
      </c>
      <c r="M46" s="185"/>
      <c r="N46" s="185" t="s">
        <v>169</v>
      </c>
      <c r="O46" s="185" t="s">
        <v>391</v>
      </c>
      <c r="P46" s="168" t="s">
        <v>359</v>
      </c>
      <c r="Q46" s="180" t="s">
        <v>390</v>
      </c>
      <c r="R46" s="180" t="s">
        <v>390</v>
      </c>
      <c r="S46" s="180" t="s">
        <v>390</v>
      </c>
      <c r="T46" s="180" t="s">
        <v>390</v>
      </c>
      <c r="U46" s="187" t="s">
        <v>77</v>
      </c>
      <c r="V46" s="187"/>
      <c r="W46" s="187"/>
      <c r="X46" s="187"/>
      <c r="Y46" s="187"/>
      <c r="Z46" s="187"/>
      <c r="AA46" s="187"/>
      <c r="AB46" s="187"/>
    </row>
    <row r="47" spans="1:28" ht="31.95" customHeight="1">
      <c r="A47" s="170">
        <f>SUBTOTAL(3,$B$3:B47)</f>
        <v>45</v>
      </c>
      <c r="B47" s="171" t="s">
        <v>384</v>
      </c>
      <c r="C47" s="171">
        <v>901240373</v>
      </c>
      <c r="D47" s="173" t="s">
        <v>86</v>
      </c>
      <c r="E47" s="173" t="s">
        <v>90</v>
      </c>
      <c r="F47" s="173" t="s">
        <v>151</v>
      </c>
      <c r="G47" s="173" t="s">
        <v>156</v>
      </c>
      <c r="H47" s="171" t="s">
        <v>100</v>
      </c>
      <c r="I47" s="174">
        <v>0.63929999999999998</v>
      </c>
      <c r="J47" s="174">
        <v>0.48</v>
      </c>
      <c r="K47" s="175">
        <v>-0.1593</v>
      </c>
      <c r="L47" s="176">
        <v>18952123.02</v>
      </c>
      <c r="M47" s="177">
        <v>46325</v>
      </c>
      <c r="N47" s="177" t="s">
        <v>169</v>
      </c>
      <c r="O47" s="177" t="s">
        <v>391</v>
      </c>
      <c r="P47" s="178" t="s">
        <v>359</v>
      </c>
      <c r="Q47" s="180" t="s">
        <v>390</v>
      </c>
      <c r="R47" s="180" t="s">
        <v>390</v>
      </c>
      <c r="S47" s="180" t="s">
        <v>390</v>
      </c>
      <c r="T47" s="180" t="s">
        <v>390</v>
      </c>
      <c r="U47" s="180" t="s">
        <v>77</v>
      </c>
      <c r="V47" s="180"/>
      <c r="W47" s="180"/>
      <c r="X47" s="180"/>
      <c r="Y47" s="180"/>
      <c r="Z47" s="180"/>
      <c r="AA47" s="180"/>
      <c r="AB47" s="180"/>
    </row>
    <row r="48" spans="1:28" s="188" customFormat="1" ht="31.95" customHeight="1">
      <c r="A48" s="163">
        <f>SUBTOTAL(3,$B$3:B48)</f>
        <v>46</v>
      </c>
      <c r="B48" s="164" t="s">
        <v>384</v>
      </c>
      <c r="C48" s="164">
        <v>901240327</v>
      </c>
      <c r="D48" s="165" t="s">
        <v>106</v>
      </c>
      <c r="E48" s="165" t="s">
        <v>102</v>
      </c>
      <c r="F48" s="165" t="s">
        <v>159</v>
      </c>
      <c r="G48" s="165" t="s">
        <v>162</v>
      </c>
      <c r="H48" s="164" t="s">
        <v>100</v>
      </c>
      <c r="I48" s="166">
        <v>0.2268</v>
      </c>
      <c r="J48" s="166">
        <v>6.5500000000000003E-2</v>
      </c>
      <c r="K48" s="183">
        <v>-0.1613</v>
      </c>
      <c r="L48" s="184">
        <v>15456482.43</v>
      </c>
      <c r="M48" s="185"/>
      <c r="N48" s="185" t="s">
        <v>169</v>
      </c>
      <c r="O48" s="185" t="s">
        <v>391</v>
      </c>
      <c r="P48" s="168" t="s">
        <v>398</v>
      </c>
      <c r="Q48" s="180" t="s">
        <v>390</v>
      </c>
      <c r="R48" s="180" t="s">
        <v>390</v>
      </c>
      <c r="S48" s="180" t="s">
        <v>390</v>
      </c>
      <c r="T48" s="180" t="s">
        <v>390</v>
      </c>
      <c r="U48" s="187" t="s">
        <v>77</v>
      </c>
      <c r="V48" s="187"/>
      <c r="W48" s="187"/>
      <c r="X48" s="187"/>
      <c r="Y48" s="187"/>
      <c r="Z48" s="187"/>
      <c r="AA48" s="187"/>
      <c r="AB48" s="187"/>
    </row>
    <row r="49" spans="1:28" s="188" customFormat="1" ht="31.95" customHeight="1">
      <c r="A49" s="170">
        <f>SUBTOTAL(3,$B$3:B49)</f>
        <v>47</v>
      </c>
      <c r="B49" s="171" t="s">
        <v>384</v>
      </c>
      <c r="C49" s="171">
        <v>901240282</v>
      </c>
      <c r="D49" s="173" t="s">
        <v>87</v>
      </c>
      <c r="E49" s="173" t="s">
        <v>118</v>
      </c>
      <c r="F49" s="173" t="s">
        <v>159</v>
      </c>
      <c r="G49" s="173" t="s">
        <v>161</v>
      </c>
      <c r="H49" s="171" t="s">
        <v>100</v>
      </c>
      <c r="I49" s="174">
        <v>0.19320000000000001</v>
      </c>
      <c r="J49" s="174">
        <v>3.1699999999999999E-2</v>
      </c>
      <c r="K49" s="175">
        <v>-0.1615</v>
      </c>
      <c r="L49" s="176">
        <v>26590012.5</v>
      </c>
      <c r="M49" s="177"/>
      <c r="N49" s="177" t="s">
        <v>169</v>
      </c>
      <c r="O49" s="177" t="s">
        <v>391</v>
      </c>
      <c r="P49" s="178" t="s">
        <v>397</v>
      </c>
      <c r="Q49" s="180" t="s">
        <v>390</v>
      </c>
      <c r="R49" s="180" t="s">
        <v>77</v>
      </c>
      <c r="S49" s="180"/>
      <c r="T49" s="180"/>
      <c r="U49" s="180"/>
      <c r="V49" s="180"/>
      <c r="W49" s="180"/>
      <c r="X49" s="180"/>
      <c r="Y49" s="180"/>
      <c r="Z49" s="180"/>
      <c r="AA49" s="180"/>
      <c r="AB49" s="180"/>
    </row>
    <row r="50" spans="1:28" s="188" customFormat="1" ht="31.95" customHeight="1">
      <c r="A50" s="163">
        <v>48</v>
      </c>
      <c r="B50" s="164" t="s">
        <v>469</v>
      </c>
      <c r="C50" s="164">
        <v>601230121</v>
      </c>
      <c r="D50" s="165" t="s">
        <v>493</v>
      </c>
      <c r="E50" s="165" t="s">
        <v>494</v>
      </c>
      <c r="F50" s="165" t="s">
        <v>476</v>
      </c>
      <c r="G50" s="165" t="s">
        <v>476</v>
      </c>
      <c r="H50" s="164" t="s">
        <v>77</v>
      </c>
      <c r="I50" s="166">
        <v>1</v>
      </c>
      <c r="J50" s="166">
        <v>0.96009999999999995</v>
      </c>
      <c r="K50" s="183">
        <v>-3.9900000000000047E-2</v>
      </c>
      <c r="L50" s="184">
        <v>38272630.090000004</v>
      </c>
      <c r="M50" s="185">
        <v>45992</v>
      </c>
      <c r="N50" s="185" t="s">
        <v>169</v>
      </c>
      <c r="O50" s="185" t="s">
        <v>169</v>
      </c>
      <c r="P50" s="168"/>
      <c r="Q50" s="199"/>
      <c r="R50" s="199"/>
      <c r="S50" s="199"/>
      <c r="T50" s="199"/>
      <c r="U50" s="329" t="s">
        <v>385</v>
      </c>
      <c r="V50" s="199"/>
      <c r="W50" s="199"/>
      <c r="X50" s="199"/>
      <c r="Y50" s="199"/>
      <c r="Z50" s="199"/>
      <c r="AA50" s="199"/>
      <c r="AB50" s="199"/>
    </row>
    <row r="51" spans="1:28" s="188" customFormat="1" ht="31.95" customHeight="1">
      <c r="A51" s="170">
        <v>49</v>
      </c>
      <c r="B51" s="171" t="s">
        <v>469</v>
      </c>
      <c r="C51" s="171">
        <v>601240010</v>
      </c>
      <c r="D51" s="173" t="s">
        <v>495</v>
      </c>
      <c r="E51" s="173" t="s">
        <v>496</v>
      </c>
      <c r="F51" s="173" t="s">
        <v>476</v>
      </c>
      <c r="G51" s="173" t="s">
        <v>492</v>
      </c>
      <c r="H51" s="171" t="s">
        <v>100</v>
      </c>
      <c r="I51" s="174">
        <v>1</v>
      </c>
      <c r="J51" s="174">
        <v>0.85319999999999996</v>
      </c>
      <c r="K51" s="175">
        <v>-0.14680000000000004</v>
      </c>
      <c r="L51" s="176">
        <v>5454823.9699999997</v>
      </c>
      <c r="M51" s="177">
        <v>45982</v>
      </c>
      <c r="N51" s="177" t="s">
        <v>169</v>
      </c>
      <c r="O51" s="177" t="s">
        <v>391</v>
      </c>
      <c r="P51" s="178"/>
      <c r="Q51" s="169" t="s">
        <v>390</v>
      </c>
      <c r="R51" s="169" t="s">
        <v>390</v>
      </c>
      <c r="S51" s="329" t="s">
        <v>385</v>
      </c>
      <c r="T51" s="169"/>
      <c r="U51" s="169"/>
      <c r="V51" s="169"/>
      <c r="W51" s="169"/>
      <c r="X51" s="169"/>
      <c r="Y51" s="169"/>
      <c r="Z51" s="169"/>
      <c r="AA51" s="169"/>
      <c r="AB51" s="169"/>
    </row>
    <row r="52" spans="1:28" s="188" customFormat="1" ht="31.95" customHeight="1">
      <c r="A52" s="330">
        <v>50</v>
      </c>
      <c r="B52" s="331" t="s">
        <v>469</v>
      </c>
      <c r="C52" s="331">
        <v>601240064</v>
      </c>
      <c r="D52" s="332" t="s">
        <v>497</v>
      </c>
      <c r="E52" s="332" t="s">
        <v>475</v>
      </c>
      <c r="F52" s="332" t="s">
        <v>476</v>
      </c>
      <c r="G52" s="332" t="s">
        <v>498</v>
      </c>
      <c r="H52" s="331" t="s">
        <v>78</v>
      </c>
      <c r="I52" s="333">
        <v>0.38240000000000002</v>
      </c>
      <c r="J52" s="333">
        <v>0.38519999999999999</v>
      </c>
      <c r="K52" s="334">
        <v>2.7999999999999692E-3</v>
      </c>
      <c r="L52" s="335">
        <v>39499050</v>
      </c>
      <c r="M52" s="336">
        <v>46561</v>
      </c>
      <c r="N52" s="336">
        <v>46561</v>
      </c>
      <c r="O52" s="336" t="s">
        <v>391</v>
      </c>
      <c r="P52" s="337"/>
      <c r="Q52" s="199"/>
      <c r="R52" s="199"/>
      <c r="S52" s="199"/>
      <c r="T52" s="199"/>
      <c r="U52" s="199"/>
      <c r="V52" s="169" t="s">
        <v>390</v>
      </c>
      <c r="W52" s="169" t="s">
        <v>390</v>
      </c>
      <c r="X52" s="169" t="s">
        <v>390</v>
      </c>
      <c r="Y52" s="169" t="s">
        <v>390</v>
      </c>
      <c r="Z52" s="338" t="s">
        <v>77</v>
      </c>
      <c r="AA52" s="199"/>
      <c r="AB52" s="199"/>
    </row>
    <row r="53" spans="1:28" s="188" customFormat="1" ht="31.95" customHeight="1">
      <c r="A53" s="170">
        <v>51</v>
      </c>
      <c r="B53" s="171" t="s">
        <v>469</v>
      </c>
      <c r="C53" s="171">
        <v>601240087</v>
      </c>
      <c r="D53" s="173" t="s">
        <v>499</v>
      </c>
      <c r="E53" s="173" t="s">
        <v>500</v>
      </c>
      <c r="F53" s="173" t="s">
        <v>470</v>
      </c>
      <c r="G53" s="173" t="s">
        <v>501</v>
      </c>
      <c r="H53" s="171" t="s">
        <v>78</v>
      </c>
      <c r="I53" s="174">
        <v>0.75849999999999995</v>
      </c>
      <c r="J53" s="174">
        <v>0.77480000000000004</v>
      </c>
      <c r="K53" s="175">
        <v>1.6300000000000092E-2</v>
      </c>
      <c r="L53" s="176">
        <v>33143976.199999999</v>
      </c>
      <c r="M53" s="177">
        <v>46082</v>
      </c>
      <c r="N53" s="177">
        <v>46046</v>
      </c>
      <c r="O53" s="177" t="s">
        <v>391</v>
      </c>
      <c r="P53" s="178"/>
      <c r="Q53" s="169" t="s">
        <v>390</v>
      </c>
      <c r="R53" s="169" t="s">
        <v>390</v>
      </c>
      <c r="S53" s="169" t="s">
        <v>390</v>
      </c>
      <c r="T53" s="169" t="s">
        <v>390</v>
      </c>
      <c r="U53" s="329" t="s">
        <v>385</v>
      </c>
      <c r="V53" s="169"/>
      <c r="W53" s="169"/>
      <c r="X53" s="169"/>
      <c r="Y53" s="169"/>
      <c r="Z53" s="169"/>
      <c r="AA53" s="169"/>
      <c r="AB53" s="169"/>
    </row>
    <row r="54" spans="1:28" s="188" customFormat="1" ht="31.95" customHeight="1">
      <c r="A54" s="330">
        <v>52</v>
      </c>
      <c r="B54" s="331" t="s">
        <v>469</v>
      </c>
      <c r="C54" s="331">
        <v>601240116</v>
      </c>
      <c r="D54" s="332" t="s">
        <v>488</v>
      </c>
      <c r="E54" s="332" t="s">
        <v>489</v>
      </c>
      <c r="F54" s="332" t="s">
        <v>476</v>
      </c>
      <c r="G54" s="332" t="s">
        <v>479</v>
      </c>
      <c r="H54" s="331" t="s">
        <v>77</v>
      </c>
      <c r="I54" s="333">
        <v>0.3216</v>
      </c>
      <c r="J54" s="333">
        <v>0.3196</v>
      </c>
      <c r="K54" s="334">
        <v>-2.0000000000000018E-3</v>
      </c>
      <c r="L54" s="335">
        <v>10847290</v>
      </c>
      <c r="M54" s="336">
        <v>46373</v>
      </c>
      <c r="N54" s="336">
        <v>46215</v>
      </c>
      <c r="O54" s="336" t="s">
        <v>391</v>
      </c>
      <c r="P54" s="337"/>
      <c r="Q54" s="199"/>
      <c r="R54" s="199"/>
      <c r="S54" s="199"/>
      <c r="T54" s="199"/>
      <c r="U54" s="199"/>
      <c r="V54" s="199"/>
      <c r="W54" s="169" t="s">
        <v>390</v>
      </c>
      <c r="X54" s="169" t="s">
        <v>390</v>
      </c>
      <c r="Y54" s="169" t="s">
        <v>390</v>
      </c>
      <c r="Z54" s="338" t="s">
        <v>77</v>
      </c>
      <c r="AA54" s="199"/>
      <c r="AB54" s="199"/>
    </row>
    <row r="55" spans="1:28" s="188" customFormat="1" ht="31.95" customHeight="1">
      <c r="A55" s="170">
        <v>53</v>
      </c>
      <c r="B55" s="171" t="s">
        <v>469</v>
      </c>
      <c r="C55" s="171">
        <v>601240142</v>
      </c>
      <c r="D55" s="173" t="s">
        <v>477</v>
      </c>
      <c r="E55" s="173" t="s">
        <v>478</v>
      </c>
      <c r="F55" s="173" t="s">
        <v>476</v>
      </c>
      <c r="G55" s="173" t="s">
        <v>479</v>
      </c>
      <c r="H55" s="171" t="s">
        <v>78</v>
      </c>
      <c r="I55" s="174">
        <v>0.35174409436493781</v>
      </c>
      <c r="J55" s="174">
        <v>0.36159999999999998</v>
      </c>
      <c r="K55" s="175">
        <v>9.8559056350621677E-3</v>
      </c>
      <c r="L55" s="176">
        <v>44720000</v>
      </c>
      <c r="M55" s="177">
        <v>46414</v>
      </c>
      <c r="N55" s="177">
        <v>46091</v>
      </c>
      <c r="O55" s="177" t="s">
        <v>391</v>
      </c>
      <c r="P55" s="178"/>
      <c r="Q55" s="169"/>
      <c r="R55" s="169"/>
      <c r="S55" s="169" t="s">
        <v>390</v>
      </c>
      <c r="T55" s="169" t="s">
        <v>390</v>
      </c>
      <c r="U55" s="169" t="s">
        <v>390</v>
      </c>
      <c r="V55" s="338" t="s">
        <v>77</v>
      </c>
      <c r="W55" s="169"/>
      <c r="X55" s="169"/>
      <c r="Y55" s="169"/>
      <c r="Z55" s="169"/>
      <c r="AA55" s="169"/>
      <c r="AB55" s="169"/>
    </row>
    <row r="56" spans="1:28" s="188" customFormat="1" ht="31.95" customHeight="1">
      <c r="A56" s="330">
        <v>54</v>
      </c>
      <c r="B56" s="331" t="s">
        <v>469</v>
      </c>
      <c r="C56" s="331">
        <v>601240154</v>
      </c>
      <c r="D56" s="332" t="s">
        <v>502</v>
      </c>
      <c r="E56" s="332" t="s">
        <v>503</v>
      </c>
      <c r="F56" s="332" t="s">
        <v>476</v>
      </c>
      <c r="G56" s="332" t="s">
        <v>492</v>
      </c>
      <c r="H56" s="331" t="s">
        <v>78</v>
      </c>
      <c r="I56" s="333">
        <v>0.72299999999999998</v>
      </c>
      <c r="J56" s="333">
        <v>0.72350000000000003</v>
      </c>
      <c r="K56" s="334">
        <v>5.0000000000005596E-4</v>
      </c>
      <c r="L56" s="335">
        <v>4976870</v>
      </c>
      <c r="M56" s="336">
        <v>46169</v>
      </c>
      <c r="N56" s="336">
        <v>46093</v>
      </c>
      <c r="O56" s="336" t="s">
        <v>391</v>
      </c>
      <c r="P56" s="337"/>
      <c r="Q56" s="199"/>
      <c r="R56" s="199"/>
      <c r="S56" s="169" t="s">
        <v>390</v>
      </c>
      <c r="T56" s="169" t="s">
        <v>390</v>
      </c>
      <c r="U56" s="169" t="s">
        <v>390</v>
      </c>
      <c r="V56" s="169" t="s">
        <v>390</v>
      </c>
      <c r="W56" s="329" t="s">
        <v>385</v>
      </c>
      <c r="X56" s="199"/>
      <c r="Y56" s="199"/>
      <c r="Z56" s="199"/>
      <c r="AA56" s="199"/>
      <c r="AB56" s="199"/>
    </row>
    <row r="57" spans="1:28" s="188" customFormat="1" ht="31.95" customHeight="1">
      <c r="A57" s="170">
        <v>55</v>
      </c>
      <c r="B57" s="171" t="s">
        <v>469</v>
      </c>
      <c r="C57" s="171">
        <v>601240159</v>
      </c>
      <c r="D57" s="173" t="s">
        <v>474</v>
      </c>
      <c r="E57" s="173" t="s">
        <v>475</v>
      </c>
      <c r="F57" s="173" t="s">
        <v>476</v>
      </c>
      <c r="G57" s="173" t="s">
        <v>498</v>
      </c>
      <c r="H57" s="171" t="s">
        <v>78</v>
      </c>
      <c r="I57" s="174">
        <v>0.15709999999999999</v>
      </c>
      <c r="J57" s="174">
        <v>0.1802</v>
      </c>
      <c r="K57" s="175">
        <v>2.3100000000000009E-2</v>
      </c>
      <c r="L57" s="176">
        <v>26374445</v>
      </c>
      <c r="M57" s="177">
        <v>46474</v>
      </c>
      <c r="N57" s="177">
        <v>46122</v>
      </c>
      <c r="O57" s="177" t="s">
        <v>391</v>
      </c>
      <c r="P57" s="178"/>
      <c r="Q57" s="169"/>
      <c r="R57" s="169"/>
      <c r="S57" s="169"/>
      <c r="T57" s="169" t="s">
        <v>390</v>
      </c>
      <c r="U57" s="169" t="s">
        <v>390</v>
      </c>
      <c r="V57" s="169" t="s">
        <v>390</v>
      </c>
      <c r="W57" s="169" t="s">
        <v>390</v>
      </c>
      <c r="X57" s="338" t="s">
        <v>77</v>
      </c>
      <c r="Y57" s="169"/>
      <c r="Z57" s="169"/>
      <c r="AA57" s="169"/>
      <c r="AB57" s="169"/>
    </row>
    <row r="58" spans="1:28" s="188" customFormat="1" ht="31.95" customHeight="1">
      <c r="A58" s="330">
        <v>56</v>
      </c>
      <c r="B58" s="331" t="s">
        <v>469</v>
      </c>
      <c r="C58" s="331">
        <v>601240160</v>
      </c>
      <c r="D58" s="332" t="s">
        <v>504</v>
      </c>
      <c r="E58" s="332" t="s">
        <v>505</v>
      </c>
      <c r="F58" s="332" t="s">
        <v>470</v>
      </c>
      <c r="G58" s="332" t="s">
        <v>471</v>
      </c>
      <c r="H58" s="331" t="s">
        <v>77</v>
      </c>
      <c r="I58" s="333">
        <v>0.25629999999999997</v>
      </c>
      <c r="J58" s="333">
        <v>0.25459999999999999</v>
      </c>
      <c r="K58" s="334">
        <v>-1.6999999999999793E-3</v>
      </c>
      <c r="L58" s="335">
        <v>32937959</v>
      </c>
      <c r="M58" s="336">
        <v>46762</v>
      </c>
      <c r="N58" s="336">
        <v>46160</v>
      </c>
      <c r="O58" s="336" t="s">
        <v>391</v>
      </c>
      <c r="P58" s="337"/>
      <c r="Q58" s="199"/>
      <c r="R58" s="199"/>
      <c r="S58" s="199"/>
      <c r="T58" s="199"/>
      <c r="U58" s="169" t="s">
        <v>390</v>
      </c>
      <c r="V58" s="169" t="s">
        <v>390</v>
      </c>
      <c r="W58" s="169" t="s">
        <v>390</v>
      </c>
      <c r="X58" s="169" t="s">
        <v>390</v>
      </c>
      <c r="Y58" s="338" t="s">
        <v>77</v>
      </c>
      <c r="Z58" s="199"/>
      <c r="AA58" s="199"/>
      <c r="AB58" s="199"/>
    </row>
    <row r="59" spans="1:28" s="188" customFormat="1" ht="31.95" customHeight="1">
      <c r="A59" s="170">
        <v>57</v>
      </c>
      <c r="B59" s="171" t="s">
        <v>469</v>
      </c>
      <c r="C59" s="171">
        <v>601240171</v>
      </c>
      <c r="D59" s="173" t="s">
        <v>506</v>
      </c>
      <c r="E59" s="173" t="s">
        <v>507</v>
      </c>
      <c r="F59" s="173" t="s">
        <v>470</v>
      </c>
      <c r="G59" s="173" t="s">
        <v>471</v>
      </c>
      <c r="H59" s="171" t="s">
        <v>78</v>
      </c>
      <c r="I59" s="174">
        <v>0.42209999999999998</v>
      </c>
      <c r="J59" s="174">
        <v>0.44750000000000001</v>
      </c>
      <c r="K59" s="175">
        <v>2.5400000000000034E-2</v>
      </c>
      <c r="L59" s="176">
        <v>41181043.560000002</v>
      </c>
      <c r="M59" s="177">
        <v>46394</v>
      </c>
      <c r="N59" s="177">
        <v>46093</v>
      </c>
      <c r="O59" s="177" t="s">
        <v>391</v>
      </c>
      <c r="P59" s="178"/>
      <c r="Q59" s="169"/>
      <c r="R59" s="169"/>
      <c r="S59" s="169" t="s">
        <v>390</v>
      </c>
      <c r="T59" s="169" t="s">
        <v>390</v>
      </c>
      <c r="U59" s="169" t="s">
        <v>390</v>
      </c>
      <c r="V59" s="169" t="s">
        <v>390</v>
      </c>
      <c r="W59" s="338" t="s">
        <v>77</v>
      </c>
      <c r="X59" s="169"/>
      <c r="Y59" s="169"/>
      <c r="Z59" s="169"/>
      <c r="AA59" s="169"/>
      <c r="AB59" s="169"/>
    </row>
    <row r="60" spans="1:28" s="188" customFormat="1" ht="31.95" customHeight="1">
      <c r="A60" s="330">
        <v>58</v>
      </c>
      <c r="B60" s="331" t="s">
        <v>469</v>
      </c>
      <c r="C60" s="331">
        <v>601240224</v>
      </c>
      <c r="D60" s="332" t="s">
        <v>480</v>
      </c>
      <c r="E60" s="332" t="s">
        <v>481</v>
      </c>
      <c r="F60" s="332" t="s">
        <v>476</v>
      </c>
      <c r="G60" s="332" t="s">
        <v>479</v>
      </c>
      <c r="H60" s="331" t="s">
        <v>78</v>
      </c>
      <c r="I60" s="333">
        <v>0.26519999999999999</v>
      </c>
      <c r="J60" s="333">
        <v>0.27210000000000001</v>
      </c>
      <c r="K60" s="334">
        <v>6.9000000000000172E-3</v>
      </c>
      <c r="L60" s="335">
        <v>12833500.780000001</v>
      </c>
      <c r="M60" s="336">
        <v>46273</v>
      </c>
      <c r="N60" s="336">
        <v>46103</v>
      </c>
      <c r="O60" s="336" t="s">
        <v>391</v>
      </c>
      <c r="P60" s="337"/>
      <c r="Q60" s="199"/>
      <c r="R60" s="199"/>
      <c r="S60" s="169" t="s">
        <v>390</v>
      </c>
      <c r="T60" s="169" t="s">
        <v>390</v>
      </c>
      <c r="U60" s="169" t="s">
        <v>390</v>
      </c>
      <c r="V60" s="169" t="s">
        <v>390</v>
      </c>
      <c r="W60" s="338" t="s">
        <v>77</v>
      </c>
      <c r="X60" s="199"/>
      <c r="Y60" s="199"/>
      <c r="Z60" s="199"/>
      <c r="AA60" s="199"/>
      <c r="AB60" s="199"/>
    </row>
    <row r="61" spans="1:28" s="188" customFormat="1" ht="31.95" customHeight="1">
      <c r="A61" s="170">
        <v>59</v>
      </c>
      <c r="B61" s="171" t="s">
        <v>469</v>
      </c>
      <c r="C61" s="171">
        <v>601240239</v>
      </c>
      <c r="D61" s="173" t="s">
        <v>472</v>
      </c>
      <c r="E61" s="173" t="s">
        <v>473</v>
      </c>
      <c r="F61" s="173" t="s">
        <v>470</v>
      </c>
      <c r="G61" s="173" t="s">
        <v>501</v>
      </c>
      <c r="H61" s="171" t="s">
        <v>100</v>
      </c>
      <c r="I61" s="174">
        <v>0.19400000000000001</v>
      </c>
      <c r="J61" s="174">
        <v>0.11119999999999999</v>
      </c>
      <c r="K61" s="175">
        <v>-8.2800000000000012E-2</v>
      </c>
      <c r="L61" s="176">
        <v>19012170.010000005</v>
      </c>
      <c r="M61" s="177">
        <v>46482</v>
      </c>
      <c r="N61" s="177" t="s">
        <v>508</v>
      </c>
      <c r="O61" s="177" t="s">
        <v>391</v>
      </c>
      <c r="P61" s="178"/>
      <c r="Q61" s="169" t="s">
        <v>390</v>
      </c>
      <c r="R61" s="169" t="s">
        <v>390</v>
      </c>
      <c r="S61" s="169" t="s">
        <v>390</v>
      </c>
      <c r="T61" s="169" t="s">
        <v>390</v>
      </c>
      <c r="U61" s="338" t="s">
        <v>77</v>
      </c>
      <c r="V61" s="169"/>
      <c r="W61" s="169"/>
      <c r="X61" s="169"/>
      <c r="Y61" s="169"/>
      <c r="Z61" s="169"/>
      <c r="AA61" s="169"/>
      <c r="AB61" s="169"/>
    </row>
    <row r="62" spans="1:28" s="188" customFormat="1" ht="31.95" customHeight="1">
      <c r="A62" s="330">
        <v>60</v>
      </c>
      <c r="B62" s="331" t="s">
        <v>469</v>
      </c>
      <c r="C62" s="331">
        <v>601250001</v>
      </c>
      <c r="D62" s="332" t="s">
        <v>490</v>
      </c>
      <c r="E62" s="332" t="s">
        <v>491</v>
      </c>
      <c r="F62" s="332" t="s">
        <v>476</v>
      </c>
      <c r="G62" s="332" t="s">
        <v>492</v>
      </c>
      <c r="H62" s="331" t="s">
        <v>77</v>
      </c>
      <c r="I62" s="333">
        <v>7.7100000000000002E-2</v>
      </c>
      <c r="J62" s="333">
        <v>6.4600000000000005E-2</v>
      </c>
      <c r="K62" s="334">
        <v>-1.2499999999999997E-2</v>
      </c>
      <c r="L62" s="335">
        <v>20570168.999999996</v>
      </c>
      <c r="M62" s="336">
        <v>46856</v>
      </c>
      <c r="N62" s="336">
        <v>46142</v>
      </c>
      <c r="O62" s="336" t="s">
        <v>391</v>
      </c>
      <c r="P62" s="337"/>
      <c r="Q62" s="199"/>
      <c r="R62" s="199"/>
      <c r="S62" s="199"/>
      <c r="T62" s="199"/>
      <c r="U62" s="169" t="s">
        <v>390</v>
      </c>
      <c r="V62" s="169" t="s">
        <v>390</v>
      </c>
      <c r="W62" s="169" t="s">
        <v>390</v>
      </c>
      <c r="X62" s="338" t="s">
        <v>77</v>
      </c>
      <c r="Y62" s="199"/>
      <c r="Z62" s="199"/>
      <c r="AA62" s="199"/>
      <c r="AB62" s="199"/>
    </row>
    <row r="63" spans="1:28" s="188" customFormat="1" ht="31.95" customHeight="1">
      <c r="A63" s="170">
        <v>61</v>
      </c>
      <c r="B63" s="171" t="s">
        <v>469</v>
      </c>
      <c r="C63" s="171">
        <v>601250007</v>
      </c>
      <c r="D63" s="173" t="s">
        <v>451</v>
      </c>
      <c r="E63" s="173" t="s">
        <v>450</v>
      </c>
      <c r="F63" s="173" t="s">
        <v>470</v>
      </c>
      <c r="G63" s="173" t="s">
        <v>471</v>
      </c>
      <c r="H63" s="171" t="s">
        <v>100</v>
      </c>
      <c r="I63" s="174">
        <v>0.253</v>
      </c>
      <c r="J63" s="174">
        <v>0.161</v>
      </c>
      <c r="K63" s="175">
        <v>-9.1999999999999998E-2</v>
      </c>
      <c r="L63" s="176">
        <v>15825000.4</v>
      </c>
      <c r="M63" s="177">
        <v>46456</v>
      </c>
      <c r="N63" s="177">
        <v>46034</v>
      </c>
      <c r="O63" s="177" t="s">
        <v>391</v>
      </c>
      <c r="P63" s="178"/>
      <c r="Q63" s="169" t="s">
        <v>390</v>
      </c>
      <c r="R63" s="169" t="s">
        <v>390</v>
      </c>
      <c r="S63" s="169" t="s">
        <v>390</v>
      </c>
      <c r="T63" s="169" t="s">
        <v>390</v>
      </c>
      <c r="U63" s="338" t="s">
        <v>77</v>
      </c>
      <c r="V63" s="169"/>
      <c r="W63" s="169"/>
      <c r="X63" s="169"/>
      <c r="Y63" s="169"/>
      <c r="Z63" s="169"/>
      <c r="AA63" s="169"/>
      <c r="AB63" s="169"/>
    </row>
    <row r="64" spans="1:28" s="188" customFormat="1" ht="31.95" customHeight="1">
      <c r="A64" s="330">
        <v>62</v>
      </c>
      <c r="B64" s="331" t="s">
        <v>469</v>
      </c>
      <c r="C64" s="331">
        <v>601250072</v>
      </c>
      <c r="D64" s="332" t="s">
        <v>486</v>
      </c>
      <c r="E64" s="332" t="s">
        <v>487</v>
      </c>
      <c r="F64" s="332" t="s">
        <v>470</v>
      </c>
      <c r="G64" s="332" t="s">
        <v>501</v>
      </c>
      <c r="H64" s="331" t="s">
        <v>78</v>
      </c>
      <c r="I64" s="333">
        <v>4.2000000000000003E-2</v>
      </c>
      <c r="J64" s="333">
        <v>4.5900000000000003E-2</v>
      </c>
      <c r="K64" s="334">
        <v>3.9000000000000007E-3</v>
      </c>
      <c r="L64" s="335">
        <v>16548050</v>
      </c>
      <c r="M64" s="336">
        <v>46918</v>
      </c>
      <c r="N64" s="336">
        <v>46158</v>
      </c>
      <c r="O64" s="336" t="s">
        <v>391</v>
      </c>
      <c r="P64" s="337"/>
      <c r="Q64" s="199"/>
      <c r="R64" s="199"/>
      <c r="S64" s="199"/>
      <c r="T64" s="199"/>
      <c r="U64" s="169" t="s">
        <v>390</v>
      </c>
      <c r="V64" s="169" t="s">
        <v>390</v>
      </c>
      <c r="W64" s="169" t="s">
        <v>390</v>
      </c>
      <c r="X64" s="169" t="s">
        <v>390</v>
      </c>
      <c r="Y64" s="338" t="s">
        <v>77</v>
      </c>
      <c r="Z64" s="199"/>
      <c r="AA64" s="199"/>
      <c r="AB64" s="199"/>
    </row>
    <row r="65" spans="1:28" s="188" customFormat="1" ht="31.95" customHeight="1">
      <c r="A65" s="170">
        <v>63</v>
      </c>
      <c r="B65" s="171" t="s">
        <v>469</v>
      </c>
      <c r="C65" s="171">
        <v>601250095</v>
      </c>
      <c r="D65" s="173" t="s">
        <v>484</v>
      </c>
      <c r="E65" s="173" t="s">
        <v>485</v>
      </c>
      <c r="F65" s="173" t="s">
        <v>470</v>
      </c>
      <c r="G65" s="173" t="s">
        <v>501</v>
      </c>
      <c r="H65" s="171" t="s">
        <v>77</v>
      </c>
      <c r="I65" s="174">
        <v>1.2270935216758323E-2</v>
      </c>
      <c r="J65" s="174">
        <v>0</v>
      </c>
      <c r="K65" s="175">
        <v>-1.2270935216758323E-2</v>
      </c>
      <c r="L65" s="176">
        <v>37686576.600000001</v>
      </c>
      <c r="M65" s="177">
        <v>46962</v>
      </c>
      <c r="N65" s="177">
        <v>46174</v>
      </c>
      <c r="O65" s="177" t="s">
        <v>391</v>
      </c>
      <c r="P65" s="178"/>
      <c r="Q65" s="169"/>
      <c r="R65" s="169"/>
      <c r="S65" s="169"/>
      <c r="T65" s="169"/>
      <c r="U65" s="169"/>
      <c r="V65" s="169" t="s">
        <v>390</v>
      </c>
      <c r="W65" s="169" t="s">
        <v>390</v>
      </c>
      <c r="X65" s="169" t="s">
        <v>390</v>
      </c>
      <c r="Y65" s="338" t="s">
        <v>77</v>
      </c>
      <c r="Z65" s="169"/>
      <c r="AA65" s="169"/>
      <c r="AB65" s="169"/>
    </row>
    <row r="66" spans="1:28" s="188" customFormat="1" ht="31.95" customHeight="1">
      <c r="A66" s="330">
        <v>64</v>
      </c>
      <c r="B66" s="331" t="s">
        <v>469</v>
      </c>
      <c r="C66" s="331">
        <v>601250132</v>
      </c>
      <c r="D66" s="332" t="s">
        <v>482</v>
      </c>
      <c r="E66" s="332" t="s">
        <v>509</v>
      </c>
      <c r="F66" s="332" t="s">
        <v>470</v>
      </c>
      <c r="G66" s="332" t="s">
        <v>483</v>
      </c>
      <c r="H66" s="331" t="s">
        <v>77</v>
      </c>
      <c r="I66" s="333">
        <v>0</v>
      </c>
      <c r="J66" s="333">
        <v>0</v>
      </c>
      <c r="K66" s="334">
        <v>0</v>
      </c>
      <c r="L66" s="335">
        <v>11976404</v>
      </c>
      <c r="M66" s="336">
        <v>46666</v>
      </c>
      <c r="N66" s="336">
        <v>46166</v>
      </c>
      <c r="O66" s="336" t="s">
        <v>391</v>
      </c>
      <c r="P66" s="337"/>
      <c r="Q66" s="199"/>
      <c r="R66" s="199"/>
      <c r="S66" s="199"/>
      <c r="T66" s="199"/>
      <c r="U66" s="169" t="s">
        <v>390</v>
      </c>
      <c r="V66" s="169" t="s">
        <v>390</v>
      </c>
      <c r="W66" s="169" t="s">
        <v>390</v>
      </c>
      <c r="X66" s="169" t="s">
        <v>390</v>
      </c>
      <c r="Y66" s="338" t="s">
        <v>77</v>
      </c>
      <c r="Z66" s="199"/>
      <c r="AA66" s="199"/>
      <c r="AB66" s="199"/>
    </row>
    <row r="67" spans="1:28" s="188" customFormat="1" ht="31.95" customHeight="1" thickBot="1">
      <c r="A67" s="170">
        <v>65</v>
      </c>
      <c r="B67" s="171" t="s">
        <v>469</v>
      </c>
      <c r="C67" s="171">
        <v>601250143</v>
      </c>
      <c r="D67" s="173" t="s">
        <v>510</v>
      </c>
      <c r="E67" s="173" t="s">
        <v>511</v>
      </c>
      <c r="F67" s="173" t="s">
        <v>476</v>
      </c>
      <c r="G67" s="173" t="s">
        <v>479</v>
      </c>
      <c r="H67" s="171" t="s">
        <v>77</v>
      </c>
      <c r="I67" s="174">
        <v>0</v>
      </c>
      <c r="J67" s="174">
        <v>0</v>
      </c>
      <c r="K67" s="175">
        <v>0</v>
      </c>
      <c r="L67" s="176">
        <v>40432208</v>
      </c>
      <c r="M67" s="177">
        <v>46727</v>
      </c>
      <c r="N67" s="177">
        <v>46210</v>
      </c>
      <c r="O67" s="177" t="s">
        <v>391</v>
      </c>
      <c r="P67" s="178"/>
      <c r="Q67" s="169"/>
      <c r="R67" s="169"/>
      <c r="S67" s="169"/>
      <c r="T67" s="169"/>
      <c r="U67" s="169"/>
      <c r="V67" s="169"/>
      <c r="W67" s="169" t="s">
        <v>390</v>
      </c>
      <c r="X67" s="169" t="s">
        <v>390</v>
      </c>
      <c r="Y67" s="169" t="s">
        <v>390</v>
      </c>
      <c r="Z67" s="169" t="s">
        <v>390</v>
      </c>
      <c r="AA67" s="338" t="s">
        <v>77</v>
      </c>
      <c r="AB67" s="169"/>
    </row>
    <row r="68" spans="1:28" ht="29.4" customHeight="1" thickTop="1" thickBot="1">
      <c r="A68" s="1256" t="s">
        <v>387</v>
      </c>
      <c r="B68" s="1257"/>
      <c r="C68" s="1257"/>
      <c r="D68" s="1257"/>
      <c r="E68" s="1257"/>
      <c r="F68" s="1257"/>
      <c r="G68" s="1257"/>
      <c r="H68" s="1257"/>
      <c r="I68" s="1257"/>
      <c r="J68" s="1257"/>
      <c r="K68" s="1257"/>
      <c r="L68" s="1257"/>
      <c r="M68" s="1257"/>
      <c r="N68" s="1257"/>
      <c r="O68" s="1258"/>
      <c r="P68" s="1262" t="s">
        <v>512</v>
      </c>
      <c r="Q68" s="200">
        <v>20</v>
      </c>
      <c r="R68" s="201">
        <v>19</v>
      </c>
      <c r="S68" s="201">
        <v>28</v>
      </c>
      <c r="T68" s="201">
        <v>25</v>
      </c>
      <c r="U68" s="201">
        <v>25</v>
      </c>
      <c r="V68" s="201">
        <v>24</v>
      </c>
      <c r="W68" s="201">
        <v>22</v>
      </c>
      <c r="X68" s="201">
        <v>18</v>
      </c>
      <c r="Y68" s="201">
        <v>12</v>
      </c>
      <c r="Z68" s="201">
        <v>8</v>
      </c>
      <c r="AA68" s="201">
        <v>2</v>
      </c>
      <c r="AB68" s="202">
        <v>0</v>
      </c>
    </row>
    <row r="69" spans="1:28" ht="33.6" customHeight="1" thickTop="1" thickBot="1">
      <c r="A69" s="1259"/>
      <c r="B69" s="1260"/>
      <c r="C69" s="1260"/>
      <c r="D69" s="1260"/>
      <c r="E69" s="1260"/>
      <c r="F69" s="1260"/>
      <c r="G69" s="1260"/>
      <c r="H69" s="1260"/>
      <c r="I69" s="1260"/>
      <c r="J69" s="1260"/>
      <c r="K69" s="1260"/>
      <c r="L69" s="1260"/>
      <c r="M69" s="1260"/>
      <c r="N69" s="1260"/>
      <c r="O69" s="1261"/>
      <c r="P69" s="1263"/>
      <c r="Q69" s="203">
        <f>Q68/90</f>
        <v>0.22222222222222221</v>
      </c>
      <c r="R69" s="204">
        <f t="shared" ref="R69:AB69" si="0">R68/90</f>
        <v>0.21111111111111111</v>
      </c>
      <c r="S69" s="204">
        <f t="shared" si="0"/>
        <v>0.31111111111111112</v>
      </c>
      <c r="T69" s="204">
        <f t="shared" si="0"/>
        <v>0.27777777777777779</v>
      </c>
      <c r="U69" s="204">
        <f t="shared" si="0"/>
        <v>0.27777777777777779</v>
      </c>
      <c r="V69" s="204">
        <f t="shared" si="0"/>
        <v>0.26666666666666666</v>
      </c>
      <c r="W69" s="204">
        <f t="shared" si="0"/>
        <v>0.24444444444444444</v>
      </c>
      <c r="X69" s="204">
        <f t="shared" si="0"/>
        <v>0.2</v>
      </c>
      <c r="Y69" s="204">
        <f t="shared" si="0"/>
        <v>0.13333333333333333</v>
      </c>
      <c r="Z69" s="204">
        <f t="shared" si="0"/>
        <v>8.8888888888888892E-2</v>
      </c>
      <c r="AA69" s="204">
        <f t="shared" si="0"/>
        <v>2.2222222222222223E-2</v>
      </c>
      <c r="AB69" s="205">
        <f t="shared" si="0"/>
        <v>0</v>
      </c>
    </row>
    <row r="70" spans="1:28" ht="15" thickTop="1"/>
    <row r="72" spans="1:28">
      <c r="Q72" s="137">
        <v>4</v>
      </c>
      <c r="R72" s="137">
        <v>4</v>
      </c>
      <c r="S72" s="137">
        <v>7</v>
      </c>
      <c r="T72" s="137">
        <v>8</v>
      </c>
      <c r="U72" s="137">
        <v>9</v>
      </c>
      <c r="V72" s="137">
        <v>10</v>
      </c>
      <c r="W72" s="137">
        <v>9</v>
      </c>
      <c r="X72" s="137">
        <v>7</v>
      </c>
      <c r="Y72" s="137">
        <v>3</v>
      </c>
      <c r="Z72" s="137">
        <v>1</v>
      </c>
      <c r="AA72" s="137">
        <v>0</v>
      </c>
      <c r="AB72" s="137">
        <v>0</v>
      </c>
    </row>
    <row r="74" spans="1:28">
      <c r="Q74" s="137">
        <v>20</v>
      </c>
      <c r="R74" s="137">
        <v>19</v>
      </c>
      <c r="S74" s="137">
        <v>28</v>
      </c>
      <c r="T74" s="137">
        <v>25</v>
      </c>
      <c r="U74" s="137">
        <v>25</v>
      </c>
      <c r="V74" s="137">
        <v>24</v>
      </c>
      <c r="W74" s="137">
        <v>22</v>
      </c>
      <c r="X74" s="137">
        <v>18</v>
      </c>
      <c r="Y74" s="137">
        <v>12</v>
      </c>
      <c r="Z74" s="137">
        <v>8</v>
      </c>
      <c r="AA74" s="137">
        <v>2</v>
      </c>
      <c r="AB74" s="137">
        <v>0</v>
      </c>
    </row>
  </sheetData>
  <mergeCells count="3">
    <mergeCell ref="A1:AB1"/>
    <mergeCell ref="A68:O69"/>
    <mergeCell ref="P68:P69"/>
  </mergeCells>
  <conditionalFormatting sqref="Q3:AB67">
    <cfRule type="cellIs" dxfId="5" priority="1" operator="equal">
      <formula>"منتظم"</formula>
    </cfRule>
    <cfRule type="cellIs" dxfId="4" priority="2" operator="equal">
      <formula>"استلام ابتدائي"</formula>
    </cfRule>
    <cfRule type="cellIs" dxfId="3" priority="3" operator="equal">
      <formula>"D"</formula>
    </cfRule>
  </conditionalFormatting>
  <printOptions horizontalCentered="1"/>
  <pageMargins left="0.23622047244094499" right="0.27559055118110198" top="0.23622047244094499" bottom="0.196850393700787" header="0.196850393700787" footer="0.15748031496063"/>
  <pageSetup paperSize="8" scale="64" orientation="landscape" r:id="rId1"/>
  <headerFooter>
    <oddFooter>&amp;C&amp;P / &amp;N</oddFooter>
  </headerFooter>
  <rowBreaks count="1" manualBreakCount="1">
    <brk id="34" max="29" man="1"/>
  </rowBreaks>
  <drawing r:id="rId2"/>
  <tableParts count="1">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B096-ECB6-4F51-9688-E616750B18D8}">
  <sheetPr>
    <tabColor rgb="FFFF0000"/>
  </sheetPr>
  <dimension ref="A1:BK84"/>
  <sheetViews>
    <sheetView rightToLeft="1" tabSelected="1" view="pageBreakPreview" zoomScale="70" zoomScaleNormal="70" zoomScaleSheetLayoutView="70" workbookViewId="0">
      <pane xSplit="9" ySplit="2" topLeftCell="J28" activePane="bottomRight" state="frozen"/>
      <selection activeCell="E3" sqref="E3"/>
      <selection pane="topRight" activeCell="E3" sqref="E3"/>
      <selection pane="bottomLeft" activeCell="E3" sqref="E3"/>
      <selection pane="bottomRight" activeCell="P30" sqref="P30"/>
    </sheetView>
  </sheetViews>
  <sheetFormatPr defaultColWidth="8.88671875" defaultRowHeight="14.4"/>
  <cols>
    <col min="1" max="1" width="3.44140625" style="53" bestFit="1" customWidth="1"/>
    <col min="2" max="2" width="10.44140625" style="53" hidden="1" customWidth="1"/>
    <col min="3" max="3" width="21.5546875" style="53" hidden="1" customWidth="1"/>
    <col min="4" max="4" width="7.44140625" style="53" hidden="1" customWidth="1"/>
    <col min="5" max="5" width="11.21875" bestFit="1" customWidth="1"/>
    <col min="6" max="6" width="8.6640625" hidden="1" customWidth="1"/>
    <col min="7" max="7" width="9.44140625" hidden="1" customWidth="1"/>
    <col min="8" max="8" width="25.88671875" style="53" customWidth="1"/>
    <col min="9" max="9" width="17.21875" style="53" customWidth="1"/>
    <col min="10" max="10" width="9.88671875" style="53" bestFit="1" customWidth="1"/>
    <col min="11" max="11" width="6.5546875" style="53" bestFit="1" customWidth="1"/>
    <col min="12" max="12" width="8.21875" style="35" bestFit="1" customWidth="1"/>
    <col min="13" max="13" width="8.77734375" style="35" customWidth="1"/>
    <col min="14" max="14" width="9.33203125" style="974" customWidth="1"/>
    <col min="15" max="15" width="11.88671875" style="53" bestFit="1" customWidth="1"/>
    <col min="16" max="17" width="11.21875" style="53" bestFit="1" customWidth="1"/>
    <col min="18" max="18" width="8.6640625" style="53" customWidth="1"/>
    <col min="19" max="20" width="6.21875" style="53" hidden="1" customWidth="1"/>
    <col min="21" max="22" width="11.77734375" style="53" hidden="1" customWidth="1"/>
    <col min="23" max="23" width="8" style="53" hidden="1" customWidth="1"/>
    <col min="24" max="24" width="12.88671875" style="53" hidden="1" customWidth="1"/>
    <col min="25" max="25" width="7.88671875" style="53" hidden="1" customWidth="1"/>
    <col min="26" max="26" width="12.88671875" style="53" hidden="1" customWidth="1"/>
    <col min="27" max="27" width="7.5546875" style="53" hidden="1" customWidth="1"/>
    <col min="28" max="28" width="7.6640625" style="53" hidden="1" customWidth="1"/>
    <col min="29" max="29" width="10.33203125" style="53" hidden="1" customWidth="1"/>
    <col min="30" max="30" width="10.5546875" style="53" hidden="1" customWidth="1"/>
    <col min="31" max="32" width="8.44140625" style="53" bestFit="1" customWidth="1"/>
    <col min="33" max="33" width="8.44140625" style="59" hidden="1" customWidth="1"/>
    <col min="34" max="34" width="13.44140625" style="60" hidden="1" customWidth="1"/>
    <col min="35" max="35" width="13.5546875" style="53" hidden="1" customWidth="1"/>
    <col min="36" max="36" width="13.77734375" style="53" hidden="1" customWidth="1"/>
    <col min="37" max="37" width="13.5546875" style="61" bestFit="1" customWidth="1"/>
    <col min="38" max="38" width="13.77734375" style="53" bestFit="1" customWidth="1"/>
    <col min="39" max="39" width="8.44140625" style="53" bestFit="1" customWidth="1"/>
    <col min="40" max="40" width="7.6640625" style="53" hidden="1" customWidth="1"/>
    <col min="41" max="41" width="9.5546875" style="53" bestFit="1" customWidth="1"/>
    <col min="42" max="42" width="8.44140625" style="53" hidden="1" customWidth="1"/>
    <col min="43" max="43" width="10.21875" style="53" customWidth="1"/>
    <col min="44" max="44" width="9.109375" style="61" customWidth="1"/>
    <col min="45" max="45" width="8.44140625" style="61" hidden="1" customWidth="1"/>
    <col min="46" max="46" width="7.6640625" style="61" hidden="1" customWidth="1"/>
    <col min="47" max="47" width="14.33203125" style="61" hidden="1" customWidth="1"/>
    <col min="48" max="48" width="26.33203125" style="972" customWidth="1"/>
    <col min="49" max="49" width="49.6640625" style="567" customWidth="1"/>
    <col min="50" max="50" width="31.6640625" style="437" customWidth="1"/>
    <col min="51" max="51" width="33.109375" style="61" hidden="1" customWidth="1"/>
    <col min="52" max="52" width="60.5546875" style="436" customWidth="1"/>
    <col min="53" max="53" width="6.109375" style="53" customWidth="1"/>
    <col min="54" max="54" width="31.6640625" style="437" hidden="1" customWidth="1"/>
    <col min="55" max="55" width="39.6640625" style="436" hidden="1" customWidth="1"/>
    <col min="56" max="56" width="3.44140625" style="53" customWidth="1"/>
    <col min="57" max="57" width="31.6640625" style="437" hidden="1" customWidth="1"/>
    <col min="58" max="58" width="45.6640625" style="436" hidden="1" customWidth="1"/>
    <col min="59" max="59" width="31.6640625" style="437" hidden="1" customWidth="1"/>
    <col min="60" max="60" width="59.33203125" style="436" hidden="1" customWidth="1"/>
    <col min="61" max="61" width="19.5546875" style="35" customWidth="1"/>
    <col min="62" max="62" width="8.88671875" style="1001"/>
    <col min="63" max="63" width="8.88671875" style="35"/>
    <col min="64" max="16384" width="8.88671875" style="53"/>
  </cols>
  <sheetData>
    <row r="1" spans="1:63" ht="90.6" customHeight="1" thickBot="1">
      <c r="A1" s="1201" t="s">
        <v>953</v>
      </c>
      <c r="B1" s="1202"/>
      <c r="C1" s="1202"/>
      <c r="D1" s="1202"/>
      <c r="E1" s="1202"/>
      <c r="F1" s="1202"/>
      <c r="G1" s="1202"/>
      <c r="H1" s="1202"/>
      <c r="I1" s="1202"/>
      <c r="J1" s="1202"/>
      <c r="K1" s="1202"/>
      <c r="L1" s="1202"/>
      <c r="M1" s="1202"/>
      <c r="N1" s="1202"/>
      <c r="O1" s="1202"/>
      <c r="P1" s="1202"/>
      <c r="Q1" s="1202"/>
      <c r="R1" s="1202"/>
      <c r="S1" s="1202"/>
      <c r="T1" s="1202"/>
      <c r="U1" s="1202"/>
      <c r="V1" s="1202"/>
      <c r="W1" s="1202"/>
      <c r="X1" s="1202"/>
      <c r="Y1" s="1202"/>
      <c r="Z1" s="1202"/>
      <c r="AA1" s="1202"/>
      <c r="AB1" s="1202"/>
      <c r="AC1" s="1202"/>
      <c r="AD1" s="1202"/>
      <c r="AE1" s="1202"/>
      <c r="AF1" s="1202"/>
      <c r="AG1" s="1202"/>
      <c r="AH1" s="1202"/>
      <c r="AI1" s="1202"/>
      <c r="AJ1" s="1202"/>
      <c r="AK1" s="1202"/>
      <c r="AL1" s="1202"/>
      <c r="AM1" s="1202"/>
      <c r="AN1" s="1202"/>
      <c r="AO1" s="1202"/>
      <c r="AP1" s="1202"/>
      <c r="AQ1" s="1202"/>
      <c r="AR1" s="1202"/>
      <c r="AS1" s="1202"/>
      <c r="AT1" s="1202"/>
      <c r="AU1" s="1202"/>
      <c r="AV1" s="1202"/>
      <c r="AW1" s="1202"/>
      <c r="AX1" s="1202"/>
      <c r="AY1" s="1202"/>
      <c r="AZ1" s="1202"/>
      <c r="BB1" s="53"/>
      <c r="BC1" s="53"/>
      <c r="BE1" s="53"/>
      <c r="BF1" s="53"/>
      <c r="BG1" s="53"/>
      <c r="BH1" s="53"/>
    </row>
    <row r="2" spans="1:63" s="117" customFormat="1" ht="135" thickTop="1">
      <c r="A2" s="1193" t="s">
        <v>1016</v>
      </c>
      <c r="B2" s="1194" t="s">
        <v>281</v>
      </c>
      <c r="C2" s="1029" t="s">
        <v>193</v>
      </c>
      <c r="D2" s="1195" t="s">
        <v>681</v>
      </c>
      <c r="E2" s="1028" t="s">
        <v>8</v>
      </c>
      <c r="F2" s="1029" t="s">
        <v>149</v>
      </c>
      <c r="G2" s="1029" t="s">
        <v>150</v>
      </c>
      <c r="H2" s="1028" t="s">
        <v>0</v>
      </c>
      <c r="I2" s="1028" t="s">
        <v>51</v>
      </c>
      <c r="J2" s="1028" t="s">
        <v>367</v>
      </c>
      <c r="K2" s="1028" t="s">
        <v>110</v>
      </c>
      <c r="L2" s="1028" t="s">
        <v>324</v>
      </c>
      <c r="M2" s="1028" t="s">
        <v>949</v>
      </c>
      <c r="N2" s="1028" t="s">
        <v>874</v>
      </c>
      <c r="O2" s="1028" t="s">
        <v>76</v>
      </c>
      <c r="P2" s="1028" t="s">
        <v>256</v>
      </c>
      <c r="Q2" s="1028" t="s">
        <v>411</v>
      </c>
      <c r="R2" s="1028" t="s">
        <v>360</v>
      </c>
      <c r="S2" s="1029" t="s">
        <v>278</v>
      </c>
      <c r="T2" s="1029" t="s">
        <v>279</v>
      </c>
      <c r="U2" s="1196" t="s">
        <v>680</v>
      </c>
      <c r="V2" s="1196" t="s">
        <v>679</v>
      </c>
      <c r="W2" s="1196" t="s">
        <v>678</v>
      </c>
      <c r="X2" s="1196" t="s">
        <v>677</v>
      </c>
      <c r="Y2" s="1196" t="s">
        <v>675</v>
      </c>
      <c r="Z2" s="1196" t="s">
        <v>674</v>
      </c>
      <c r="AA2" s="1196" t="s">
        <v>676</v>
      </c>
      <c r="AB2" s="1029" t="s">
        <v>464</v>
      </c>
      <c r="AC2" s="1029" t="s">
        <v>641</v>
      </c>
      <c r="AD2" s="1029" t="s">
        <v>112</v>
      </c>
      <c r="AE2" s="1028" t="s">
        <v>322</v>
      </c>
      <c r="AF2" s="1028" t="s">
        <v>323</v>
      </c>
      <c r="AG2" s="1197" t="s">
        <v>236</v>
      </c>
      <c r="AH2" s="1029" t="s">
        <v>140</v>
      </c>
      <c r="AI2" s="1029" t="s">
        <v>351</v>
      </c>
      <c r="AJ2" s="1029" t="s">
        <v>352</v>
      </c>
      <c r="AK2" s="1028" t="s">
        <v>353</v>
      </c>
      <c r="AL2" s="1028" t="s">
        <v>354</v>
      </c>
      <c r="AM2" s="1028" t="s">
        <v>826</v>
      </c>
      <c r="AN2" s="1029" t="s">
        <v>542</v>
      </c>
      <c r="AO2" s="1028" t="s">
        <v>827</v>
      </c>
      <c r="AP2" s="1029" t="s">
        <v>541</v>
      </c>
      <c r="AQ2" s="1028" t="s">
        <v>828</v>
      </c>
      <c r="AR2" s="1028" t="s">
        <v>192</v>
      </c>
      <c r="AS2" s="1029" t="s">
        <v>638</v>
      </c>
      <c r="AT2" s="1029" t="s">
        <v>453</v>
      </c>
      <c r="AU2" s="1029" t="s">
        <v>1032</v>
      </c>
      <c r="AV2" s="1198" t="s">
        <v>563</v>
      </c>
      <c r="AW2" s="1199" t="s">
        <v>543</v>
      </c>
      <c r="AX2" s="1028" t="s">
        <v>695</v>
      </c>
      <c r="AY2" s="1028" t="s">
        <v>1017</v>
      </c>
      <c r="AZ2" s="1200" t="s">
        <v>588</v>
      </c>
      <c r="BB2" s="839" t="s">
        <v>695</v>
      </c>
      <c r="BC2" s="655" t="s">
        <v>588</v>
      </c>
      <c r="BE2" s="72" t="s">
        <v>695</v>
      </c>
      <c r="BF2" s="655" t="s">
        <v>588</v>
      </c>
      <c r="BG2" s="72" t="s">
        <v>695</v>
      </c>
      <c r="BH2" s="655" t="s">
        <v>588</v>
      </c>
      <c r="BI2" s="35"/>
      <c r="BJ2" s="1001"/>
      <c r="BK2" s="35"/>
    </row>
    <row r="3" spans="1:63" s="54" customFormat="1" ht="134.4" customHeight="1">
      <c r="A3" s="1030">
        <f>SUBTOTAL(3,$E$3:E3)</f>
        <v>1</v>
      </c>
      <c r="B3" s="1031" t="s">
        <v>650</v>
      </c>
      <c r="C3" s="1031" t="s">
        <v>651</v>
      </c>
      <c r="D3" s="1031">
        <v>3</v>
      </c>
      <c r="E3" s="1031">
        <v>901260326</v>
      </c>
      <c r="F3" s="1032" t="str">
        <f>_xlfn.XLOOKUP(Table4[[#This Row],[PO]],Table1[PO],Table1[مدير البرنامج],0)</f>
        <v>عادل الحيسوني</v>
      </c>
      <c r="G3" s="1031" t="str">
        <f>_xlfn.XLOOKUP(Table4[[#This Row],[PO]],Table1[PO],Table1[مدير المشروع],0)</f>
        <v>محمد بداي</v>
      </c>
      <c r="H3" s="1033" t="str">
        <f>_xlfn.XLOOKUP(Table4[[#This Row],[PO]],Table1[PO],Table1[اسم المشروع],0)</f>
        <v>مشروع ايصال خدمة الصرف الصحي لمشروع بوابة سمو المطل علي تقاطع طريقيالملك فيصل و الملك فهد الكائن بحي المصانع بالمدينة المنورة</v>
      </c>
      <c r="I3" s="1032" t="str">
        <f>_xlfn.XLOOKUP(Table4[[#This Row],[PO]],Table1[PO],Table1[[المقاول ]],0)</f>
        <v>شركه اعمال المحترفون للتجارة والمقاولات</v>
      </c>
      <c r="J3" s="1032" t="s">
        <v>384</v>
      </c>
      <c r="K3" s="1032" t="str">
        <f>_xlfn.XLOOKUP(Table4[[#This Row],[PO]],Table1[PO],Table1[الإستشاري],0)</f>
        <v>فيوتشر</v>
      </c>
      <c r="L3" s="1031" t="str">
        <f>_xlfn.XLOOKUP(Table4[[#This Row],[PO]],Table1[PO],Table1[تصنيف المشروع],0)</f>
        <v>WW</v>
      </c>
      <c r="M3" s="1031" t="s">
        <v>339</v>
      </c>
      <c r="N3" s="1034">
        <f>_xlfn.XLOOKUP(Table4[[#This Row],[PO]],Table1[PO],Table1[مدة التوقف عن العمل بالشهور],0)</f>
        <v>2</v>
      </c>
      <c r="O3" s="1031" t="str">
        <f>_xlfn.XLOOKUP(E3,Table1[PO],Table1[حالة المشروع],0)</f>
        <v>منتظم</v>
      </c>
      <c r="P3" s="1035">
        <f>_xlfn.XLOOKUP(E3,Table1[PO],Table1[بداية المشروع التعاقدية],0)</f>
        <v>46245</v>
      </c>
      <c r="Q3" s="1035">
        <f>_xlfn.XLOOKUP(E3,Table1[PO],Table1[نهاية المشروع المعدلة PMO LIVE],0)</f>
        <v>46488</v>
      </c>
      <c r="R3" s="1036">
        <f>_xlfn.XLOOKUP(Table4[[#This Row],[PO]],Table1[PO],Table1[قيمة المشروع بالضريبة],0)/1000000</f>
        <v>3.7590625000000002</v>
      </c>
      <c r="S3" s="1036">
        <f>Table4[[#This Row],[قيمة المشروع بالضريبة]]*Table4[[#This Row],[المنفذ % التراكمي]]</f>
        <v>0</v>
      </c>
      <c r="T3" s="1036">
        <f>Table4[[#This Row],[قيمة المشروع بالضريبة]]*Table4[[#This Row],[المخطط % التراكمي]]</f>
        <v>0.22216059375000002</v>
      </c>
      <c r="U3" s="1036">
        <v>0</v>
      </c>
      <c r="V3" s="1036">
        <v>0</v>
      </c>
      <c r="W3" s="1037">
        <v>0</v>
      </c>
      <c r="X3" s="1036">
        <v>0</v>
      </c>
      <c r="Y3" s="1037">
        <v>0</v>
      </c>
      <c r="Z3" s="1036">
        <v>0</v>
      </c>
      <c r="AA3" s="1037">
        <v>0</v>
      </c>
      <c r="AB3" s="1038">
        <f>_xlfn.XLOOKUP(Table4[[#This Row],[PO]],Table1[PO],Table1[نسبة الإيقاف%],0)</f>
        <v>0</v>
      </c>
      <c r="AC3" s="1038" t="str">
        <f>_xlfn.XLOOKUP(Table4[[#This Row],[PO]],Table1[PO],Table1[المنفذ % - الإسبوع السابق],0)</f>
        <v>0.00%</v>
      </c>
      <c r="AD3" s="1038" t="str">
        <f>_xlfn.XLOOKUP(Table4[[#This Row],[PO]],Table1[PO],Table1[موقف تقديم الخطة التصحيحية],0)</f>
        <v>➖</v>
      </c>
      <c r="AE3" s="1039">
        <f>_xlfn.XLOOKUP(E3,Table1[PO],Table1[المخطط % التراكمي],0)</f>
        <v>5.91E-2</v>
      </c>
      <c r="AF3" s="1039" t="str">
        <f>_xlfn.XLOOKUP(E3,Table1[PO],Table1[المنفذ % التراكمي],0)</f>
        <v>0.00%</v>
      </c>
      <c r="AG3" s="1038">
        <f t="shared" ref="AG3:AG33" si="0">AF3-AE3</f>
        <v>-5.91E-2</v>
      </c>
      <c r="AH3" s="1040">
        <f>_xlfn.XLOOKUP(E3,Table1[PO],Table1[تاريخ دخول المشروع التعثر بالمدة المنقضية],0)</f>
        <v>46548.75</v>
      </c>
      <c r="AI3" s="1041">
        <v>46317</v>
      </c>
      <c r="AJ3" s="1042">
        <v>46341</v>
      </c>
      <c r="AK3" s="1041">
        <v>46316</v>
      </c>
      <c r="AL3" s="1042">
        <v>46338</v>
      </c>
      <c r="AM3" s="1043">
        <f>_xlfn.XLOOKUP(Table4[[#This Row],[PO]],Table1[PO],Table1[نسبة المخطط التراكمي حتى 31 أكتوبر 2026],0)</f>
        <v>0.10638623326959847</v>
      </c>
      <c r="AN3" s="1043">
        <f>_xlfn.XLOOKUP(Table4[[#This Row],[PO]],Table1[PO],Table1[نسبة الانجاز التراكمي المطلوب للإنتظام],0)</f>
        <v>7.3862332695984606E-3</v>
      </c>
      <c r="AO3" s="1044">
        <f>_xlfn.XLOOKUP(Table4[[#This Row],[PO]],Table1[PO],Table1[النسبة المطلوب زيادتها في أكتوبر 2026 للإنتظام],0)</f>
        <v>7.3862332695984606E-3</v>
      </c>
      <c r="AP3" s="1038">
        <f>_xlfn.XLOOKUP(Table4[[#This Row],[PO]],Table1[PO],Table1[نسبة الانجاز التراكمي المطلوب لتجنب التعثر],0)</f>
        <v>0</v>
      </c>
      <c r="AQ3" s="1045">
        <f>_xlfn.XLOOKUP(Table4[[#This Row],[PO]],Table1[PO],Table1[النسبة المطلوب زيادتها في أكتوبر 2026 لتجنب / الخروج من التعثر],0)</f>
        <v>0</v>
      </c>
      <c r="AR3" s="1038">
        <f>_xlfn.XLOOKUP(E3,Table1[PO],Table1[نسبة المدة المنقضية %],0)</f>
        <v>0.26748971193415638</v>
      </c>
      <c r="AS3" s="1038">
        <f>Table4[[#This Row],[المخطط % التراكمي]]-Table4[[#This Row],[نسبة المدة المنقضية %]]</f>
        <v>-0.2083897119341564</v>
      </c>
      <c r="AT3" s="1043" t="s">
        <v>517</v>
      </c>
      <c r="AU3" s="1043" t="s">
        <v>633</v>
      </c>
      <c r="AV3" s="1046" t="s">
        <v>633</v>
      </c>
      <c r="AW3" s="1047" t="s">
        <v>976</v>
      </c>
      <c r="AX3" s="1048" t="s">
        <v>633</v>
      </c>
      <c r="AY3" s="1049"/>
      <c r="AZ3" s="1050" t="s">
        <v>633</v>
      </c>
      <c r="BA3" s="496"/>
      <c r="BB3" s="683" t="s">
        <v>526</v>
      </c>
      <c r="BC3" s="840" t="s">
        <v>633</v>
      </c>
      <c r="BE3" s="683" t="s">
        <v>526</v>
      </c>
      <c r="BF3" s="840" t="s">
        <v>633</v>
      </c>
      <c r="BG3" s="683" t="s">
        <v>526</v>
      </c>
      <c r="BH3" s="840" t="s">
        <v>633</v>
      </c>
      <c r="BI3" s="974"/>
      <c r="BJ3" s="1002"/>
      <c r="BK3" s="974"/>
    </row>
    <row r="4" spans="1:63" ht="127.2" customHeight="1">
      <c r="A4" s="1051">
        <f>SUBTOTAL(3,$E$3:E4)</f>
        <v>2</v>
      </c>
      <c r="B4" s="1052" t="s">
        <v>416</v>
      </c>
      <c r="C4" s="1052" t="s">
        <v>414</v>
      </c>
      <c r="D4" s="1052"/>
      <c r="E4" s="1052">
        <v>901250499</v>
      </c>
      <c r="F4" s="1053" t="str">
        <f>_xlfn.XLOOKUP(Table4[[#This Row],[PO]],Table1[PO],Table1[مدير البرنامج],0)</f>
        <v>عادل الحيسوني</v>
      </c>
      <c r="G4" s="1053" t="str">
        <f>_xlfn.XLOOKUP(Table4[[#This Row],[PO]],Table1[PO],Table1[مدير المشروع],0)</f>
        <v xml:space="preserve">سلطان البركانى </v>
      </c>
      <c r="H4" s="1053" t="str">
        <f>_xlfn.XLOOKUP(Table4[[#This Row],[PO]],Table1[PO],Table1[اسم المشروع],0)</f>
        <v>عبارة تصريف مياه الفائض لمحطة معالجة الصرف الصحي بالمدينة المنورة</v>
      </c>
      <c r="I4" s="1053" t="str">
        <f>_xlfn.XLOOKUP(Table4[[#This Row],[PO]],Table1[PO],Table1[[المقاول ]],0)</f>
        <v>شركة مسعود بالعيد حيدر ال حيدر وشركاه للتجاره والمقاولات العامه</v>
      </c>
      <c r="J4" s="1053" t="s">
        <v>384</v>
      </c>
      <c r="K4" s="1053" t="str">
        <f>_xlfn.XLOOKUP(Table4[[#This Row],[PO]],Table1[PO],Table1[الإستشاري],0)</f>
        <v>فيوتشر</v>
      </c>
      <c r="L4" s="1052" t="str">
        <f>_xlfn.XLOOKUP(Table4[[#This Row],[PO]],Table1[PO],Table1[تصنيف المشروع],0)</f>
        <v>WW</v>
      </c>
      <c r="M4" s="1052" t="s">
        <v>339</v>
      </c>
      <c r="N4" s="1054">
        <f>_xlfn.XLOOKUP(Table4[[#This Row],[PO]],Table1[PO],Table1[مدة التوقف عن العمل بالشهور],0)</f>
        <v>0</v>
      </c>
      <c r="O4" s="1052" t="str">
        <f>_xlfn.XLOOKUP(E4,Table1[PO],Table1[حالة المشروع],0)</f>
        <v>متأخر</v>
      </c>
      <c r="P4" s="1055">
        <f>_xlfn.XLOOKUP(E4,Table1[PO],Table1[بداية المشروع التعاقدية],0)</f>
        <v>46035</v>
      </c>
      <c r="Q4" s="1055">
        <f>_xlfn.XLOOKUP(E4,Table1[PO],Table1[نهاية المشروع المعدلة PMO LIVE],0)</f>
        <v>46569</v>
      </c>
      <c r="R4" s="1056">
        <f>_xlfn.XLOOKUP(Table4[[#This Row],[PO]],Table1[PO],Table1[قيمة المشروع بالضريبة],0)/1000000</f>
        <v>14.397855099999999</v>
      </c>
      <c r="S4" s="1056">
        <f>Table4[[#This Row],[قيمة المشروع بالضريبة]]*Table4[[#This Row],[المنفذ % التراكمي]]</f>
        <v>0</v>
      </c>
      <c r="T4" s="1056">
        <f>Table4[[#This Row],[قيمة المشروع بالضريبة]]*Table4[[#This Row],[المخطط % التراكمي]]</f>
        <v>2.1107255576599999</v>
      </c>
      <c r="U4" s="1056">
        <v>0</v>
      </c>
      <c r="V4" s="1056">
        <v>0</v>
      </c>
      <c r="W4" s="1057">
        <v>0</v>
      </c>
      <c r="X4" s="1056">
        <v>0</v>
      </c>
      <c r="Y4" s="1057">
        <v>0</v>
      </c>
      <c r="Z4" s="1056">
        <v>0</v>
      </c>
      <c r="AA4" s="1057">
        <v>0</v>
      </c>
      <c r="AB4" s="1058">
        <f>_xlfn.XLOOKUP(Table4[[#This Row],[PO]],Table1[PO],Table1[نسبة الإيقاف%],0)</f>
        <v>0</v>
      </c>
      <c r="AC4" s="1058">
        <f>_xlfn.XLOOKUP(Table4[[#This Row],[PO]],Table1[PO],Table1[المنفذ % - الإسبوع السابق],0)</f>
        <v>0</v>
      </c>
      <c r="AD4" s="1058" t="str">
        <f>_xlfn.XLOOKUP(Table4[[#This Row],[PO]],Table1[PO],Table1[موقف تقديم الخطة التصحيحية],0)</f>
        <v>✔️</v>
      </c>
      <c r="AE4" s="1059">
        <f>_xlfn.XLOOKUP(E4,Table1[PO],Table1[المخطط % التراكمي],0)</f>
        <v>0.14660000000000001</v>
      </c>
      <c r="AF4" s="1059">
        <f>_xlfn.XLOOKUP(E4,Table1[PO],Table1[المنفذ % التراكمي],0)</f>
        <v>0</v>
      </c>
      <c r="AG4" s="1058">
        <f t="shared" si="0"/>
        <v>-0.14660000000000001</v>
      </c>
      <c r="AH4" s="1040">
        <f>_xlfn.XLOOKUP(E4,Table1[PO],Table1[تاريخ دخول المشروع التعثر بالمدة المنقضية],0)</f>
        <v>46702.5</v>
      </c>
      <c r="AI4" s="1041" t="s">
        <v>100</v>
      </c>
      <c r="AJ4" s="1042" t="s">
        <v>667</v>
      </c>
      <c r="AK4" s="1041" t="s">
        <v>100</v>
      </c>
      <c r="AL4" s="1042">
        <v>46402</v>
      </c>
      <c r="AM4" s="1058">
        <f>_xlfn.XLOOKUP(Table4[[#This Row],[PO]],Table1[PO],Table1[نسبة المخطط التراكمي حتى 31 أكتوبر 2026],0)</f>
        <v>0.16283936723324852</v>
      </c>
      <c r="AN4" s="1058">
        <f>_xlfn.XLOOKUP(Table4[[#This Row],[PO]],Table1[PO],Table1[نسبة الانجاز التراكمي المطلوب للإنتظام],0)</f>
        <v>6.3839367233248512E-2</v>
      </c>
      <c r="AO4" s="1060">
        <f>_xlfn.XLOOKUP(Table4[[#This Row],[PO]],Table1[PO],Table1[النسبة المطلوب زيادتها في أكتوبر 2026 للإنتظام],0)</f>
        <v>6.3839367233248512E-2</v>
      </c>
      <c r="AP4" s="1058">
        <f>_xlfn.XLOOKUP(Table4[[#This Row],[PO]],Table1[PO],Table1[نسبة الانجاز التراكمي المطلوب لتجنب التعثر],0)</f>
        <v>0</v>
      </c>
      <c r="AQ4" s="1061">
        <f>_xlfn.XLOOKUP(Table4[[#This Row],[PO]],Table1[PO],Table1[النسبة المطلوب زيادتها في أكتوبر 2026 لتجنب / الخروج من التعثر],0)</f>
        <v>0</v>
      </c>
      <c r="AR4" s="1058">
        <f>_xlfn.XLOOKUP(E4,Table1[PO],Table1[نسبة المدة المنقضية %],0)</f>
        <v>0.51498127340823974</v>
      </c>
      <c r="AS4" s="1058">
        <f>Table4[[#This Row],[المخطط % التراكمي]]-Table4[[#This Row],[نسبة المدة المنقضية %]]</f>
        <v>-0.36838127340823973</v>
      </c>
      <c r="AT4" s="1062" t="s">
        <v>517</v>
      </c>
      <c r="AU4" s="1063" t="s">
        <v>1038</v>
      </c>
      <c r="AV4" s="1063" t="s">
        <v>844</v>
      </c>
      <c r="AW4" s="1064" t="s">
        <v>960</v>
      </c>
      <c r="AX4" s="1065" t="s">
        <v>844</v>
      </c>
      <c r="AY4" s="1066"/>
      <c r="AZ4" s="1067" t="s">
        <v>1012</v>
      </c>
      <c r="BA4" s="496"/>
      <c r="BB4" s="667" t="s">
        <v>816</v>
      </c>
      <c r="BC4" s="841" t="s">
        <v>773</v>
      </c>
      <c r="BE4" s="667" t="s">
        <v>844</v>
      </c>
      <c r="BF4" s="841" t="s">
        <v>852</v>
      </c>
      <c r="BG4" s="667" t="s">
        <v>844</v>
      </c>
      <c r="BH4" s="841" t="s">
        <v>877</v>
      </c>
      <c r="BI4" s="974"/>
      <c r="BJ4" s="1002"/>
      <c r="BK4" s="974"/>
    </row>
    <row r="5" spans="1:63" ht="76.2" customHeight="1">
      <c r="A5" s="1030">
        <f>SUBTOTAL(3,$E$3:E5)</f>
        <v>3</v>
      </c>
      <c r="B5" s="1031" t="s">
        <v>519</v>
      </c>
      <c r="C5" s="1031" t="s">
        <v>518</v>
      </c>
      <c r="D5" s="1031"/>
      <c r="E5" s="1031">
        <v>901250461</v>
      </c>
      <c r="F5" s="1032" t="str">
        <f>_xlfn.XLOOKUP(Table4[[#This Row],[PO]],Table1[PO],Table1[مدير البرنامج],0)</f>
        <v xml:space="preserve">عبدالله المغذوي </v>
      </c>
      <c r="G5" s="1032" t="str">
        <f>_xlfn.XLOOKUP(Table4[[#This Row],[PO]],Table1[PO],Table1[مدير المشروع],0)</f>
        <v>فارس الرويثي</v>
      </c>
      <c r="H5" s="1032" t="str">
        <f>_xlfn.XLOOKUP(Table4[[#This Row],[PO]],Table1[PO],Table1[اسم المشروع],0)</f>
        <v>مشروع انشاء شبكات مياه بمدائن صالح</v>
      </c>
      <c r="I5" s="1032" t="s">
        <v>273</v>
      </c>
      <c r="J5" s="1032" t="s">
        <v>384</v>
      </c>
      <c r="K5" s="1032" t="str">
        <f>_xlfn.XLOOKUP(Table4[[#This Row],[PO]],Table1[PO],Table1[الإستشاري],0)</f>
        <v>فيوتشر</v>
      </c>
      <c r="L5" s="1031" t="str">
        <f>_xlfn.XLOOKUP(Table4[[#This Row],[PO]],Table1[PO],Table1[تصنيف المشروع],0)</f>
        <v>Coastal</v>
      </c>
      <c r="M5" s="1031" t="s">
        <v>339</v>
      </c>
      <c r="N5" s="1034">
        <f>_xlfn.XLOOKUP(Table4[[#This Row],[PO]],Table1[PO],Table1[مدة التوقف عن العمل بالشهور],0)</f>
        <v>0</v>
      </c>
      <c r="O5" s="1031" t="str">
        <f>_xlfn.XLOOKUP(E5,Table1[PO],Table1[حالة المشروع],0)</f>
        <v>منتظم</v>
      </c>
      <c r="P5" s="1035">
        <f>_xlfn.XLOOKUP(E5,Table1[PO],Table1[بداية المشروع التعاقدية],0)</f>
        <v>46097</v>
      </c>
      <c r="Q5" s="1035">
        <f>_xlfn.XLOOKUP(E5,Table1[PO],Table1[نهاية المشروع المعدلة PMO LIVE],0)</f>
        <v>46961</v>
      </c>
      <c r="R5" s="1036">
        <f>_xlfn.XLOOKUP(Table4[[#This Row],[PO]],Table1[PO],Table1[قيمة المشروع بالضريبة],0)/1000000</f>
        <v>21.792498850000001</v>
      </c>
      <c r="S5" s="1036">
        <f>Table4[[#This Row],[قيمة المشروع بالضريبة]]*Table4[[#This Row],[المنفذ % التراكمي]]</f>
        <v>0.29637798436000001</v>
      </c>
      <c r="T5" s="1036">
        <f>Table4[[#This Row],[قيمة المشروع بالضريبة]]*Table4[[#This Row],[المخطط % التراكمي]]</f>
        <v>1.1855119374400001</v>
      </c>
      <c r="U5" s="1036">
        <v>104224.99450000002</v>
      </c>
      <c r="V5" s="1036">
        <v>0</v>
      </c>
      <c r="W5" s="1037">
        <v>0</v>
      </c>
      <c r="X5" s="1036">
        <v>0</v>
      </c>
      <c r="Y5" s="1037">
        <v>0</v>
      </c>
      <c r="Z5" s="1036">
        <v>0</v>
      </c>
      <c r="AA5" s="1037">
        <v>0</v>
      </c>
      <c r="AB5" s="1038">
        <f>_xlfn.XLOOKUP(Table4[[#This Row],[PO]],Table1[PO],Table1[نسبة الإيقاف%],0)</f>
        <v>0</v>
      </c>
      <c r="AC5" s="1038">
        <f>_xlfn.XLOOKUP(Table4[[#This Row],[PO]],Table1[PO],Table1[المنفذ % - الإسبوع السابق],0)</f>
        <v>1.3599999999999999E-2</v>
      </c>
      <c r="AD5" s="1038" t="str">
        <f>_xlfn.XLOOKUP(Table4[[#This Row],[PO]],Table1[PO],Table1[موقف تقديم الخطة التصحيحية],0)</f>
        <v>➖</v>
      </c>
      <c r="AE5" s="1039">
        <f>_xlfn.XLOOKUP(E5,Table1[PO],Table1[المخطط % التراكمي],0)</f>
        <v>5.4399999999999997E-2</v>
      </c>
      <c r="AF5" s="1039">
        <f>_xlfn.XLOOKUP(E5,Table1[PO],Table1[المنفذ % التراكمي],0)</f>
        <v>1.3599999999999999E-2</v>
      </c>
      <c r="AG5" s="1038">
        <f t="shared" si="0"/>
        <v>-4.0799999999999996E-2</v>
      </c>
      <c r="AH5" s="1068">
        <f>_xlfn.XLOOKUP(E5,Table1[PO],Table1[تاريخ دخول المشروع التعثر بالمدة المنقضية],0)</f>
        <v>47177</v>
      </c>
      <c r="AI5" s="1041">
        <v>46553</v>
      </c>
      <c r="AJ5" s="1042">
        <v>46754</v>
      </c>
      <c r="AK5" s="1041">
        <v>46645</v>
      </c>
      <c r="AL5" s="1042">
        <v>46803</v>
      </c>
      <c r="AM5" s="1038">
        <f>_xlfn.XLOOKUP(Table4[[#This Row],[PO]],Table1[PO],Table1[نسبة المخطط التراكمي حتى 31 أكتوبر 2026],0)</f>
        <v>5.8637047949184583E-2</v>
      </c>
      <c r="AN5" s="1038">
        <f>_xlfn.XLOOKUP(Table4[[#This Row],[PO]],Table1[PO],Table1[نسبة الانجاز التراكمي المطلوب للإنتظام],0)</f>
        <v>0</v>
      </c>
      <c r="AO5" s="1069">
        <f>_xlfn.XLOOKUP(Table4[[#This Row],[PO]],Table1[PO],Table1[النسبة المطلوب زيادتها في أكتوبر 2026 للإنتظام],0)</f>
        <v>0</v>
      </c>
      <c r="AP5" s="1038">
        <f>_xlfn.XLOOKUP(Table4[[#This Row],[PO]],Table1[PO],Table1[نسبة الانجاز التراكمي المطلوب لتجنب التعثر],0)</f>
        <v>0</v>
      </c>
      <c r="AQ5" s="1070">
        <f>_xlfn.XLOOKUP(Table4[[#This Row],[PO]],Table1[PO],Table1[النسبة المطلوب زيادتها في أكتوبر 2026 لتجنب / الخروج من التعثر],0)</f>
        <v>0</v>
      </c>
      <c r="AR5" s="1038">
        <f>_xlfn.XLOOKUP(E5,Table1[PO],Table1[نسبة المدة المنقضية %],0)</f>
        <v>0.24652777777777779</v>
      </c>
      <c r="AS5" s="1038">
        <f>Table4[[#This Row],[المخطط % التراكمي]]-Table4[[#This Row],[نسبة المدة المنقضية %]]</f>
        <v>-0.19212777777777779</v>
      </c>
      <c r="AT5" s="1071" t="s">
        <v>517</v>
      </c>
      <c r="AU5" s="1071" t="s">
        <v>633</v>
      </c>
      <c r="AV5" s="1072" t="s">
        <v>633</v>
      </c>
      <c r="AW5" s="1073" t="s">
        <v>961</v>
      </c>
      <c r="AX5" s="1074" t="s">
        <v>633</v>
      </c>
      <c r="AY5" s="1048"/>
      <c r="AZ5" s="1075" t="s">
        <v>633</v>
      </c>
      <c r="BA5" s="496"/>
      <c r="BB5" s="666" t="s">
        <v>597</v>
      </c>
      <c r="BC5" s="842" t="s">
        <v>633</v>
      </c>
      <c r="BE5" s="666" t="s">
        <v>597</v>
      </c>
      <c r="BF5" s="842" t="s">
        <v>633</v>
      </c>
      <c r="BG5" s="666" t="s">
        <v>597</v>
      </c>
      <c r="BH5" s="842" t="s">
        <v>633</v>
      </c>
      <c r="BI5" s="974"/>
      <c r="BJ5" s="1002"/>
      <c r="BK5" s="974"/>
    </row>
    <row r="6" spans="1:63" s="55" customFormat="1" ht="211.2" customHeight="1">
      <c r="A6" s="1051">
        <f>SUBTOTAL(3,$E$3:E6)</f>
        <v>4</v>
      </c>
      <c r="B6" s="1052" t="s">
        <v>415</v>
      </c>
      <c r="C6" s="1052" t="s">
        <v>413</v>
      </c>
      <c r="D6" s="1052"/>
      <c r="E6" s="1052">
        <v>901250436</v>
      </c>
      <c r="F6" s="1053" t="str">
        <f>_xlfn.XLOOKUP(Table4[[#This Row],[PO]],Table1[PO],Table1[مدير البرنامج],0)</f>
        <v>أحمد المطيري</v>
      </c>
      <c r="G6" s="1053" t="str">
        <f>_xlfn.XLOOKUP(Table4[[#This Row],[PO]],Table1[PO],Table1[مدير المشروع],0)</f>
        <v>خالد الصحاف</v>
      </c>
      <c r="H6" s="1053" t="str">
        <f>_xlfn.XLOOKUP(Table4[[#This Row],[PO]],Table1[PO],Table1[اسم المشروع],0)</f>
        <v>تنفيذ خط مياه رئيسي وخزان وشبكة توزيع رئيسية لوادي الريم وقراها</v>
      </c>
      <c r="I6" s="1053" t="s">
        <v>404</v>
      </c>
      <c r="J6" s="1053" t="s">
        <v>384</v>
      </c>
      <c r="K6" s="1053" t="str">
        <f>_xlfn.XLOOKUP(Table4[[#This Row],[PO]],Table1[PO],Table1[الإستشاري],0)</f>
        <v>فيوتشر</v>
      </c>
      <c r="L6" s="1052" t="str">
        <f>_xlfn.XLOOKUP(Table4[[#This Row],[PO]],Table1[PO],Table1[تصنيف المشروع],0)</f>
        <v>Water 1</v>
      </c>
      <c r="M6" s="1052" t="s">
        <v>339</v>
      </c>
      <c r="N6" s="1054">
        <f>_xlfn.XLOOKUP(Table4[[#This Row],[PO]],Table1[PO],Table1[مدة التوقف عن العمل بالشهور],0)</f>
        <v>0</v>
      </c>
      <c r="O6" s="1052" t="str">
        <f>_xlfn.XLOOKUP(E6,Table1[PO],Table1[حالة المشروع],0)</f>
        <v>ايقاف كلي</v>
      </c>
      <c r="P6" s="1055">
        <f>_xlfn.XLOOKUP(E6,Table1[PO],Table1[بداية المشروع التعاقدية],0)</f>
        <v>46033</v>
      </c>
      <c r="Q6" s="1055">
        <f>_xlfn.XLOOKUP(E6,Table1[PO],Table1[نهاية المشروع المعدلة PMO LIVE],0)</f>
        <v>46995</v>
      </c>
      <c r="R6" s="1056">
        <f>_xlfn.XLOOKUP(Table4[[#This Row],[PO]],Table1[PO],Table1[قيمة المشروع بالضريبة],0)/1000000</f>
        <v>58.775973299999997</v>
      </c>
      <c r="S6" s="1056">
        <f>Table4[[#This Row],[قيمة المشروع بالضريبة]]*Table4[[#This Row],[المنفذ % التراكمي]]</f>
        <v>0</v>
      </c>
      <c r="T6" s="1056">
        <f>Table4[[#This Row],[قيمة المشروع بالضريبة]]*Table4[[#This Row],[المخطط % التراكمي]]</f>
        <v>1.0991107007100001</v>
      </c>
      <c r="U6" s="1056">
        <v>0</v>
      </c>
      <c r="V6" s="1056">
        <v>0</v>
      </c>
      <c r="W6" s="1057">
        <v>0</v>
      </c>
      <c r="X6" s="1056">
        <v>0</v>
      </c>
      <c r="Y6" s="1057">
        <v>0</v>
      </c>
      <c r="Z6" s="1056">
        <v>0</v>
      </c>
      <c r="AA6" s="1057">
        <v>0</v>
      </c>
      <c r="AB6" s="1058">
        <f>_xlfn.XLOOKUP(Table4[[#This Row],[PO]],Table1[PO],Table1[نسبة الإيقاف%],0)</f>
        <v>0</v>
      </c>
      <c r="AC6" s="1058">
        <f>_xlfn.XLOOKUP(Table4[[#This Row],[PO]],Table1[PO],Table1[المنفذ % - الإسبوع السابق],0)</f>
        <v>0</v>
      </c>
      <c r="AD6" s="1058" t="str">
        <f>_xlfn.XLOOKUP(Table4[[#This Row],[PO]],Table1[PO],Table1[موقف تقديم الخطة التصحيحية],0)</f>
        <v>➖</v>
      </c>
      <c r="AE6" s="1059">
        <f>_xlfn.XLOOKUP(E6,Table1[PO],Table1[المخطط % التراكمي],0)</f>
        <v>1.8700000000000001E-2</v>
      </c>
      <c r="AF6" s="1059">
        <f>_xlfn.XLOOKUP(E6,Table1[PO],Table1[المنفذ % التراكمي],0)</f>
        <v>0</v>
      </c>
      <c r="AG6" s="1058">
        <f t="shared" si="0"/>
        <v>-1.8700000000000001E-2</v>
      </c>
      <c r="AH6" s="1076">
        <f>_xlfn.XLOOKUP(E6,Table1[PO],Table1[تاريخ دخول المشروع التعثر بالمدة المنقضية],0)</f>
        <v>47235.5</v>
      </c>
      <c r="AI6" s="1041" t="s">
        <v>666</v>
      </c>
      <c r="AJ6" s="1042" t="s">
        <v>667</v>
      </c>
      <c r="AK6" s="1041">
        <v>46402</v>
      </c>
      <c r="AL6" s="1042">
        <v>46497</v>
      </c>
      <c r="AM6" s="1058">
        <f>_xlfn.XLOOKUP(Table4[[#This Row],[PO]],Table1[PO],Table1[نسبة المخطط التراكمي حتى 31 أكتوبر 2026],0)</f>
        <v>4.2105400787978108E-2</v>
      </c>
      <c r="AN6" s="1058">
        <f>_xlfn.XLOOKUP(Table4[[#This Row],[PO]],Table1[PO],Table1[نسبة الانجاز التراكمي المطلوب للإنتظام],0)</f>
        <v>0</v>
      </c>
      <c r="AO6" s="1060">
        <f>_xlfn.XLOOKUP(Table4[[#This Row],[PO]],Table1[PO],Table1[النسبة المطلوب زيادتها في أكتوبر 2026 للإنتظام],0)</f>
        <v>0</v>
      </c>
      <c r="AP6" s="1058">
        <f>_xlfn.XLOOKUP(Table4[[#This Row],[PO]],Table1[PO],Table1[نسبة الانجاز التراكمي المطلوب لتجنب التعثر],0)</f>
        <v>0</v>
      </c>
      <c r="AQ6" s="1061">
        <f>_xlfn.XLOOKUP(Table4[[#This Row],[PO]],Table1[PO],Table1[النسبة المطلوب زيادتها في أكتوبر 2026 لتجنب / الخروج من التعثر],0)</f>
        <v>0</v>
      </c>
      <c r="AR6" s="1058">
        <f>_xlfn.XLOOKUP(E6,Table1[PO],Table1[نسبة المدة المنقضية %],0)</f>
        <v>0.28794178794178793</v>
      </c>
      <c r="AS6" s="1058">
        <f>Table4[[#This Row],[المخطط % التراكمي]]-Table4[[#This Row],[نسبة المدة المنقضية %]]</f>
        <v>-0.26924178794178794</v>
      </c>
      <c r="AT6" s="1062" t="s">
        <v>517</v>
      </c>
      <c r="AU6" s="1063" t="s">
        <v>1041</v>
      </c>
      <c r="AV6" s="1063" t="s">
        <v>736</v>
      </c>
      <c r="AW6" s="1064" t="s">
        <v>901</v>
      </c>
      <c r="AX6" s="1065" t="s">
        <v>736</v>
      </c>
      <c r="AY6" s="1066"/>
      <c r="AZ6" s="1067" t="s">
        <v>633</v>
      </c>
      <c r="BA6" s="496"/>
      <c r="BB6" s="667" t="s">
        <v>736</v>
      </c>
      <c r="BC6" s="841" t="s">
        <v>774</v>
      </c>
      <c r="BE6" s="667" t="s">
        <v>736</v>
      </c>
      <c r="BF6" s="841" t="s">
        <v>845</v>
      </c>
      <c r="BG6" s="667" t="s">
        <v>736</v>
      </c>
      <c r="BH6" s="841" t="s">
        <v>633</v>
      </c>
      <c r="BI6" s="974"/>
      <c r="BJ6" s="1002"/>
      <c r="BK6" s="974"/>
    </row>
    <row r="7" spans="1:63" ht="60">
      <c r="A7" s="1030">
        <f>SUBTOTAL(3,$E$3:E7)</f>
        <v>5</v>
      </c>
      <c r="B7" s="1031" t="s">
        <v>313</v>
      </c>
      <c r="C7" s="1031" t="s">
        <v>312</v>
      </c>
      <c r="D7" s="1031"/>
      <c r="E7" s="1077">
        <v>901250341</v>
      </c>
      <c r="F7" s="1078" t="str">
        <f>_xlfn.XLOOKUP(Table4[[#This Row],[PO]],Table1[PO],Table1[مدير البرنامج],0)</f>
        <v xml:space="preserve">عبدالله المغذوي </v>
      </c>
      <c r="G7" s="1078" t="str">
        <f>_xlfn.XLOOKUP(Table4[[#This Row],[PO]],Table1[PO],Table1[مدير المشروع],0)</f>
        <v>ياسين عويضه</v>
      </c>
      <c r="H7" s="1032" t="str">
        <f>_xlfn.XLOOKUP(Table4[[#This Row],[PO]],Table1[PO],Table1[اسم المشروع],0)</f>
        <v>تنفيذ خطوط وشبكات توزيع المياه بمحافظة وادي الفرع</v>
      </c>
      <c r="I7" s="1032" t="s">
        <v>273</v>
      </c>
      <c r="J7" s="1032" t="s">
        <v>384</v>
      </c>
      <c r="K7" s="1032" t="str">
        <f>_xlfn.XLOOKUP(Table4[[#This Row],[PO]],Table1[PO],Table1[الإستشاري],0)</f>
        <v>فيوتشر</v>
      </c>
      <c r="L7" s="1031" t="str">
        <f>_xlfn.XLOOKUP(Table4[[#This Row],[PO]],Table1[PO],Table1[تصنيف المشروع],0)</f>
        <v>Water 2</v>
      </c>
      <c r="M7" s="1031" t="s">
        <v>338</v>
      </c>
      <c r="N7" s="1034">
        <f>_xlfn.XLOOKUP(Table4[[#This Row],[PO]],Table1[PO],Table1[مدة التوقف عن العمل بالشهور],0)</f>
        <v>0</v>
      </c>
      <c r="O7" s="1031" t="str">
        <f>_xlfn.XLOOKUP(E7,Table1[PO],Table1[حالة المشروع],0)</f>
        <v>متقدم</v>
      </c>
      <c r="P7" s="1035">
        <f>_xlfn.XLOOKUP(E7,Table1[PO],Table1[بداية المشروع التعاقدية],0)</f>
        <v>45978</v>
      </c>
      <c r="Q7" s="1035">
        <f>_xlfn.XLOOKUP(E7,Table1[PO],Table1[نهاية المشروع المعدلة PMO LIVE],0)</f>
        <v>47241</v>
      </c>
      <c r="R7" s="1036">
        <f>_xlfn.XLOOKUP(Table4[[#This Row],[PO]],Table1[PO],Table1[قيمة المشروع بالضريبة],0)/1000000</f>
        <v>21.801222750000001</v>
      </c>
      <c r="S7" s="1036">
        <f>Table4[[#This Row],[قيمة المشروع بالضريبة]]*Table4[[#This Row],[المنفذ % التراكمي]]</f>
        <v>3.7672512912000005</v>
      </c>
      <c r="T7" s="1036">
        <f>Table4[[#This Row],[قيمة المشروع بالضريبة]]*Table4[[#This Row],[المخطط % التراكمي]]</f>
        <v>1.21650822945</v>
      </c>
      <c r="U7" s="1036">
        <v>267142.89297826029</v>
      </c>
      <c r="V7" s="1036">
        <v>1034677.0299999998</v>
      </c>
      <c r="W7" s="1037">
        <v>2</v>
      </c>
      <c r="X7" s="1036">
        <v>2248770.0300000003</v>
      </c>
      <c r="Y7" s="1037">
        <v>6</v>
      </c>
      <c r="Z7" s="1036">
        <v>3283447.06</v>
      </c>
      <c r="AA7" s="1037">
        <v>8</v>
      </c>
      <c r="AB7" s="1038">
        <f>_xlfn.XLOOKUP(Table4[[#This Row],[PO]],Table1[PO],Table1[نسبة الإيقاف%],0)</f>
        <v>0</v>
      </c>
      <c r="AC7" s="1038">
        <f>_xlfn.XLOOKUP(Table4[[#This Row],[PO]],Table1[PO],Table1[المنفذ % - الإسبوع السابق],0)</f>
        <v>0.17280000000000001</v>
      </c>
      <c r="AD7" s="1038" t="str">
        <f>_xlfn.XLOOKUP(Table4[[#This Row],[PO]],Table1[PO],Table1[موقف تقديم الخطة التصحيحية],0)</f>
        <v>➖</v>
      </c>
      <c r="AE7" s="1039">
        <f>_xlfn.XLOOKUP(E7,Table1[PO],Table1[المخطط % التراكمي],0)</f>
        <v>5.5800000000000002E-2</v>
      </c>
      <c r="AF7" s="1039">
        <f>_xlfn.XLOOKUP(E7,Table1[PO],Table1[المنفذ % التراكمي],0)</f>
        <v>0.17280000000000001</v>
      </c>
      <c r="AG7" s="1038">
        <f t="shared" si="0"/>
        <v>0.11700000000000001</v>
      </c>
      <c r="AH7" s="1068">
        <f>_xlfn.XLOOKUP(E7,Table1[PO],Table1[تاريخ دخول المشروع التعثر بالمدة المنقضية],0)</f>
        <v>47556.75</v>
      </c>
      <c r="AI7" s="1079">
        <v>46672</v>
      </c>
      <c r="AJ7" s="1080">
        <v>46814</v>
      </c>
      <c r="AK7" s="1079">
        <v>47107</v>
      </c>
      <c r="AL7" s="1080" t="s">
        <v>667</v>
      </c>
      <c r="AM7" s="1043">
        <f>_xlfn.XLOOKUP(Table4[[#This Row],[PO]],Table1[PO],Table1[نسبة المخطط التراكمي حتى 31 أكتوبر 2026],0)</f>
        <v>5.5973430160012473E-2</v>
      </c>
      <c r="AN7" s="1043">
        <f>_xlfn.XLOOKUP(Table4[[#This Row],[PO]],Table1[PO],Table1[نسبة الانجاز التراكمي المطلوب للإنتظام],0)</f>
        <v>0</v>
      </c>
      <c r="AO7" s="1044">
        <f>_xlfn.XLOOKUP(Table4[[#This Row],[PO]],Table1[PO],Table1[النسبة المطلوب زيادتها في أكتوبر 2026 للإنتظام],0)</f>
        <v>0</v>
      </c>
      <c r="AP7" s="1043">
        <f>_xlfn.XLOOKUP(Table4[[#This Row],[PO]],Table1[PO],Table1[نسبة الانجاز التراكمي المطلوب لتجنب التعثر],0)</f>
        <v>0</v>
      </c>
      <c r="AQ7" s="1081">
        <f>_xlfn.XLOOKUP(Table4[[#This Row],[PO]],Table1[PO],Table1[النسبة المطلوب زيادتها في أكتوبر 2026 لتجنب / الخروج من التعثر],0)</f>
        <v>0</v>
      </c>
      <c r="AR7" s="1043">
        <f>_xlfn.XLOOKUP(E7,Table1[PO],Table1[نسبة المدة المنقضية %],0)</f>
        <v>0.26286619160728425</v>
      </c>
      <c r="AS7" s="1043">
        <f>Table4[[#This Row],[المخطط % التراكمي]]-Table4[[#This Row],[نسبة المدة المنقضية %]]</f>
        <v>-0.20706619160728423</v>
      </c>
      <c r="AT7" s="1043" t="s">
        <v>517</v>
      </c>
      <c r="AU7" s="1043" t="s">
        <v>633</v>
      </c>
      <c r="AV7" s="1046" t="s">
        <v>633</v>
      </c>
      <c r="AW7" s="1047" t="s">
        <v>962</v>
      </c>
      <c r="AX7" s="1074" t="s">
        <v>633</v>
      </c>
      <c r="AY7" s="1049"/>
      <c r="AZ7" s="1082" t="s">
        <v>994</v>
      </c>
      <c r="BA7" s="496"/>
      <c r="BB7" s="666" t="s">
        <v>814</v>
      </c>
      <c r="BC7" s="843" t="s">
        <v>813</v>
      </c>
      <c r="BE7" s="666" t="s">
        <v>814</v>
      </c>
      <c r="BF7" s="843" t="s">
        <v>837</v>
      </c>
      <c r="BG7" s="666" t="s">
        <v>814</v>
      </c>
      <c r="BH7" s="843" t="s">
        <v>891</v>
      </c>
      <c r="BI7" s="974"/>
      <c r="BJ7" s="1002"/>
      <c r="BK7" s="974"/>
    </row>
    <row r="8" spans="1:63" s="55" customFormat="1" ht="100.2" customHeight="1">
      <c r="A8" s="1051">
        <f>SUBTOTAL(3,$E$3:E8)</f>
        <v>6</v>
      </c>
      <c r="B8" s="1052" t="s">
        <v>305</v>
      </c>
      <c r="C8" s="1052" t="s">
        <v>231</v>
      </c>
      <c r="D8" s="1052"/>
      <c r="E8" s="1083">
        <v>901250300</v>
      </c>
      <c r="F8" s="1084" t="str">
        <f>_xlfn.XLOOKUP(Table4[[#This Row],[PO]],Table1[PO],Table1[مدير البرنامج],0)</f>
        <v xml:space="preserve">عبدالله المغذوي </v>
      </c>
      <c r="G8" s="1084" t="str">
        <f>_xlfn.XLOOKUP(Table4[[#This Row],[PO]],Table1[PO],Table1[مدير المشروع],0)</f>
        <v xml:space="preserve">فارس الرويثي </v>
      </c>
      <c r="H8" s="1053" t="str">
        <f>_xlfn.XLOOKUP(Table4[[#This Row],[PO]],Table1[PO],Table1[اسم المشروع],0)</f>
        <v>مشروع تنفيذ خط المياه الرئيسي من  الخزانات الاستراتيجية الي المسجد النبوي</v>
      </c>
      <c r="I8" s="1053" t="s">
        <v>171</v>
      </c>
      <c r="J8" s="1053" t="s">
        <v>384</v>
      </c>
      <c r="K8" s="1053" t="str">
        <f>_xlfn.XLOOKUP(Table4[[#This Row],[PO]],Table1[PO],Table1[الإستشاري],0)</f>
        <v>دورش</v>
      </c>
      <c r="L8" s="1052" t="str">
        <f>_xlfn.XLOOKUP(Table4[[#This Row],[PO]],Table1[PO],Table1[تصنيف المشروع],0)</f>
        <v>Water 2</v>
      </c>
      <c r="M8" s="1052" t="s">
        <v>339</v>
      </c>
      <c r="N8" s="1054">
        <f>_xlfn.XLOOKUP(Table4[[#This Row],[PO]],Table1[PO],Table1[مدة التوقف عن العمل بالشهور],0)</f>
        <v>0</v>
      </c>
      <c r="O8" s="1052" t="str">
        <f>_xlfn.XLOOKUP(E8,Table1[PO],Table1[حالة المشروع],0)</f>
        <v>متقدم</v>
      </c>
      <c r="P8" s="1055">
        <f>_xlfn.XLOOKUP(E8,Table1[PO],Table1[بداية المشروع التعاقدية],0)</f>
        <v>45942</v>
      </c>
      <c r="Q8" s="1055">
        <f>_xlfn.XLOOKUP(E8,Table1[PO],Table1[نهاية المشروع المعدلة PMO LIVE],0)</f>
        <v>47286</v>
      </c>
      <c r="R8" s="1056">
        <f>_xlfn.XLOOKUP(Table4[[#This Row],[PO]],Table1[PO],Table1[قيمة المشروع بالضريبة],0)/1000000</f>
        <v>342.20549999999997</v>
      </c>
      <c r="S8" s="1056">
        <f>Table4[[#This Row],[قيمة المشروع بالضريبة]]*Table4[[#This Row],[المنفذ % التراكمي]]</f>
        <v>56.087481449999991</v>
      </c>
      <c r="T8" s="1056">
        <f>Table4[[#This Row],[قيمة المشروع بالضريبة]]*Table4[[#This Row],[المخطط % التراكمي]]</f>
        <v>28.984805849999997</v>
      </c>
      <c r="U8" s="1056">
        <v>3348054.5217391253</v>
      </c>
      <c r="V8" s="1056">
        <v>6621859.9200000018</v>
      </c>
      <c r="W8" s="1057">
        <v>1</v>
      </c>
      <c r="X8" s="1056">
        <v>38737028.280000001</v>
      </c>
      <c r="Y8" s="1057">
        <v>7</v>
      </c>
      <c r="Z8" s="1056">
        <v>45358888.200000003</v>
      </c>
      <c r="AA8" s="1057">
        <v>8</v>
      </c>
      <c r="AB8" s="1058">
        <f>_xlfn.XLOOKUP(Table4[[#This Row],[PO]],Table1[PO],Table1[نسبة الإيقاف%],0)</f>
        <v>0</v>
      </c>
      <c r="AC8" s="1058">
        <f>_xlfn.XLOOKUP(Table4[[#This Row],[PO]],Table1[PO],Table1[المنفذ % - الإسبوع السابق],0)</f>
        <v>0.16209999999999999</v>
      </c>
      <c r="AD8" s="1058" t="str">
        <f>_xlfn.XLOOKUP(Table4[[#This Row],[PO]],Table1[PO],Table1[موقف تقديم الخطة التصحيحية],0)</f>
        <v>➖</v>
      </c>
      <c r="AE8" s="1059">
        <f>_xlfn.XLOOKUP(E8,Table1[PO],Table1[المخطط % التراكمي],0)</f>
        <v>8.4699999999999998E-2</v>
      </c>
      <c r="AF8" s="1059">
        <f>_xlfn.XLOOKUP(E8,Table1[PO],Table1[المنفذ % التراكمي],0)</f>
        <v>0.16389999999999999</v>
      </c>
      <c r="AG8" s="1058">
        <f t="shared" si="0"/>
        <v>7.9199999999999993E-2</v>
      </c>
      <c r="AH8" s="1076">
        <f>_xlfn.XLOOKUP(E8,Table1[PO],Table1[تاريخ دخول المشروع التعثر بالمدة المنقضية],0)</f>
        <v>47622</v>
      </c>
      <c r="AI8" s="1041">
        <v>46946</v>
      </c>
      <c r="AJ8" s="1080">
        <v>46827</v>
      </c>
      <c r="AK8" s="1041">
        <v>46919</v>
      </c>
      <c r="AL8" s="1080">
        <v>47016</v>
      </c>
      <c r="AM8" s="1085">
        <f>_xlfn.XLOOKUP(Table4[[#This Row],[PO]],Table1[PO],Table1[نسبة المخطط التراكمي حتى 31 أكتوبر 2026],0)</f>
        <v>8.7609380011425889E-2</v>
      </c>
      <c r="AN8" s="1085">
        <f>_xlfn.XLOOKUP(Table4[[#This Row],[PO]],Table1[PO],Table1[نسبة الانجاز التراكمي المطلوب للإنتظام],0)</f>
        <v>0</v>
      </c>
      <c r="AO8" s="1086">
        <f>_xlfn.XLOOKUP(Table4[[#This Row],[PO]],Table1[PO],Table1[النسبة المطلوب زيادتها في أكتوبر 2026 للإنتظام],0)</f>
        <v>0</v>
      </c>
      <c r="AP8" s="1085">
        <f>_xlfn.XLOOKUP(Table4[[#This Row],[PO]],Table1[PO],Table1[نسبة الانجاز التراكمي المطلوب لتجنب التعثر],0)</f>
        <v>0</v>
      </c>
      <c r="AQ8" s="1087">
        <f>_xlfn.XLOOKUP(Table4[[#This Row],[PO]],Table1[PO],Table1[النسبة المطلوب زيادتها في أكتوبر 2026 لتجنب / الخروج من التعثر],0)</f>
        <v>0</v>
      </c>
      <c r="AR8" s="1085">
        <f>_xlfn.XLOOKUP(E8,Table1[PO],Table1[نسبة المدة المنقضية %],0)</f>
        <v>0.27380952380952384</v>
      </c>
      <c r="AS8" s="1085">
        <f>Table4[[#This Row],[المخطط % التراكمي]]-Table4[[#This Row],[نسبة المدة المنقضية %]]</f>
        <v>-0.18910952380952384</v>
      </c>
      <c r="AT8" s="1085" t="s">
        <v>517</v>
      </c>
      <c r="AU8" s="1088" t="s">
        <v>1036</v>
      </c>
      <c r="AV8" s="1088" t="s">
        <v>742</v>
      </c>
      <c r="AW8" s="1089" t="s">
        <v>647</v>
      </c>
      <c r="AX8" s="1065" t="s">
        <v>761</v>
      </c>
      <c r="AY8" s="1090"/>
      <c r="AZ8" s="1091" t="s">
        <v>986</v>
      </c>
      <c r="BA8" s="496"/>
      <c r="BB8" s="667" t="s">
        <v>761</v>
      </c>
      <c r="BC8" s="844" t="s">
        <v>775</v>
      </c>
      <c r="BE8" s="667" t="s">
        <v>761</v>
      </c>
      <c r="BF8" s="844" t="s">
        <v>838</v>
      </c>
      <c r="BG8" s="667" t="s">
        <v>761</v>
      </c>
      <c r="BH8" s="844" t="s">
        <v>878</v>
      </c>
      <c r="BI8" s="974"/>
      <c r="BJ8" s="1002"/>
      <c r="BK8" s="974"/>
    </row>
    <row r="9" spans="1:63" ht="102.6" customHeight="1">
      <c r="A9" s="1030">
        <f>SUBTOTAL(3,$E$3:E9)</f>
        <v>7</v>
      </c>
      <c r="B9" s="1031" t="s">
        <v>299</v>
      </c>
      <c r="C9" s="1031" t="s">
        <v>215</v>
      </c>
      <c r="D9" s="1031"/>
      <c r="E9" s="1077">
        <v>901250291</v>
      </c>
      <c r="F9" s="1078" t="str">
        <f>_xlfn.XLOOKUP(Table4[[#This Row],[PO]],Table1[PO],Table1[مدير البرنامج],0)</f>
        <v>عادل الحيسوني</v>
      </c>
      <c r="G9" s="1078" t="str">
        <f>_xlfn.XLOOKUP(Table4[[#This Row],[PO]],Table1[PO],Table1[مدير المشروع],0)</f>
        <v>بدر المحمدي</v>
      </c>
      <c r="H9" s="1032" t="str">
        <f>_xlfn.XLOOKUP(Table4[[#This Row],[PO]],Table1[PO],Table1[اسم المشروع],0)</f>
        <v>تنفيذ خطوط وشبكات الصرف الصحي مخطط جبل عير</v>
      </c>
      <c r="I9" s="1032" t="s">
        <v>147</v>
      </c>
      <c r="J9" s="1032" t="s">
        <v>384</v>
      </c>
      <c r="K9" s="1032" t="str">
        <f>_xlfn.XLOOKUP(Table4[[#This Row],[PO]],Table1[PO],Table1[الإستشاري],0)</f>
        <v>فيوتشر</v>
      </c>
      <c r="L9" s="1031" t="str">
        <f>_xlfn.XLOOKUP(Table4[[#This Row],[PO]],Table1[PO],Table1[تصنيف المشروع],0)</f>
        <v>WW</v>
      </c>
      <c r="M9" s="1031" t="s">
        <v>338</v>
      </c>
      <c r="N9" s="1034">
        <f>_xlfn.XLOOKUP(Table4[[#This Row],[PO]],Table1[PO],Table1[مدة التوقف عن العمل بالشهور],0)</f>
        <v>0</v>
      </c>
      <c r="O9" s="1031" t="str">
        <f>_xlfn.XLOOKUP(E9,Table1[PO],Table1[حالة المشروع],0)</f>
        <v>متقدم</v>
      </c>
      <c r="P9" s="1035">
        <f>_xlfn.XLOOKUP(E9,Table1[PO],Table1[بداية المشروع التعاقدية],0)</f>
        <v>45902</v>
      </c>
      <c r="Q9" s="1035">
        <f>_xlfn.XLOOKUP(E9,Table1[PO],Table1[نهاية المشروع المعدلة PMO LIVE],0)</f>
        <v>47252</v>
      </c>
      <c r="R9" s="1036">
        <f>_xlfn.XLOOKUP(Table4[[#This Row],[PO]],Table1[PO],Table1[قيمة المشروع بالضريبة],0)/1000000</f>
        <v>82.862352999999999</v>
      </c>
      <c r="S9" s="1036">
        <f>Table4[[#This Row],[قيمة المشروع بالضريبة]]*Table4[[#This Row],[المنفذ % التراكمي]]</f>
        <v>10.465515183899999</v>
      </c>
      <c r="T9" s="1036">
        <f>Table4[[#This Row],[قيمة المشروع بالضريبة]]*Table4[[#This Row],[المخطط % التراكمي]]</f>
        <v>7.5653328289000008</v>
      </c>
      <c r="U9" s="1036">
        <v>1112813.3946086969</v>
      </c>
      <c r="V9" s="1036">
        <v>847697.32999999914</v>
      </c>
      <c r="W9" s="1037">
        <v>1</v>
      </c>
      <c r="X9" s="1036">
        <v>7368592.9199999999</v>
      </c>
      <c r="Y9" s="1037">
        <v>7</v>
      </c>
      <c r="Z9" s="1036">
        <v>8216290.2499999991</v>
      </c>
      <c r="AA9" s="1037">
        <v>8</v>
      </c>
      <c r="AB9" s="1038">
        <f>_xlfn.XLOOKUP(Table4[[#This Row],[PO]],Table1[PO],Table1[نسبة الإيقاف%],0)</f>
        <v>0</v>
      </c>
      <c r="AC9" s="1038">
        <f>_xlfn.XLOOKUP(Table4[[#This Row],[PO]],Table1[PO],Table1[المنفذ % - الإسبوع السابق],0)</f>
        <v>0.12540000000000001</v>
      </c>
      <c r="AD9" s="1038" t="str">
        <f>_xlfn.XLOOKUP(Table4[[#This Row],[PO]],Table1[PO],Table1[موقف تقديم الخطة التصحيحية],0)</f>
        <v>➖</v>
      </c>
      <c r="AE9" s="1039">
        <f>_xlfn.XLOOKUP(E9,Table1[PO],Table1[المخطط % التراكمي],0)</f>
        <v>9.1300000000000006E-2</v>
      </c>
      <c r="AF9" s="1039">
        <f>_xlfn.XLOOKUP(E9,Table1[PO],Table1[المنفذ % التراكمي],0)</f>
        <v>0.1263</v>
      </c>
      <c r="AG9" s="1038">
        <f t="shared" si="0"/>
        <v>3.4999999999999989E-2</v>
      </c>
      <c r="AH9" s="1068">
        <f>_xlfn.XLOOKUP(E9,Table1[PO],Table1[تاريخ دخول المشروع التعثر بالمدة المنقضية],0)</f>
        <v>47589.5</v>
      </c>
      <c r="AI9" s="1079">
        <v>46492</v>
      </c>
      <c r="AJ9" s="1042">
        <v>46601</v>
      </c>
      <c r="AK9" s="1079">
        <v>46543</v>
      </c>
      <c r="AL9" s="1042">
        <v>46675</v>
      </c>
      <c r="AM9" s="1043">
        <f>_xlfn.XLOOKUP(Table4[[#This Row],[PO]],Table1[PO],Table1[نسبة المخطط التراكمي حتى 31 أكتوبر 2026],0)</f>
        <v>9.4324178388763932E-2</v>
      </c>
      <c r="AN9" s="1043">
        <f>_xlfn.XLOOKUP(Table4[[#This Row],[PO]],Table1[PO],Table1[نسبة الانجاز التراكمي المطلوب للإنتظام],0)</f>
        <v>0</v>
      </c>
      <c r="AO9" s="1044">
        <f>_xlfn.XLOOKUP(Table4[[#This Row],[PO]],Table1[PO],Table1[النسبة المطلوب زيادتها في أكتوبر 2026 للإنتظام],0)</f>
        <v>0</v>
      </c>
      <c r="AP9" s="1043">
        <f>_xlfn.XLOOKUP(Table4[[#This Row],[PO]],Table1[PO],Table1[نسبة الانجاز التراكمي المطلوب لتجنب التعثر],0)</f>
        <v>0</v>
      </c>
      <c r="AQ9" s="1081">
        <f>_xlfn.XLOOKUP(Table4[[#This Row],[PO]],Table1[PO],Table1[النسبة المطلوب زيادتها في أكتوبر 2026 لتجنب / الخروج من التعثر],0)</f>
        <v>0</v>
      </c>
      <c r="AR9" s="1043">
        <f>_xlfn.XLOOKUP(E9,Table1[PO],Table1[نسبة المدة المنقضية %],0)</f>
        <v>0.30222222222222223</v>
      </c>
      <c r="AS9" s="1043">
        <f>Table4[[#This Row],[المخطط % التراكمي]]-Table4[[#This Row],[نسبة المدة المنقضية %]]</f>
        <v>-0.21092222222222223</v>
      </c>
      <c r="AT9" s="1043" t="s">
        <v>517</v>
      </c>
      <c r="AU9" s="1046" t="s">
        <v>1034</v>
      </c>
      <c r="AV9" s="1046" t="s">
        <v>742</v>
      </c>
      <c r="AW9" s="1047" t="s">
        <v>977</v>
      </c>
      <c r="AX9" s="1074" t="s">
        <v>761</v>
      </c>
      <c r="AY9" s="1049"/>
      <c r="AZ9" s="1082" t="s">
        <v>633</v>
      </c>
      <c r="BA9" s="496"/>
      <c r="BB9" s="666" t="s">
        <v>761</v>
      </c>
      <c r="BC9" s="843" t="s">
        <v>796</v>
      </c>
      <c r="BE9" s="666" t="s">
        <v>761</v>
      </c>
      <c r="BF9" s="843" t="s">
        <v>839</v>
      </c>
      <c r="BG9" s="666" t="s">
        <v>761</v>
      </c>
      <c r="BH9" s="843" t="s">
        <v>633</v>
      </c>
      <c r="BI9" s="974"/>
      <c r="BJ9" s="1002"/>
      <c r="BK9" s="974"/>
    </row>
    <row r="10" spans="1:63" s="55" customFormat="1" ht="129.6" customHeight="1">
      <c r="A10" s="1051">
        <f>SUBTOTAL(3,$E$3:E10)</f>
        <v>8</v>
      </c>
      <c r="B10" s="1052" t="s">
        <v>306</v>
      </c>
      <c r="C10" s="1052" t="s">
        <v>232</v>
      </c>
      <c r="D10" s="1052"/>
      <c r="E10" s="1052">
        <v>901250290</v>
      </c>
      <c r="F10" s="1053" t="str">
        <f>_xlfn.XLOOKUP(Table4[[#This Row],[PO]],Table1[PO],Table1[مدير البرنامج],0)</f>
        <v>عادل الحيسوني</v>
      </c>
      <c r="G10" s="1053" t="str">
        <f>_xlfn.XLOOKUP(Table4[[#This Row],[PO]],Table1[PO],Table1[مدير المشروع],0)</f>
        <v>زيد المغذوي</v>
      </c>
      <c r="H10" s="1053" t="str">
        <f>_xlfn.XLOOKUP(Table4[[#This Row],[PO]],Table1[PO],Table1[اسم المشروع],0)</f>
        <v>تنفيذ مشاريع إيصال خدمات الصرف الصحي لمخططات الإسكان بالمدينة المنورة ( 4 مواقع )</v>
      </c>
      <c r="I10" s="1053" t="s">
        <v>191</v>
      </c>
      <c r="J10" s="1053" t="s">
        <v>384</v>
      </c>
      <c r="K10" s="1053" t="str">
        <f>_xlfn.XLOOKUP(Table4[[#This Row],[PO]],Table1[PO],Table1[الإستشاري],0)</f>
        <v>فيوتشر</v>
      </c>
      <c r="L10" s="1052" t="str">
        <f>_xlfn.XLOOKUP(Table4[[#This Row],[PO]],Table1[PO],Table1[تصنيف المشروع],0)</f>
        <v>WW</v>
      </c>
      <c r="M10" s="1052" t="s">
        <v>339</v>
      </c>
      <c r="N10" s="1054">
        <f>_xlfn.XLOOKUP(Table4[[#This Row],[PO]],Table1[PO],Table1[مدة التوقف عن العمل بالشهور],0)</f>
        <v>0</v>
      </c>
      <c r="O10" s="1052" t="str">
        <f>_xlfn.XLOOKUP(E10,Table1[PO],Table1[حالة المشروع],0)</f>
        <v>متقدم</v>
      </c>
      <c r="P10" s="1055">
        <f>_xlfn.XLOOKUP(E10,Table1[PO],Table1[بداية المشروع التعاقدية],0)</f>
        <v>45939</v>
      </c>
      <c r="Q10" s="1055">
        <f>_xlfn.XLOOKUP(E10,Table1[PO],Table1[نهاية المشروع المعدلة PMO LIVE],0)</f>
        <v>47309</v>
      </c>
      <c r="R10" s="1056">
        <f>_xlfn.XLOOKUP(Table4[[#This Row],[PO]],Table1[PO],Table1[قيمة المشروع بالضريبة],0)/1000000</f>
        <v>72.44999885</v>
      </c>
      <c r="S10" s="1056">
        <f>Table4[[#This Row],[قيمة المشروع بالضريبة]]*Table4[[#This Row],[المنفذ % التراكمي]]</f>
        <v>6.98417988914</v>
      </c>
      <c r="T10" s="1056">
        <f>Table4[[#This Row],[قيمة المشروع بالضريبة]]*Table4[[#This Row],[المخطط % التراكمي]]</f>
        <v>3.6659699418099998</v>
      </c>
      <c r="U10" s="1056">
        <v>598588.18026956543</v>
      </c>
      <c r="V10" s="1056">
        <v>1062463.3699999992</v>
      </c>
      <c r="W10" s="1057">
        <v>2</v>
      </c>
      <c r="X10" s="1056">
        <v>4088630.13</v>
      </c>
      <c r="Y10" s="1057">
        <v>4</v>
      </c>
      <c r="Z10" s="1056">
        <v>5151093.4999999991</v>
      </c>
      <c r="AA10" s="1057">
        <v>6</v>
      </c>
      <c r="AB10" s="1058">
        <f>_xlfn.XLOOKUP(Table4[[#This Row],[PO]],Table1[PO],Table1[نسبة الإيقاف%],0)</f>
        <v>0</v>
      </c>
      <c r="AC10" s="1058">
        <f>_xlfn.XLOOKUP(Table4[[#This Row],[PO]],Table1[PO],Table1[المنفذ % - الإسبوع السابق],0)</f>
        <v>9.1600000000000001E-2</v>
      </c>
      <c r="AD10" s="1058" t="str">
        <f>_xlfn.XLOOKUP(Table4[[#This Row],[PO]],Table1[PO],Table1[موقف تقديم الخطة التصحيحية],0)</f>
        <v>➖</v>
      </c>
      <c r="AE10" s="1059">
        <f>_xlfn.XLOOKUP(E10,Table1[PO],Table1[المخطط % التراكمي],0)</f>
        <v>5.0599999999999999E-2</v>
      </c>
      <c r="AF10" s="1059">
        <f>_xlfn.XLOOKUP(E10,Table1[PO],Table1[المنفذ % التراكمي],0)</f>
        <v>9.64E-2</v>
      </c>
      <c r="AG10" s="1058">
        <f t="shared" si="0"/>
        <v>4.58E-2</v>
      </c>
      <c r="AH10" s="1076">
        <f>_xlfn.XLOOKUP(E10,Table1[PO],Table1[تاريخ دخول المشروع التعثر بالمدة المنقضية],0)</f>
        <v>47651.5</v>
      </c>
      <c r="AI10" s="1079">
        <v>46609</v>
      </c>
      <c r="AJ10" s="1080">
        <v>46808</v>
      </c>
      <c r="AK10" s="1041">
        <v>46777</v>
      </c>
      <c r="AL10" s="1080">
        <v>46919</v>
      </c>
      <c r="AM10" s="1085">
        <f>_xlfn.XLOOKUP(Table4[[#This Row],[PO]],Table1[PO],Table1[نسبة المخطط التراكمي حتى 31 أكتوبر 2026],0)</f>
        <v>5.369956339205656E-2</v>
      </c>
      <c r="AN10" s="1085">
        <f>_xlfn.XLOOKUP(Table4[[#This Row],[PO]],Table1[PO],Table1[نسبة الانجاز التراكمي المطلوب للإنتظام],0)</f>
        <v>0</v>
      </c>
      <c r="AO10" s="1086">
        <f>_xlfn.XLOOKUP(Table4[[#This Row],[PO]],Table1[PO],Table1[النسبة المطلوب زيادتها في أكتوبر 2026 للإنتظام],0)</f>
        <v>0</v>
      </c>
      <c r="AP10" s="1085">
        <f>_xlfn.XLOOKUP(Table4[[#This Row],[PO]],Table1[PO],Table1[نسبة الانجاز التراكمي المطلوب لتجنب التعثر],0)</f>
        <v>0</v>
      </c>
      <c r="AQ10" s="1087">
        <f>_xlfn.XLOOKUP(Table4[[#This Row],[PO]],Table1[PO],Table1[النسبة المطلوب زيادتها في أكتوبر 2026 لتجنب / الخروج من التعثر],0)</f>
        <v>0</v>
      </c>
      <c r="AR10" s="1085">
        <f>_xlfn.XLOOKUP(E10,Table1[PO],Table1[نسبة المدة المنقضية %],0)</f>
        <v>0.27080291970802922</v>
      </c>
      <c r="AS10" s="1085">
        <f>Table4[[#This Row],[المخطط % التراكمي]]-Table4[[#This Row],[نسبة المدة المنقضية %]]</f>
        <v>-0.22020291970802922</v>
      </c>
      <c r="AT10" s="1085" t="s">
        <v>517</v>
      </c>
      <c r="AU10" s="1088" t="s">
        <v>1037</v>
      </c>
      <c r="AV10" s="1088" t="s">
        <v>738</v>
      </c>
      <c r="AW10" s="1089" t="s">
        <v>647</v>
      </c>
      <c r="AX10" s="1065" t="s">
        <v>738</v>
      </c>
      <c r="AY10" s="1090"/>
      <c r="AZ10" s="1092" t="s">
        <v>987</v>
      </c>
      <c r="BA10" s="496"/>
      <c r="BB10" s="667" t="s">
        <v>762</v>
      </c>
      <c r="BC10" s="845" t="s">
        <v>776</v>
      </c>
      <c r="BE10" s="667" t="s">
        <v>738</v>
      </c>
      <c r="BF10" s="845" t="s">
        <v>840</v>
      </c>
      <c r="BG10" s="667" t="s">
        <v>738</v>
      </c>
      <c r="BH10" s="845" t="s">
        <v>879</v>
      </c>
      <c r="BI10" s="974"/>
      <c r="BJ10" s="1002"/>
      <c r="BK10" s="974"/>
    </row>
    <row r="11" spans="1:63" s="56" customFormat="1" ht="195">
      <c r="A11" s="1030">
        <f>SUBTOTAL(3,$E$3:E11)</f>
        <v>9</v>
      </c>
      <c r="B11" s="1031" t="s">
        <v>316</v>
      </c>
      <c r="C11" s="1031" t="s">
        <v>315</v>
      </c>
      <c r="D11" s="1031">
        <v>1</v>
      </c>
      <c r="E11" s="1031">
        <v>901250275</v>
      </c>
      <c r="F11" s="1032" t="str">
        <f>_xlfn.XLOOKUP(Table4[[#This Row],[PO]],Table1[PO],Table1[مدير البرنامج],0)</f>
        <v>عادل الحيسوني</v>
      </c>
      <c r="G11" s="1032" t="str">
        <f>_xlfn.XLOOKUP(Table4[[#This Row],[PO]],Table1[PO],Table1[مدير المشروع],0)</f>
        <v>زيد المغذوي</v>
      </c>
      <c r="H11" s="1032" t="str">
        <f>_xlfn.XLOOKUP(Table4[[#This Row],[PO]],Table1[PO],Table1[اسم المشروع],0)</f>
        <v>استكمال تنفيذ الخطوط الرئيسية وشبكات الصرف الصحي بأحياء شوران</v>
      </c>
      <c r="I11" s="1032" t="s">
        <v>274</v>
      </c>
      <c r="J11" s="1032" t="s">
        <v>384</v>
      </c>
      <c r="K11" s="1032" t="str">
        <f>_xlfn.XLOOKUP(Table4[[#This Row],[PO]],Table1[PO],Table1[الإستشاري],0)</f>
        <v>فيوتشر</v>
      </c>
      <c r="L11" s="1031" t="str">
        <f>_xlfn.XLOOKUP(Table4[[#This Row],[PO]],Table1[PO],Table1[تصنيف المشروع],0)</f>
        <v>WW</v>
      </c>
      <c r="M11" s="1031" t="s">
        <v>339</v>
      </c>
      <c r="N11" s="1034">
        <f>_xlfn.XLOOKUP(Table4[[#This Row],[PO]],Table1[PO],Table1[مدة التوقف عن العمل بالشهور],0)</f>
        <v>3</v>
      </c>
      <c r="O11" s="1031" t="str">
        <f>_xlfn.XLOOKUP(E11,Table1[PO],Table1[حالة المشروع],0)</f>
        <v>متعثر</v>
      </c>
      <c r="P11" s="1035">
        <f>_xlfn.XLOOKUP(E11,Table1[PO],Table1[بداية المشروع التعاقدية],0)</f>
        <v>45979</v>
      </c>
      <c r="Q11" s="1035">
        <f>_xlfn.XLOOKUP(E11,Table1[PO],Table1[نهاية المشروع المعدلة PMO LIVE],0)</f>
        <v>46524</v>
      </c>
      <c r="R11" s="1036">
        <f>_xlfn.XLOOKUP(Table4[[#This Row],[PO]],Table1[PO],Table1[قيمة المشروع بالضريبة],0)/1000000</f>
        <v>11.961405880000001</v>
      </c>
      <c r="S11" s="1036">
        <f>Table4[[#This Row],[قيمة المشروع بالضريبة]]*Table4[[#This Row],[المنفذ % التراكمي]]</f>
        <v>0.89830158158800011</v>
      </c>
      <c r="T11" s="1036">
        <f>Table4[[#This Row],[قيمة المشروع بالضريبة]]*Table4[[#This Row],[المخطط % التراكمي]]</f>
        <v>4.9292953631480003</v>
      </c>
      <c r="U11" s="1036">
        <v>709006.10540217394</v>
      </c>
      <c r="V11" s="1036">
        <v>0</v>
      </c>
      <c r="W11" s="1037">
        <v>0</v>
      </c>
      <c r="X11" s="1036">
        <v>82944.56</v>
      </c>
      <c r="Y11" s="1037">
        <v>1</v>
      </c>
      <c r="Z11" s="1036">
        <v>82944.56</v>
      </c>
      <c r="AA11" s="1037">
        <v>1</v>
      </c>
      <c r="AB11" s="1038">
        <f>_xlfn.XLOOKUP(Table4[[#This Row],[PO]],Table1[PO],Table1[نسبة الإيقاف%],0)</f>
        <v>4.3999999999999997E-2</v>
      </c>
      <c r="AC11" s="1038">
        <f>_xlfn.XLOOKUP(Table4[[#This Row],[PO]],Table1[PO],Table1[المنفذ % - الإسبوع السابق],0)</f>
        <v>7.51E-2</v>
      </c>
      <c r="AD11" s="1038" t="str">
        <f>_xlfn.XLOOKUP(Table4[[#This Row],[PO]],Table1[PO],Table1[موقف تقديم الخطة التصحيحية],0)</f>
        <v>✔️</v>
      </c>
      <c r="AE11" s="1039">
        <f>_xlfn.XLOOKUP(E11,Table1[PO],Table1[المخطط % التراكمي],0)</f>
        <v>0.41210000000000002</v>
      </c>
      <c r="AF11" s="1039">
        <f>_xlfn.XLOOKUP(E11,Table1[PO],Table1[المنفذ % التراكمي],0)</f>
        <v>7.51E-2</v>
      </c>
      <c r="AG11" s="1038">
        <f t="shared" si="0"/>
        <v>-0.33700000000000002</v>
      </c>
      <c r="AH11" s="1040">
        <f>_xlfn.XLOOKUP(E11,Table1[PO],Table1[تاريخ دخول المشروع التعثر بالمدة المنقضية],0)</f>
        <v>46660.25</v>
      </c>
      <c r="AI11" s="1041" t="s">
        <v>85</v>
      </c>
      <c r="AJ11" s="1042" t="s">
        <v>85</v>
      </c>
      <c r="AK11" s="1041" t="s">
        <v>85</v>
      </c>
      <c r="AL11" s="1042" t="s">
        <v>85</v>
      </c>
      <c r="AM11" s="1043">
        <f>_xlfn.XLOOKUP(Table4[[#This Row],[PO]],Table1[PO],Table1[نسبة المخطط التراكمي حتى 31 أكتوبر 2026],0)</f>
        <v>0.46285180516040303</v>
      </c>
      <c r="AN11" s="1043">
        <f>_xlfn.XLOOKUP(Table4[[#This Row],[PO]],Table1[PO],Table1[نسبة الانجاز التراكمي المطلوب للإنتظام],0)</f>
        <v>0.36385180516040305</v>
      </c>
      <c r="AO11" s="1044">
        <f>_xlfn.XLOOKUP(Table4[[#This Row],[PO]],Table1[PO],Table1[النسبة المطلوب زيادتها في أكتوبر 2026 للإنتظام],0)</f>
        <v>0.28875180516040305</v>
      </c>
      <c r="AP11" s="1043">
        <f>_xlfn.XLOOKUP(Table4[[#This Row],[PO]],Table1[PO],Table1[نسبة الانجاز التراكمي المطلوب لتجنب التعثر],0)</f>
        <v>0.21385180516040303</v>
      </c>
      <c r="AQ11" s="1081">
        <f>_xlfn.XLOOKUP(Table4[[#This Row],[PO]],Table1[PO],Table1[النسبة المطلوب زيادتها في أكتوبر 2026 لتجنب / الخروج من التعثر],0)</f>
        <v>0.13875180516040303</v>
      </c>
      <c r="AR11" s="1043">
        <f>_xlfn.XLOOKUP(E11,Table1[PO],Table1[نسبة المدة المنقضية %],0)</f>
        <v>0.60733944954128438</v>
      </c>
      <c r="AS11" s="1043">
        <f>Table4[[#This Row],[المخطط % التراكمي]]-Table4[[#This Row],[نسبة المدة المنقضية %]]</f>
        <v>-0.19523944954128436</v>
      </c>
      <c r="AT11" s="1043" t="s">
        <v>517</v>
      </c>
      <c r="AU11" s="1046" t="s">
        <v>1033</v>
      </c>
      <c r="AV11" s="1093" t="s">
        <v>995</v>
      </c>
      <c r="AW11" s="1073" t="s">
        <v>963</v>
      </c>
      <c r="AX11" s="1074" t="s">
        <v>984</v>
      </c>
      <c r="AY11" s="1049"/>
      <c r="AZ11" s="1094" t="s">
        <v>1001</v>
      </c>
      <c r="BA11" s="496"/>
      <c r="BB11" s="666" t="s">
        <v>763</v>
      </c>
      <c r="BC11" s="846" t="s">
        <v>777</v>
      </c>
      <c r="BE11" s="666" t="s">
        <v>763</v>
      </c>
      <c r="BF11" s="846" t="s">
        <v>861</v>
      </c>
      <c r="BG11" s="666" t="s">
        <v>902</v>
      </c>
      <c r="BH11" s="845" t="s">
        <v>898</v>
      </c>
      <c r="BI11" s="974"/>
      <c r="BJ11" s="1002"/>
      <c r="BK11" s="974"/>
    </row>
    <row r="12" spans="1:63" s="55" customFormat="1" ht="135">
      <c r="A12" s="1051">
        <f>SUBTOTAL(3,$E$3:E12)</f>
        <v>10</v>
      </c>
      <c r="B12" s="1052" t="s">
        <v>310</v>
      </c>
      <c r="C12" s="1052" t="s">
        <v>280</v>
      </c>
      <c r="D12" s="1052"/>
      <c r="E12" s="1083">
        <v>901250253</v>
      </c>
      <c r="F12" s="1084" t="str">
        <f>_xlfn.XLOOKUP(Table4[[#This Row],[PO]],Table1[PO],Table1[مدير البرنامج],0)</f>
        <v xml:space="preserve">عبدالله المغذوي </v>
      </c>
      <c r="G12" s="1084" t="str">
        <f>_xlfn.XLOOKUP(Table4[[#This Row],[PO]],Table1[PO],Table1[مدير المشروع],0)</f>
        <v>عبد العزيز الردادي</v>
      </c>
      <c r="H12" s="1053" t="str">
        <f>_xlfn.XLOOKUP(Table4[[#This Row],[PO]],Table1[PO],Table1[اسم المشروع],0)</f>
        <v>ترحيل خطوط وتنفيذ شبكات بمناطق متفرقة (المرحلة الاولى)</v>
      </c>
      <c r="I12" s="1053" t="s">
        <v>241</v>
      </c>
      <c r="J12" s="1053" t="s">
        <v>384</v>
      </c>
      <c r="K12" s="1053" t="str">
        <f>_xlfn.XLOOKUP(Table4[[#This Row],[PO]],Table1[PO],Table1[الإستشاري],0)</f>
        <v>فيوتشر</v>
      </c>
      <c r="L12" s="1052" t="str">
        <f>_xlfn.XLOOKUP(Table4[[#This Row],[PO]],Table1[PO],Table1[تصنيف المشروع],0)</f>
        <v>Water 2</v>
      </c>
      <c r="M12" s="1052" t="s">
        <v>338</v>
      </c>
      <c r="N12" s="1054">
        <f>_xlfn.XLOOKUP(Table4[[#This Row],[PO]],Table1[PO],Table1[مدة التوقف عن العمل بالشهور],0)</f>
        <v>0</v>
      </c>
      <c r="O12" s="1052" t="str">
        <f>_xlfn.XLOOKUP(E12,Table1[PO],Table1[حالة المشروع],0)</f>
        <v>منتظم</v>
      </c>
      <c r="P12" s="1055">
        <f>_xlfn.XLOOKUP(E12,Table1[PO],Table1[بداية المشروع التعاقدية],0)</f>
        <v>45981</v>
      </c>
      <c r="Q12" s="1055">
        <f>_xlfn.XLOOKUP(E12,Table1[PO],Table1[نهاية المشروع المعدلة PMO LIVE],0)</f>
        <v>47307</v>
      </c>
      <c r="R12" s="1056">
        <f>_xlfn.XLOOKUP(Table4[[#This Row],[PO]],Table1[PO],Table1[قيمة المشروع بالضريبة],0)/1000000</f>
        <v>68.354965000000007</v>
      </c>
      <c r="S12" s="1056">
        <f>Table4[[#This Row],[قيمة المشروع بالضريبة]]*Table4[[#This Row],[المنفذ % التراكمي]]</f>
        <v>0.95696951000000008</v>
      </c>
      <c r="T12" s="1056">
        <f>Table4[[#This Row],[قيمة المشروع بالضريبة]]*Table4[[#This Row],[المخطط % التراكمي]]</f>
        <v>2.4949562224999999</v>
      </c>
      <c r="U12" s="1056">
        <v>229.28347826073878</v>
      </c>
      <c r="V12" s="1056">
        <v>279965.78000000003</v>
      </c>
      <c r="W12" s="1057">
        <v>2</v>
      </c>
      <c r="X12" s="1056">
        <v>293952.25</v>
      </c>
      <c r="Y12" s="1057">
        <v>3</v>
      </c>
      <c r="Z12" s="1056">
        <v>573918.03</v>
      </c>
      <c r="AA12" s="1057">
        <v>5</v>
      </c>
      <c r="AB12" s="1058">
        <f>_xlfn.XLOOKUP(Table4[[#This Row],[PO]],Table1[PO],Table1[نسبة الإيقاف%],0)</f>
        <v>0</v>
      </c>
      <c r="AC12" s="1058">
        <f>_xlfn.XLOOKUP(Table4[[#This Row],[PO]],Table1[PO],Table1[المنفذ % - الإسبوع السابق],0)</f>
        <v>1.34E-2</v>
      </c>
      <c r="AD12" s="1058" t="str">
        <f>_xlfn.XLOOKUP(Table4[[#This Row],[PO]],Table1[PO],Table1[موقف تقديم الخطة التصحيحية],0)</f>
        <v>➖</v>
      </c>
      <c r="AE12" s="1059">
        <f>_xlfn.XLOOKUP(E12,Table1[PO],Table1[المخطط % التراكمي],0)</f>
        <v>3.6499999999999998E-2</v>
      </c>
      <c r="AF12" s="1059">
        <f>_xlfn.XLOOKUP(E12,Table1[PO],Table1[المنفذ % التراكمي],0)</f>
        <v>1.4E-2</v>
      </c>
      <c r="AG12" s="1058">
        <f t="shared" si="0"/>
        <v>-2.2499999999999999E-2</v>
      </c>
      <c r="AH12" s="1076">
        <f>_xlfn.XLOOKUP(E12,Table1[PO],Table1[تاريخ دخول المشروع التعثر بالمدة المنقضية],0)</f>
        <v>47638.5</v>
      </c>
      <c r="AI12" s="1079">
        <v>46662</v>
      </c>
      <c r="AJ12" s="1080">
        <v>46754</v>
      </c>
      <c r="AK12" s="1079">
        <v>46685</v>
      </c>
      <c r="AL12" s="1080">
        <v>46764</v>
      </c>
      <c r="AM12" s="1085">
        <f>_xlfn.XLOOKUP(Table4[[#This Row],[PO]],Table1[PO],Table1[نسبة المخطط التراكمي حتى 31 أكتوبر 2026],0)</f>
        <v>3.9389495311803004E-2</v>
      </c>
      <c r="AN12" s="1085">
        <f>_xlfn.XLOOKUP(Table4[[#This Row],[PO]],Table1[PO],Table1[نسبة الانجاز التراكمي المطلوب للإنتظام],0)</f>
        <v>0</v>
      </c>
      <c r="AO12" s="1086">
        <f>_xlfn.XLOOKUP(Table4[[#This Row],[PO]],Table1[PO],Table1[النسبة المطلوب زيادتها في أكتوبر 2026 للإنتظام],0)</f>
        <v>0</v>
      </c>
      <c r="AP12" s="1085">
        <f>_xlfn.XLOOKUP(Table4[[#This Row],[PO]],Table1[PO],Table1[نسبة الانجاز التراكمي المطلوب لتجنب التعثر],0)</f>
        <v>0</v>
      </c>
      <c r="AQ12" s="1087">
        <f>_xlfn.XLOOKUP(Table4[[#This Row],[PO]],Table1[PO],Table1[النسبة المطلوب زيادتها في أكتوبر 2026 لتجنب / الخروج من التعثر],0)</f>
        <v>0</v>
      </c>
      <c r="AR12" s="1085">
        <f>_xlfn.XLOOKUP(E12,Table1[PO],Table1[نسبة المدة المنقضية %],0)</f>
        <v>0.24811463046757165</v>
      </c>
      <c r="AS12" s="1085">
        <f>Table4[[#This Row],[المخطط % التراكمي]]-Table4[[#This Row],[نسبة المدة المنقضية %]]</f>
        <v>-0.21161463046757165</v>
      </c>
      <c r="AT12" s="1085" t="s">
        <v>517</v>
      </c>
      <c r="AU12" s="1085" t="s">
        <v>633</v>
      </c>
      <c r="AV12" s="1095" t="s">
        <v>633</v>
      </c>
      <c r="AW12" s="1096" t="s">
        <v>954</v>
      </c>
      <c r="AX12" s="1097" t="s">
        <v>633</v>
      </c>
      <c r="AY12" s="1090"/>
      <c r="AZ12" s="1098" t="s">
        <v>633</v>
      </c>
      <c r="BA12" s="496"/>
      <c r="BB12" s="682" t="s">
        <v>526</v>
      </c>
      <c r="BC12" s="847" t="s">
        <v>633</v>
      </c>
      <c r="BE12" s="682" t="s">
        <v>526</v>
      </c>
      <c r="BF12" s="847" t="s">
        <v>633</v>
      </c>
      <c r="BG12" s="682" t="s">
        <v>633</v>
      </c>
      <c r="BH12" s="847" t="s">
        <v>633</v>
      </c>
      <c r="BI12" s="974"/>
      <c r="BJ12" s="1002"/>
      <c r="BK12" s="974"/>
    </row>
    <row r="13" spans="1:63" s="54" customFormat="1" ht="45">
      <c r="A13" s="1030">
        <f>SUBTOTAL(3,$E$3:E13)</f>
        <v>11</v>
      </c>
      <c r="B13" s="1031" t="s">
        <v>309</v>
      </c>
      <c r="C13" s="1031" t="s">
        <v>262</v>
      </c>
      <c r="D13" s="1031"/>
      <c r="E13" s="1031">
        <v>901250252</v>
      </c>
      <c r="F13" s="1032" t="str">
        <f>_xlfn.XLOOKUP(Table4[[#This Row],[PO]],Table1[PO],Table1[مدير البرنامج],0)</f>
        <v xml:space="preserve">عبدالله المغذوي </v>
      </c>
      <c r="G13" s="1032" t="str">
        <f>_xlfn.XLOOKUP(Table4[[#This Row],[PO]],Table1[PO],Table1[مدير المشروع],0)</f>
        <v>عبد الله أورقنجي</v>
      </c>
      <c r="H13" s="1032" t="str">
        <f>_xlfn.XLOOKUP(Table4[[#This Row],[PO]],Table1[PO],Table1[اسم المشروع],0)</f>
        <v>انشاء خزانين للمياه بجنوب المدينة المنورة و ملحقاتهما بسعة 250 الف م3 لكل خزان</v>
      </c>
      <c r="I13" s="1032" t="s">
        <v>260</v>
      </c>
      <c r="J13" s="1032" t="s">
        <v>384</v>
      </c>
      <c r="K13" s="1032" t="str">
        <f>_xlfn.XLOOKUP(Table4[[#This Row],[PO]],Table1[PO],Table1[الإستشاري],0)</f>
        <v>دورش</v>
      </c>
      <c r="L13" s="1031" t="str">
        <f>_xlfn.XLOOKUP(Table4[[#This Row],[PO]],Table1[PO],Table1[تصنيف المشروع],0)</f>
        <v>Water 2</v>
      </c>
      <c r="M13" s="1031" t="s">
        <v>339</v>
      </c>
      <c r="N13" s="1034">
        <f>_xlfn.XLOOKUP(Table4[[#This Row],[PO]],Table1[PO],Table1[مدة التوقف عن العمل بالشهور],0)</f>
        <v>0</v>
      </c>
      <c r="O13" s="1031" t="str">
        <f>_xlfn.XLOOKUP(E13,Table1[PO],Table1[حالة المشروع],0)</f>
        <v>متقدم</v>
      </c>
      <c r="P13" s="1035">
        <f>_xlfn.XLOOKUP(E13,Table1[PO],Table1[بداية المشروع التعاقدية],0)</f>
        <v>45958</v>
      </c>
      <c r="Q13" s="1035">
        <f>_xlfn.XLOOKUP(E13,Table1[PO],Table1[نهاية المشروع المعدلة PMO LIVE],0)</f>
        <v>47053</v>
      </c>
      <c r="R13" s="1036">
        <f>_xlfn.XLOOKUP(Table4[[#This Row],[PO]],Table1[PO],Table1[قيمة المشروع بالضريبة],0)/1000000</f>
        <v>198.8734905</v>
      </c>
      <c r="S13" s="1036">
        <f>Table4[[#This Row],[قيمة المشروع بالضريبة]]*Table4[[#This Row],[المنفذ % التراكمي]]</f>
        <v>76.566293842500002</v>
      </c>
      <c r="T13" s="1036">
        <f>Table4[[#This Row],[قيمة المشروع بالضريبة]]*Table4[[#This Row],[المخطط % التراكمي]]</f>
        <v>53.536743642600001</v>
      </c>
      <c r="U13" s="1036">
        <v>154836.68573912233</v>
      </c>
      <c r="V13" s="1036">
        <v>5864324.4899999946</v>
      </c>
      <c r="W13" s="1037">
        <v>1</v>
      </c>
      <c r="X13" s="1036">
        <v>61813248.280000001</v>
      </c>
      <c r="Y13" s="1037">
        <v>8</v>
      </c>
      <c r="Z13" s="1036">
        <v>67677572.769999996</v>
      </c>
      <c r="AA13" s="1037">
        <v>9</v>
      </c>
      <c r="AB13" s="1038">
        <f>_xlfn.XLOOKUP(Table4[[#This Row],[PO]],Table1[PO],Table1[نسبة الإيقاف%],0)</f>
        <v>0</v>
      </c>
      <c r="AC13" s="1038">
        <f>_xlfn.XLOOKUP(Table4[[#This Row],[PO]],Table1[PO],Table1[المنفذ % - الإسبوع السابق],0)</f>
        <v>0.37819999999999998</v>
      </c>
      <c r="AD13" s="1038" t="str">
        <f>_xlfn.XLOOKUP(Table4[[#This Row],[PO]],Table1[PO],Table1[موقف تقديم الخطة التصحيحية],0)</f>
        <v>➖</v>
      </c>
      <c r="AE13" s="1039">
        <f>_xlfn.XLOOKUP(E13,Table1[PO],Table1[المخطط % التراكمي],0)</f>
        <v>0.26919999999999999</v>
      </c>
      <c r="AF13" s="1039">
        <f>_xlfn.XLOOKUP(E13,Table1[PO],Table1[المنفذ % التراكمي],0)</f>
        <v>0.38500000000000001</v>
      </c>
      <c r="AG13" s="1038">
        <f t="shared" si="0"/>
        <v>0.11580000000000001</v>
      </c>
      <c r="AH13" s="1068">
        <f>_xlfn.XLOOKUP(E13,Table1[PO],Table1[تاريخ دخول المشروع التعثر بالمدة المنقضية],0)</f>
        <v>47326.75</v>
      </c>
      <c r="AI13" s="1079">
        <v>46522</v>
      </c>
      <c r="AJ13" s="1080">
        <v>46629</v>
      </c>
      <c r="AK13" s="1041" t="s">
        <v>666</v>
      </c>
      <c r="AL13" s="1080" t="s">
        <v>667</v>
      </c>
      <c r="AM13" s="1043">
        <f>_xlfn.XLOOKUP(Table4[[#This Row],[PO]],Table1[PO],Table1[نسبة المخطط التراكمي حتى 31 أكتوبر 2026],0)</f>
        <v>0.28177096527352397</v>
      </c>
      <c r="AN13" s="1043">
        <f>_xlfn.XLOOKUP(Table4[[#This Row],[PO]],Table1[PO],Table1[نسبة الانجاز التراكمي المطلوب للإنتظام],0)</f>
        <v>0.18277096527352396</v>
      </c>
      <c r="AO13" s="1044">
        <f>_xlfn.XLOOKUP(Table4[[#This Row],[PO]],Table1[PO],Table1[النسبة المطلوب زيادتها في أكتوبر 2026 للإنتظام],0)</f>
        <v>0</v>
      </c>
      <c r="AP13" s="1043">
        <f>_xlfn.XLOOKUP(Table4[[#This Row],[PO]],Table1[PO],Table1[نسبة الانجاز التراكمي المطلوب لتجنب التعثر],0)</f>
        <v>3.2770965273523966E-2</v>
      </c>
      <c r="AQ13" s="1081">
        <f>_xlfn.XLOOKUP(Table4[[#This Row],[PO]],Table1[PO],Table1[النسبة المطلوب زيادتها في أكتوبر 2026 لتجنب / الخروج من التعثر],0)</f>
        <v>0</v>
      </c>
      <c r="AR13" s="1043">
        <f>_xlfn.XLOOKUP(E13,Table1[PO],Table1[نسبة المدة المنقضية %],0)</f>
        <v>0.32146118721461187</v>
      </c>
      <c r="AS13" s="1043">
        <f>Table4[[#This Row],[المخطط % التراكمي]]-Table4[[#This Row],[نسبة المدة المنقضية %]]</f>
        <v>-5.2261187214611871E-2</v>
      </c>
      <c r="AT13" s="1043" t="s">
        <v>517</v>
      </c>
      <c r="AU13" s="1043" t="s">
        <v>633</v>
      </c>
      <c r="AV13" s="1099" t="s">
        <v>633</v>
      </c>
      <c r="AW13" s="1047" t="s">
        <v>647</v>
      </c>
      <c r="AX13" s="1074" t="s">
        <v>633</v>
      </c>
      <c r="AY13" s="1049"/>
      <c r="AZ13" s="1082" t="s">
        <v>633</v>
      </c>
      <c r="BA13" s="496"/>
      <c r="BB13" s="666" t="s">
        <v>797</v>
      </c>
      <c r="BC13" s="843" t="s">
        <v>633</v>
      </c>
      <c r="BE13" s="666" t="s">
        <v>797</v>
      </c>
      <c r="BF13" s="843" t="s">
        <v>633</v>
      </c>
      <c r="BG13" s="666" t="s">
        <v>633</v>
      </c>
      <c r="BH13" s="843" t="s">
        <v>633</v>
      </c>
      <c r="BI13" s="974"/>
      <c r="BJ13" s="1002"/>
      <c r="BK13" s="974"/>
    </row>
    <row r="14" spans="1:63" s="57" customFormat="1" ht="90">
      <c r="A14" s="1051">
        <f>SUBTOTAL(3,$E$3:E14)</f>
        <v>12</v>
      </c>
      <c r="B14" s="1052" t="s">
        <v>290</v>
      </c>
      <c r="C14" s="1052" t="s">
        <v>204</v>
      </c>
      <c r="D14" s="1052"/>
      <c r="E14" s="1083">
        <v>901250210</v>
      </c>
      <c r="F14" s="1084" t="str">
        <f>_xlfn.XLOOKUP(Table4[[#This Row],[PO]],Table1[PO],Table1[مدير البرنامج],0)</f>
        <v>أحمد المطيري</v>
      </c>
      <c r="G14" s="1084" t="str">
        <f>_xlfn.XLOOKUP(Table4[[#This Row],[PO]],Table1[PO],Table1[مدير المشروع],0)</f>
        <v>خالد اللهيبي</v>
      </c>
      <c r="H14" s="1053" t="str">
        <f>_xlfn.XLOOKUP(Table4[[#This Row],[PO]],Table1[PO],Table1[اسم المشروع],0)</f>
        <v>خط المياه الرئيسي بالدائري الأوسط بالمدينة المنورة</v>
      </c>
      <c r="I14" s="1053" t="s">
        <v>134</v>
      </c>
      <c r="J14" s="1053" t="s">
        <v>384</v>
      </c>
      <c r="K14" s="1053" t="str">
        <f>_xlfn.XLOOKUP(Table4[[#This Row],[PO]],Table1[PO],Table1[الإستشاري],0)</f>
        <v>دورش</v>
      </c>
      <c r="L14" s="1052" t="str">
        <f>_xlfn.XLOOKUP(Table4[[#This Row],[PO]],Table1[PO],Table1[تصنيف المشروع],0)</f>
        <v>Water 1</v>
      </c>
      <c r="M14" s="1052" t="s">
        <v>339</v>
      </c>
      <c r="N14" s="1054">
        <f>_xlfn.XLOOKUP(Table4[[#This Row],[PO]],Table1[PO],Table1[مدة التوقف عن العمل بالشهور],0)</f>
        <v>0</v>
      </c>
      <c r="O14" s="1052" t="str">
        <f>_xlfn.XLOOKUP(E14,Table1[PO],Table1[حالة المشروع],0)</f>
        <v>متقدم</v>
      </c>
      <c r="P14" s="1055">
        <f>_xlfn.XLOOKUP(E14,Table1[PO],Table1[بداية المشروع التعاقدية],0)</f>
        <v>45868</v>
      </c>
      <c r="Q14" s="1055">
        <f>_xlfn.XLOOKUP(E14,Table1[PO],Table1[نهاية المشروع المعدلة PMO LIVE],0)</f>
        <v>47302</v>
      </c>
      <c r="R14" s="1056">
        <f>_xlfn.XLOOKUP(Table4[[#This Row],[PO]],Table1[PO],Table1[قيمة المشروع بالضريبة],0)/1000000</f>
        <v>116.7579935</v>
      </c>
      <c r="S14" s="1056">
        <f>Table4[[#This Row],[قيمة المشروع بالضريبة]]*Table4[[#This Row],[المنفذ % التراكمي]]</f>
        <v>15.785680721199999</v>
      </c>
      <c r="T14" s="1056">
        <f>Table4[[#This Row],[قيمة المشروع بالضريبة]]*Table4[[#This Row],[المخطط % التراكمي]]</f>
        <v>10.16962123385</v>
      </c>
      <c r="U14" s="1056">
        <v>-837854.66160869785</v>
      </c>
      <c r="V14" s="1056">
        <v>3525694.91</v>
      </c>
      <c r="W14" s="1057">
        <v>3</v>
      </c>
      <c r="X14" s="1056">
        <v>10386299.43</v>
      </c>
      <c r="Y14" s="1057">
        <v>9</v>
      </c>
      <c r="Z14" s="1056">
        <v>13911994.34</v>
      </c>
      <c r="AA14" s="1057">
        <v>12</v>
      </c>
      <c r="AB14" s="1058">
        <f>_xlfn.XLOOKUP(Table4[[#This Row],[PO]],Table1[PO],Table1[نسبة الإيقاف%],0)</f>
        <v>0</v>
      </c>
      <c r="AC14" s="1058">
        <f>_xlfn.XLOOKUP(Table4[[#This Row],[PO]],Table1[PO],Table1[المنفذ % - الإسبوع السابق],0)</f>
        <v>0.1305</v>
      </c>
      <c r="AD14" s="1058" t="str">
        <f>_xlfn.XLOOKUP(Table4[[#This Row],[PO]],Table1[PO],Table1[موقف تقديم الخطة التصحيحية],0)</f>
        <v>➖</v>
      </c>
      <c r="AE14" s="1059">
        <f>_xlfn.XLOOKUP(E14,Table1[PO],Table1[المخطط % التراكمي],0)</f>
        <v>8.7099999999999997E-2</v>
      </c>
      <c r="AF14" s="1059">
        <f>_xlfn.XLOOKUP(E14,Table1[PO],Table1[المنفذ % التراكمي],0)</f>
        <v>0.13519999999999999</v>
      </c>
      <c r="AG14" s="1058">
        <f t="shared" si="0"/>
        <v>4.809999999999999E-2</v>
      </c>
      <c r="AH14" s="1076">
        <f>_xlfn.XLOOKUP(E14,Table1[PO],Table1[تاريخ دخول المشروع التعثر بالمدة المنقضية],0)</f>
        <v>47660.5</v>
      </c>
      <c r="AI14" s="1100">
        <v>46563</v>
      </c>
      <c r="AJ14" s="1080">
        <v>46785</v>
      </c>
      <c r="AK14" s="1041">
        <v>46827</v>
      </c>
      <c r="AL14" s="1080">
        <v>46998</v>
      </c>
      <c r="AM14" s="1058">
        <f>_xlfn.XLOOKUP(Table4[[#This Row],[PO]],Table1[PO],Table1[نسبة المخطط التراكمي حتى 31 أكتوبر 2026],0)</f>
        <v>9.0943119407055448E-2</v>
      </c>
      <c r="AN14" s="1058">
        <f>_xlfn.XLOOKUP(Table4[[#This Row],[PO]],Table1[PO],Table1[نسبة الانجاز التراكمي المطلوب للإنتظام],0)</f>
        <v>0</v>
      </c>
      <c r="AO14" s="1060">
        <f>_xlfn.XLOOKUP(Table4[[#This Row],[PO]],Table1[PO],Table1[النسبة المطلوب زيادتها في أكتوبر 2026 للإنتظام],0)</f>
        <v>0</v>
      </c>
      <c r="AP14" s="1058">
        <f>_xlfn.XLOOKUP(Table4[[#This Row],[PO]],Table1[PO],Table1[نسبة الانجاز التراكمي المطلوب لتجنب التعثر],0)</f>
        <v>0</v>
      </c>
      <c r="AQ14" s="1061">
        <f>_xlfn.XLOOKUP(Table4[[#This Row],[PO]],Table1[PO],Table1[النسبة المطلوب زيادتها في أكتوبر 2026 لتجنب / الخروج من التعثر],0)</f>
        <v>0</v>
      </c>
      <c r="AR14" s="1058">
        <f>_xlfn.XLOOKUP(E14,Table1[PO],Table1[نسبة المدة المنقضية %],0)</f>
        <v>0.30822873082287311</v>
      </c>
      <c r="AS14" s="1058">
        <f>Table4[[#This Row],[المخطط % التراكمي]]-Table4[[#This Row],[نسبة المدة المنقضية %]]</f>
        <v>-0.2211287308228731</v>
      </c>
      <c r="AT14" s="1085" t="s">
        <v>517</v>
      </c>
      <c r="AU14" s="1085" t="s">
        <v>633</v>
      </c>
      <c r="AV14" s="1095" t="s">
        <v>633</v>
      </c>
      <c r="AW14" s="1089" t="s">
        <v>964</v>
      </c>
      <c r="AX14" s="1065" t="s">
        <v>797</v>
      </c>
      <c r="AY14" s="1090"/>
      <c r="AZ14" s="1092" t="s">
        <v>633</v>
      </c>
      <c r="BA14" s="496"/>
      <c r="BB14" s="667" t="s">
        <v>797</v>
      </c>
      <c r="BC14" s="847" t="s">
        <v>633</v>
      </c>
      <c r="BE14" s="667" t="s">
        <v>846</v>
      </c>
      <c r="BF14" s="845" t="s">
        <v>841</v>
      </c>
      <c r="BG14" s="667" t="s">
        <v>846</v>
      </c>
      <c r="BH14" s="845" t="s">
        <v>841</v>
      </c>
      <c r="BI14" s="974"/>
      <c r="BJ14" s="1002"/>
      <c r="BK14" s="974"/>
    </row>
    <row r="15" spans="1:63" s="54" customFormat="1" ht="57.6">
      <c r="A15" s="1030">
        <f>SUBTOTAL(3,$E$3:E15)</f>
        <v>13</v>
      </c>
      <c r="B15" s="1031" t="s">
        <v>307</v>
      </c>
      <c r="C15" s="1031" t="s">
        <v>243</v>
      </c>
      <c r="D15" s="1031"/>
      <c r="E15" s="1031">
        <v>901250206</v>
      </c>
      <c r="F15" s="1032" t="str">
        <f>_xlfn.XLOOKUP(Table4[[#This Row],[PO]],Table1[PO],Table1[مدير البرنامج],0)</f>
        <v xml:space="preserve">عبدالله المغذوي </v>
      </c>
      <c r="G15" s="1032" t="str">
        <f>_xlfn.XLOOKUP(Table4[[#This Row],[PO]],Table1[PO],Table1[مدير المشروع],0)</f>
        <v>محمد بداي</v>
      </c>
      <c r="H15" s="1032" t="str">
        <f>_xlfn.XLOOKUP(Table4[[#This Row],[PO]],Table1[PO],Table1[اسم المشروع],0)</f>
        <v>شبكات مياه في الحناكية و الصميد</v>
      </c>
      <c r="I15" s="1032" t="s">
        <v>241</v>
      </c>
      <c r="J15" s="1032" t="s">
        <v>384</v>
      </c>
      <c r="K15" s="1032" t="str">
        <f>_xlfn.XLOOKUP(Table4[[#This Row],[PO]],Table1[PO],Table1[الإستشاري],0)</f>
        <v>فيوتشر</v>
      </c>
      <c r="L15" s="1031" t="str">
        <f>_xlfn.XLOOKUP(Table4[[#This Row],[PO]],Table1[PO],Table1[تصنيف المشروع],0)</f>
        <v>Water 2</v>
      </c>
      <c r="M15" s="1031" t="s">
        <v>338</v>
      </c>
      <c r="N15" s="1034">
        <f>_xlfn.XLOOKUP(Table4[[#This Row],[PO]],Table1[PO],Table1[مدة التوقف عن العمل بالشهور],0)</f>
        <v>0</v>
      </c>
      <c r="O15" s="1031" t="str">
        <f>_xlfn.XLOOKUP(E15,Table1[PO],Table1[حالة المشروع],0)</f>
        <v>متقدم</v>
      </c>
      <c r="P15" s="1035">
        <f>_xlfn.XLOOKUP(E15,Table1[PO],Table1[بداية المشروع التعاقدية],0)</f>
        <v>45952</v>
      </c>
      <c r="Q15" s="1035">
        <f>_xlfn.XLOOKUP(E15,Table1[PO],Table1[نهاية المشروع المعدلة PMO LIVE],0)</f>
        <v>47004</v>
      </c>
      <c r="R15" s="1036">
        <f>_xlfn.XLOOKUP(Table4[[#This Row],[PO]],Table1[PO],Table1[قيمة المشروع بالضريبة],0)/1000000</f>
        <v>30.4316657</v>
      </c>
      <c r="S15" s="1036">
        <f>Table4[[#This Row],[قيمة المشروع بالضريبة]]*Table4[[#This Row],[المنفذ % التراكمي]]</f>
        <v>9.4916365318300002</v>
      </c>
      <c r="T15" s="1036">
        <f>Table4[[#This Row],[قيمة المشروع بالضريبة]]*Table4[[#This Row],[المخطط % التراكمي]]</f>
        <v>6.0376424748800002</v>
      </c>
      <c r="U15" s="1036">
        <v>490569.76207826007</v>
      </c>
      <c r="V15" s="1036">
        <v>1141710.3699999992</v>
      </c>
      <c r="W15" s="1037">
        <v>2</v>
      </c>
      <c r="X15" s="1036">
        <v>6592849.6400000006</v>
      </c>
      <c r="Y15" s="1037">
        <v>7</v>
      </c>
      <c r="Z15" s="1036">
        <v>7734560.0099999998</v>
      </c>
      <c r="AA15" s="1037">
        <v>9</v>
      </c>
      <c r="AB15" s="1038">
        <f>_xlfn.XLOOKUP(Table4[[#This Row],[PO]],Table1[PO],Table1[نسبة الإيقاف%],0)</f>
        <v>0</v>
      </c>
      <c r="AC15" s="1038">
        <f>_xlfn.XLOOKUP(Table4[[#This Row],[PO]],Table1[PO],Table1[المنفذ % - الإسبوع السابق],0)</f>
        <v>0.30249999999999999</v>
      </c>
      <c r="AD15" s="1038" t="str">
        <f>_xlfn.XLOOKUP(Table4[[#This Row],[PO]],Table1[PO],Table1[موقف تقديم الخطة التصحيحية],0)</f>
        <v>➖</v>
      </c>
      <c r="AE15" s="1039">
        <f>_xlfn.XLOOKUP(E15,Table1[PO],Table1[المخطط % التراكمي],0)</f>
        <v>0.19839999999999999</v>
      </c>
      <c r="AF15" s="1039">
        <f>_xlfn.XLOOKUP(E15,Table1[PO],Table1[المنفذ % التراكمي],0)</f>
        <v>0.31190000000000001</v>
      </c>
      <c r="AG15" s="1038">
        <f t="shared" si="0"/>
        <v>0.11350000000000002</v>
      </c>
      <c r="AH15" s="1068">
        <f>_xlfn.XLOOKUP(E15,Table1[PO],Table1[تاريخ دخول المشروع التعثر بالمدة المنقضية],0)</f>
        <v>47267</v>
      </c>
      <c r="AI15" s="1079">
        <v>46723</v>
      </c>
      <c r="AJ15" s="1080">
        <v>46808</v>
      </c>
      <c r="AK15" s="1041">
        <v>46858</v>
      </c>
      <c r="AL15" s="1080" t="s">
        <v>667</v>
      </c>
      <c r="AM15" s="1043">
        <f>_xlfn.XLOOKUP(Table4[[#This Row],[PO]],Table1[PO],Table1[نسبة المخطط التراكمي حتى 31 أكتوبر 2026],0)</f>
        <v>0.20960553531251491</v>
      </c>
      <c r="AN15" s="1043">
        <f>_xlfn.XLOOKUP(Table4[[#This Row],[PO]],Table1[PO],Table1[نسبة الانجاز التراكمي المطلوب للإنتظام],0)</f>
        <v>0.11060553531251491</v>
      </c>
      <c r="AO15" s="1044">
        <f>_xlfn.XLOOKUP(Table4[[#This Row],[PO]],Table1[PO],Table1[النسبة المطلوب زيادتها في أكتوبر 2026 للإنتظام],0)</f>
        <v>0</v>
      </c>
      <c r="AP15" s="1043">
        <f>_xlfn.XLOOKUP(Table4[[#This Row],[PO]],Table1[PO],Table1[نسبة الانجاز التراكمي المطلوب لتجنب التعثر],0)</f>
        <v>0</v>
      </c>
      <c r="AQ15" s="1081">
        <f>_xlfn.XLOOKUP(Table4[[#This Row],[PO]],Table1[PO],Table1[النسبة المطلوب زيادتها في أكتوبر 2026 لتجنب / الخروج من التعثر],0)</f>
        <v>0</v>
      </c>
      <c r="AR15" s="1043">
        <f>_xlfn.XLOOKUP(E15,Table1[PO],Table1[نسبة المدة المنقضية %],0)</f>
        <v>0.34030418250950573</v>
      </c>
      <c r="AS15" s="1043">
        <f>Table4[[#This Row],[المخطط % التراكمي]]-Table4[[#This Row],[نسبة المدة المنقضية %]]</f>
        <v>-0.14190418250950573</v>
      </c>
      <c r="AT15" s="1043" t="s">
        <v>517</v>
      </c>
      <c r="AU15" s="1046" t="s">
        <v>1036</v>
      </c>
      <c r="AV15" s="1099" t="s">
        <v>737</v>
      </c>
      <c r="AW15" s="1047" t="s">
        <v>955</v>
      </c>
      <c r="AX15" s="1074" t="s">
        <v>737</v>
      </c>
      <c r="AY15" s="1049"/>
      <c r="AZ15" s="1094" t="s">
        <v>996</v>
      </c>
      <c r="BA15" s="496"/>
      <c r="BB15" s="666" t="s">
        <v>737</v>
      </c>
      <c r="BC15" s="846" t="s">
        <v>799</v>
      </c>
      <c r="BE15" s="666" t="s">
        <v>737</v>
      </c>
      <c r="BF15" s="846" t="s">
        <v>837</v>
      </c>
      <c r="BG15" s="666" t="s">
        <v>737</v>
      </c>
      <c r="BH15" s="846" t="s">
        <v>903</v>
      </c>
      <c r="BI15" s="974"/>
      <c r="BJ15" s="1002"/>
      <c r="BK15" s="974"/>
    </row>
    <row r="16" spans="1:63" s="57" customFormat="1" ht="76.8">
      <c r="A16" s="1051">
        <f>SUBTOTAL(3,$E$3:E16)</f>
        <v>14</v>
      </c>
      <c r="B16" s="1052" t="s">
        <v>300</v>
      </c>
      <c r="C16" s="1052" t="s">
        <v>216</v>
      </c>
      <c r="D16" s="1052"/>
      <c r="E16" s="1052">
        <v>901250201</v>
      </c>
      <c r="F16" s="1053" t="str">
        <f>_xlfn.XLOOKUP(Table4[[#This Row],[PO]],Table1[PO],Table1[مدير البرنامج],0)</f>
        <v>عبدالله المغذوي</v>
      </c>
      <c r="G16" s="1053" t="str">
        <f>_xlfn.XLOOKUP(Table4[[#This Row],[PO]],Table1[PO],Table1[مدير المشروع],0)</f>
        <v>فارس الرويثي</v>
      </c>
      <c r="H16" s="1053" t="str">
        <f>_xlfn.XLOOKUP(Table4[[#This Row],[PO]],Table1[PO],Table1[اسم المشروع],0)</f>
        <v>مشروع انشاء شبكات مياه بقريتي المعتدل وقاع الحاج</v>
      </c>
      <c r="I16" s="1053" t="s">
        <v>148</v>
      </c>
      <c r="J16" s="1053" t="s">
        <v>384</v>
      </c>
      <c r="K16" s="1053" t="str">
        <f>_xlfn.XLOOKUP(Table4[[#This Row],[PO]],Table1[PO],Table1[الإستشاري],0)</f>
        <v>فيوتشر</v>
      </c>
      <c r="L16" s="1052" t="str">
        <f>_xlfn.XLOOKUP(Table4[[#This Row],[PO]],Table1[PO],Table1[تصنيف المشروع],0)</f>
        <v>Coastal</v>
      </c>
      <c r="M16" s="1052" t="s">
        <v>339</v>
      </c>
      <c r="N16" s="1054">
        <f>_xlfn.XLOOKUP(Table4[[#This Row],[PO]],Table1[PO],Table1[مدة التوقف عن العمل بالشهور],0)</f>
        <v>0</v>
      </c>
      <c r="O16" s="1052" t="str">
        <f>_xlfn.XLOOKUP(E16,Table1[PO],Table1[حالة المشروع],0)</f>
        <v>متقدم</v>
      </c>
      <c r="P16" s="1055">
        <f>_xlfn.XLOOKUP(E16,Table1[PO],Table1[بداية المشروع التعاقدية],0)</f>
        <v>45901</v>
      </c>
      <c r="Q16" s="1055">
        <f>_xlfn.XLOOKUP(E16,Table1[PO],Table1[نهاية المشروع المعدلة PMO LIVE],0)</f>
        <v>46996</v>
      </c>
      <c r="R16" s="1056">
        <f>_xlfn.XLOOKUP(Table4[[#This Row],[PO]],Table1[PO],Table1[قيمة المشروع بالضريبة],0)/1000000</f>
        <v>20.790349750000001</v>
      </c>
      <c r="S16" s="1056">
        <f>Table4[[#This Row],[قيمة المشروع بالضريبة]]*Table4[[#This Row],[المنفذ % التراكمي]]</f>
        <v>7.17267066375</v>
      </c>
      <c r="T16" s="1056">
        <f>Table4[[#This Row],[قيمة المشروع بالضريبة]]*Table4[[#This Row],[المخطط % التراكمي]]</f>
        <v>3.4699093732750002</v>
      </c>
      <c r="U16" s="1056">
        <v>380180.97315217368</v>
      </c>
      <c r="V16" s="1056">
        <v>596435.71</v>
      </c>
      <c r="W16" s="1057">
        <v>2</v>
      </c>
      <c r="X16" s="1056">
        <v>4444613.33</v>
      </c>
      <c r="Y16" s="1057">
        <v>5</v>
      </c>
      <c r="Z16" s="1056">
        <v>5041049.04</v>
      </c>
      <c r="AA16" s="1057">
        <v>7</v>
      </c>
      <c r="AB16" s="1058">
        <f>_xlfn.XLOOKUP(Table4[[#This Row],[PO]],Table1[PO],Table1[نسبة الإيقاف%],0)</f>
        <v>0</v>
      </c>
      <c r="AC16" s="1058">
        <f>_xlfn.XLOOKUP(Table4[[#This Row],[PO]],Table1[PO],Table1[المنفذ % - الإسبوع السابق],0)</f>
        <v>0.34499999999999997</v>
      </c>
      <c r="AD16" s="1058" t="str">
        <f>_xlfn.XLOOKUP(Table4[[#This Row],[PO]],Table1[PO],Table1[موقف تقديم الخطة التصحيحية],0)</f>
        <v>➖</v>
      </c>
      <c r="AE16" s="1059">
        <f>_xlfn.XLOOKUP(E16,Table1[PO],Table1[المخطط % التراكمي],0)</f>
        <v>0.16689999999999999</v>
      </c>
      <c r="AF16" s="1059">
        <f>_xlfn.XLOOKUP(E16,Table1[PO],Table1[المنفذ % التراكمي],0)</f>
        <v>0.34499999999999997</v>
      </c>
      <c r="AG16" s="1058">
        <f t="shared" si="0"/>
        <v>0.17809999999999998</v>
      </c>
      <c r="AH16" s="1076">
        <f>_xlfn.XLOOKUP(E16,Table1[PO],Table1[تاريخ دخول المشروع التعثر بالمدة المنقضية],0)</f>
        <v>47269.75</v>
      </c>
      <c r="AI16" s="1079">
        <v>46746</v>
      </c>
      <c r="AJ16" s="1080">
        <v>46822</v>
      </c>
      <c r="AK16" s="1079">
        <v>46767</v>
      </c>
      <c r="AL16" s="1080" t="s">
        <v>667</v>
      </c>
      <c r="AM16" s="1085">
        <f>_xlfn.XLOOKUP(Table4[[#This Row],[PO]],Table1[PO],Table1[نسبة المخطط التراكمي حتى 31 أكتوبر 2026],0)</f>
        <v>0.1707987293239259</v>
      </c>
      <c r="AN16" s="1085">
        <f>_xlfn.XLOOKUP(Table4[[#This Row],[PO]],Table1[PO],Table1[نسبة الانجاز التراكمي المطلوب للإنتظام],0)</f>
        <v>7.1798729323925892E-2</v>
      </c>
      <c r="AO16" s="1086">
        <f>_xlfn.XLOOKUP(Table4[[#This Row],[PO]],Table1[PO],Table1[النسبة المطلوب زيادتها في أكتوبر 2026 للإنتظام],0)</f>
        <v>0</v>
      </c>
      <c r="AP16" s="1085">
        <f>_xlfn.XLOOKUP(Table4[[#This Row],[PO]],Table1[PO],Table1[نسبة الانجاز التراكمي المطلوب لتجنب التعثر],0)</f>
        <v>0</v>
      </c>
      <c r="AQ16" s="1087">
        <f>_xlfn.XLOOKUP(Table4[[#This Row],[PO]],Table1[PO],Table1[النسبة المطلوب زيادتها في أكتوبر 2026 لتجنب / الخروج من التعثر],0)</f>
        <v>0</v>
      </c>
      <c r="AR16" s="1085">
        <f>_xlfn.XLOOKUP(E16,Table1[PO],Table1[نسبة المدة المنقضية %],0)</f>
        <v>0.37294332723948814</v>
      </c>
      <c r="AS16" s="1085">
        <f>Table4[[#This Row],[المخطط % التراكمي]]-Table4[[#This Row],[نسبة المدة المنقضية %]]</f>
        <v>-0.20604332723948815</v>
      </c>
      <c r="AT16" s="1085" t="s">
        <v>517</v>
      </c>
      <c r="AU16" s="1085" t="s">
        <v>633</v>
      </c>
      <c r="AV16" s="1095" t="s">
        <v>633</v>
      </c>
      <c r="AW16" s="1089" t="s">
        <v>647</v>
      </c>
      <c r="AX16" s="1065" t="s">
        <v>633</v>
      </c>
      <c r="AY16" s="1090"/>
      <c r="AZ16" s="1092" t="s">
        <v>633</v>
      </c>
      <c r="BA16" s="496"/>
      <c r="BB16" s="667" t="s">
        <v>764</v>
      </c>
      <c r="BC16" s="845" t="s">
        <v>798</v>
      </c>
      <c r="BE16" s="667" t="s">
        <v>842</v>
      </c>
      <c r="BF16" s="845" t="s">
        <v>837</v>
      </c>
      <c r="BG16" s="667" t="s">
        <v>842</v>
      </c>
      <c r="BH16" s="845" t="s">
        <v>892</v>
      </c>
      <c r="BI16" s="974"/>
      <c r="BJ16" s="1002"/>
      <c r="BK16" s="974"/>
    </row>
    <row r="17" spans="1:63" s="54" customFormat="1" ht="45">
      <c r="A17" s="1030">
        <f>SUBTOTAL(3,$E$3:E17)</f>
        <v>15</v>
      </c>
      <c r="B17" s="1031" t="s">
        <v>298</v>
      </c>
      <c r="C17" s="1031" t="s">
        <v>213</v>
      </c>
      <c r="D17" s="1031"/>
      <c r="E17" s="1077">
        <v>901250200</v>
      </c>
      <c r="F17" s="1078" t="str">
        <f>_xlfn.XLOOKUP(Table4[[#This Row],[PO]],Table1[PO],Table1[مدير البرنامج],0)</f>
        <v>عبدالله المغذوي</v>
      </c>
      <c r="G17" s="1078" t="str">
        <f>_xlfn.XLOOKUP(Table4[[#This Row],[PO]],Table1[PO],Table1[مدير المشروع],0)</f>
        <v xml:space="preserve">عبدالعزيز فلاته </v>
      </c>
      <c r="H17" s="1032" t="str">
        <f>_xlfn.XLOOKUP(Table4[[#This Row],[PO]],Table1[PO],Table1[اسم المشروع],0)</f>
        <v>تنفيذ خطوط وشبكات الصرف الصحي بمحافظة بدر ( الجزء الأول )</v>
      </c>
      <c r="I17" s="1032" t="s">
        <v>145</v>
      </c>
      <c r="J17" s="1032" t="s">
        <v>384</v>
      </c>
      <c r="K17" s="1032" t="str">
        <f>_xlfn.XLOOKUP(Table4[[#This Row],[PO]],Table1[PO],Table1[الإستشاري],0)</f>
        <v>فيوتشر</v>
      </c>
      <c r="L17" s="1031" t="str">
        <f>_xlfn.XLOOKUP(Table4[[#This Row],[PO]],Table1[PO],Table1[تصنيف المشروع],0)</f>
        <v>Coastal</v>
      </c>
      <c r="M17" s="1031" t="s">
        <v>339</v>
      </c>
      <c r="N17" s="1034">
        <f>_xlfn.XLOOKUP(Table4[[#This Row],[PO]],Table1[PO],Table1[مدة التوقف عن العمل بالشهور],0)</f>
        <v>0</v>
      </c>
      <c r="O17" s="1031" t="str">
        <f>_xlfn.XLOOKUP(E17,Table1[PO],Table1[حالة المشروع],0)</f>
        <v>منتظم</v>
      </c>
      <c r="P17" s="1035">
        <f>_xlfn.XLOOKUP(E17,Table1[PO],Table1[بداية المشروع التعاقدية],0)</f>
        <v>45910</v>
      </c>
      <c r="Q17" s="1035">
        <f>_xlfn.XLOOKUP(E17,Table1[PO],Table1[نهاية المشروع المعدلة PMO LIVE],0)</f>
        <v>47305</v>
      </c>
      <c r="R17" s="1036">
        <f>_xlfn.XLOOKUP(Table4[[#This Row],[PO]],Table1[PO],Table1[قيمة المشروع بالضريبة],0)/1000000</f>
        <v>25.754249999999999</v>
      </c>
      <c r="S17" s="1036">
        <f>Table4[[#This Row],[قيمة المشروع بالضريبة]]*Table4[[#This Row],[المنفذ % التراكمي]]</f>
        <v>1.3520981249999999</v>
      </c>
      <c r="T17" s="1036">
        <f>Table4[[#This Row],[قيمة المشروع بالضريبة]]*Table4[[#This Row],[المخطط % التراكمي]]</f>
        <v>1.67402625</v>
      </c>
      <c r="U17" s="1036">
        <v>234776.83478260867</v>
      </c>
      <c r="V17" s="1036">
        <v>0</v>
      </c>
      <c r="W17" s="1037">
        <v>0</v>
      </c>
      <c r="X17" s="1036">
        <v>1017719.14</v>
      </c>
      <c r="Y17" s="1037">
        <v>6</v>
      </c>
      <c r="Z17" s="1036">
        <v>1017719.14</v>
      </c>
      <c r="AA17" s="1037">
        <v>6</v>
      </c>
      <c r="AB17" s="1038">
        <f>_xlfn.XLOOKUP(Table4[[#This Row],[PO]],Table1[PO],Table1[نسبة الإيقاف%],0)</f>
        <v>0</v>
      </c>
      <c r="AC17" s="1038">
        <f>_xlfn.XLOOKUP(Table4[[#This Row],[PO]],Table1[PO],Table1[المنفذ % - الإسبوع السابق],0)</f>
        <v>5.2499999999999998E-2</v>
      </c>
      <c r="AD17" s="1038" t="str">
        <f>_xlfn.XLOOKUP(Table4[[#This Row],[PO]],Table1[PO],Table1[موقف تقديم الخطة التصحيحية],0)</f>
        <v>➖</v>
      </c>
      <c r="AE17" s="1039">
        <f>_xlfn.XLOOKUP(E17,Table1[PO],Table1[المخطط % التراكمي],0)</f>
        <v>6.5000000000000002E-2</v>
      </c>
      <c r="AF17" s="1039">
        <f>_xlfn.XLOOKUP(E17,Table1[PO],Table1[المنفذ % التراكمي],0)</f>
        <v>5.2499999999999998E-2</v>
      </c>
      <c r="AG17" s="1038">
        <f t="shared" si="0"/>
        <v>-1.2500000000000004E-2</v>
      </c>
      <c r="AH17" s="1068">
        <f>_xlfn.XLOOKUP(E17,Table1[PO],Table1[تاريخ دخول المشروع التعثر بالمدة المنقضية],0)</f>
        <v>47653.75</v>
      </c>
      <c r="AI17" s="1079">
        <v>46550</v>
      </c>
      <c r="AJ17" s="1042">
        <v>46716</v>
      </c>
      <c r="AK17" s="1041">
        <v>46593</v>
      </c>
      <c r="AL17" s="1042">
        <v>46777</v>
      </c>
      <c r="AM17" s="1043">
        <f>_xlfn.XLOOKUP(Table4[[#This Row],[PO]],Table1[PO],Table1[نسبة المخطط التراكمي حتى 31 أكتوبر 2026],0)</f>
        <v>6.7962348738557721E-2</v>
      </c>
      <c r="AN17" s="1043">
        <f>_xlfn.XLOOKUP(Table4[[#This Row],[PO]],Table1[PO],Table1[نسبة الانجاز التراكمي المطلوب للإنتظام],0)</f>
        <v>0</v>
      </c>
      <c r="AO17" s="1044">
        <f>_xlfn.XLOOKUP(Table4[[#This Row],[PO]],Table1[PO],Table1[النسبة المطلوب زيادتها في أكتوبر 2026 للإنتظام],0)</f>
        <v>0</v>
      </c>
      <c r="AP17" s="1043">
        <f>_xlfn.XLOOKUP(Table4[[#This Row],[PO]],Table1[PO],Table1[نسبة الانجاز التراكمي المطلوب لتجنب التعثر],0)</f>
        <v>0</v>
      </c>
      <c r="AQ17" s="1081">
        <f>_xlfn.XLOOKUP(Table4[[#This Row],[PO]],Table1[PO],Table1[النسبة المطلوب زيادتها في أكتوبر 2026 لتجنب / الخروج من التعثر],0)</f>
        <v>0</v>
      </c>
      <c r="AR17" s="1043">
        <f>_xlfn.XLOOKUP(E17,Table1[PO],Table1[نسبة المدة المنقضية %],0)</f>
        <v>0.28673835125448027</v>
      </c>
      <c r="AS17" s="1043">
        <f>Table4[[#This Row],[المخطط % التراكمي]]-Table4[[#This Row],[نسبة المدة المنقضية %]]</f>
        <v>-0.22173835125448027</v>
      </c>
      <c r="AT17" s="1043" t="s">
        <v>517</v>
      </c>
      <c r="AU17" s="1043" t="s">
        <v>633</v>
      </c>
      <c r="AV17" s="1099" t="s">
        <v>633</v>
      </c>
      <c r="AW17" s="1047" t="s">
        <v>647</v>
      </c>
      <c r="AX17" s="1048" t="s">
        <v>633</v>
      </c>
      <c r="AY17" s="1049"/>
      <c r="AZ17" s="1050" t="s">
        <v>633</v>
      </c>
      <c r="BA17" s="496"/>
      <c r="BB17" s="683" t="s">
        <v>526</v>
      </c>
      <c r="BC17" s="840" t="s">
        <v>633</v>
      </c>
      <c r="BE17" s="683" t="s">
        <v>526</v>
      </c>
      <c r="BF17" s="840" t="s">
        <v>633</v>
      </c>
      <c r="BG17" s="683" t="s">
        <v>633</v>
      </c>
      <c r="BH17" s="840" t="s">
        <v>633</v>
      </c>
      <c r="BI17" s="974"/>
      <c r="BJ17" s="1002"/>
      <c r="BK17" s="974"/>
    </row>
    <row r="18" spans="1:63" s="57" customFormat="1" ht="85.8" customHeight="1">
      <c r="A18" s="1051">
        <f>SUBTOTAL(3,$E$3:E18)</f>
        <v>16</v>
      </c>
      <c r="B18" s="1052" t="s">
        <v>308</v>
      </c>
      <c r="C18" s="1052" t="s">
        <v>245</v>
      </c>
      <c r="D18" s="1052"/>
      <c r="E18" s="1052">
        <v>901250199</v>
      </c>
      <c r="F18" s="1053" t="str">
        <f>_xlfn.XLOOKUP(Table4[[#This Row],[PO]],Table1[PO],Table1[مدير البرنامج],0)</f>
        <v>أحمد المطيري</v>
      </c>
      <c r="G18" s="1053" t="str">
        <f>_xlfn.XLOOKUP(Table4[[#This Row],[PO]],Table1[PO],Table1[مدير المشروع],0)</f>
        <v>رائد الحجيلي</v>
      </c>
      <c r="H18" s="1053" t="str">
        <f>_xlfn.XLOOKUP(Table4[[#This Row],[PO]],Table1[PO],Table1[اسم المشروع],0)</f>
        <v>تنقيذ شبكات وخطوط مياه قرى المدينة المنورة ( الجزء الثالث )</v>
      </c>
      <c r="I18" s="1053" t="s">
        <v>241</v>
      </c>
      <c r="J18" s="1053" t="s">
        <v>384</v>
      </c>
      <c r="K18" s="1053" t="str">
        <f>_xlfn.XLOOKUP(Table4[[#This Row],[PO]],Table1[PO],Table1[الإستشاري],0)</f>
        <v>فيوتشر</v>
      </c>
      <c r="L18" s="1052" t="str">
        <f>_xlfn.XLOOKUP(Table4[[#This Row],[PO]],Table1[PO],Table1[تصنيف المشروع],0)</f>
        <v>Water 1</v>
      </c>
      <c r="M18" s="1052" t="s">
        <v>339</v>
      </c>
      <c r="N18" s="1054">
        <f>_xlfn.XLOOKUP(Table4[[#This Row],[PO]],Table1[PO],Table1[مدة التوقف عن العمل بالشهور],0)</f>
        <v>0</v>
      </c>
      <c r="O18" s="1052" t="str">
        <f>_xlfn.XLOOKUP(E18,Table1[PO],Table1[حالة المشروع],0)</f>
        <v>متقدم</v>
      </c>
      <c r="P18" s="1055">
        <f>_xlfn.XLOOKUP(E18,Table1[PO],Table1[بداية المشروع التعاقدية],0)</f>
        <v>45949</v>
      </c>
      <c r="Q18" s="1055">
        <f>_xlfn.XLOOKUP(E18,Table1[PO],Table1[نهاية المشروع المعدلة PMO LIVE],0)</f>
        <v>47301</v>
      </c>
      <c r="R18" s="1056">
        <f>_xlfn.XLOOKUP(Table4[[#This Row],[PO]],Table1[PO],Table1[قيمة المشروع بالضريبة],0)/1000000</f>
        <v>37.933893099999999</v>
      </c>
      <c r="S18" s="1056">
        <f>Table4[[#This Row],[قيمة المشروع بالضريبة]]*Table4[[#This Row],[المنفذ % التراكمي]]</f>
        <v>3.2130007455699996</v>
      </c>
      <c r="T18" s="1056">
        <f>Table4[[#This Row],[قيمة المشروع بالضريبة]]*Table4[[#This Row],[المخطط % التراكمي]]</f>
        <v>2.6781328528599997</v>
      </c>
      <c r="U18" s="1056">
        <v>123735.99500000011</v>
      </c>
      <c r="V18" s="1056">
        <v>797697.49</v>
      </c>
      <c r="W18" s="1057">
        <v>2</v>
      </c>
      <c r="X18" s="1056">
        <v>1620543.9000000001</v>
      </c>
      <c r="Y18" s="1057">
        <v>7</v>
      </c>
      <c r="Z18" s="1056">
        <v>2418241.39</v>
      </c>
      <c r="AA18" s="1057">
        <v>9</v>
      </c>
      <c r="AB18" s="1058">
        <f>_xlfn.XLOOKUP(Table4[[#This Row],[PO]],Table1[PO],Table1[نسبة الإيقاف%],0)</f>
        <v>0</v>
      </c>
      <c r="AC18" s="1058">
        <f>_xlfn.XLOOKUP(Table4[[#This Row],[PO]],Table1[PO],Table1[المنفذ % - الإسبوع السابق],0)</f>
        <v>8.4699999999999998E-2</v>
      </c>
      <c r="AD18" s="1058" t="str">
        <f>_xlfn.XLOOKUP(Table4[[#This Row],[PO]],Table1[PO],Table1[موقف تقديم الخطة التصحيحية],0)</f>
        <v>➖</v>
      </c>
      <c r="AE18" s="1059">
        <f>_xlfn.XLOOKUP(E18,Table1[PO],Table1[المخطط % التراكمي],0)</f>
        <v>7.0599999999999996E-2</v>
      </c>
      <c r="AF18" s="1059">
        <f>_xlfn.XLOOKUP(E18,Table1[PO],Table1[المنفذ % التراكمي],0)</f>
        <v>8.4699999999999998E-2</v>
      </c>
      <c r="AG18" s="1058">
        <f t="shared" si="0"/>
        <v>1.4100000000000001E-2</v>
      </c>
      <c r="AH18" s="1076">
        <f>_xlfn.XLOOKUP(E18,Table1[PO],Table1[تاريخ دخول المشروع التعثر بالمدة المنقضية],0)</f>
        <v>47639</v>
      </c>
      <c r="AI18" s="1079">
        <v>46601</v>
      </c>
      <c r="AJ18" s="1080">
        <v>46777</v>
      </c>
      <c r="AK18" s="1079">
        <v>46845</v>
      </c>
      <c r="AL18" s="1080">
        <v>46954</v>
      </c>
      <c r="AM18" s="1085">
        <f>_xlfn.XLOOKUP(Table4[[#This Row],[PO]],Table1[PO],Table1[نسبة المخطط التراكمي حتى 31 أكتوبر 2026],0)</f>
        <v>7.4861445509831079E-2</v>
      </c>
      <c r="AN18" s="1085">
        <f>_xlfn.XLOOKUP(Table4[[#This Row],[PO]],Table1[PO],Table1[نسبة الانجاز التراكمي المطلوب للإنتظام],0)</f>
        <v>0</v>
      </c>
      <c r="AO18" s="1086">
        <f>_xlfn.XLOOKUP(Table4[[#This Row],[PO]],Table1[PO],Table1[النسبة المطلوب زيادتها في أكتوبر 2026 للإنتظام],0)</f>
        <v>0</v>
      </c>
      <c r="AP18" s="1085">
        <f>_xlfn.XLOOKUP(Table4[[#This Row],[PO]],Table1[PO],Table1[نسبة الانجاز التراكمي المطلوب لتجنب التعثر],0)</f>
        <v>0</v>
      </c>
      <c r="AQ18" s="1087">
        <f>_xlfn.XLOOKUP(Table4[[#This Row],[PO]],Table1[PO],Table1[النسبة المطلوب زيادتها في أكتوبر 2026 لتجنب / الخروج من التعثر],0)</f>
        <v>0</v>
      </c>
      <c r="AR18" s="1085">
        <f>_xlfn.XLOOKUP(E18,Table1[PO],Table1[نسبة المدة المنقضية %],0)</f>
        <v>0.26701183431952663</v>
      </c>
      <c r="AS18" s="1085">
        <f>Table4[[#This Row],[المخطط % التراكمي]]-Table4[[#This Row],[نسبة المدة المنقضية %]]</f>
        <v>-0.19641183431952663</v>
      </c>
      <c r="AT18" s="1085" t="s">
        <v>517</v>
      </c>
      <c r="AU18" s="1085" t="s">
        <v>1035</v>
      </c>
      <c r="AV18" s="1095" t="s">
        <v>740</v>
      </c>
      <c r="AW18" s="1089" t="s">
        <v>647</v>
      </c>
      <c r="AX18" s="1065" t="s">
        <v>740</v>
      </c>
      <c r="AY18" s="1090"/>
      <c r="AZ18" s="1092" t="s">
        <v>988</v>
      </c>
      <c r="BA18" s="496"/>
      <c r="BB18" s="667" t="s">
        <v>740</v>
      </c>
      <c r="BC18" s="845" t="s">
        <v>778</v>
      </c>
      <c r="BE18" s="667" t="s">
        <v>740</v>
      </c>
      <c r="BF18" s="845" t="s">
        <v>843</v>
      </c>
      <c r="BG18" s="667" t="s">
        <v>740</v>
      </c>
      <c r="BH18" s="845" t="s">
        <v>880</v>
      </c>
      <c r="BI18" s="974"/>
      <c r="BJ18" s="1002"/>
      <c r="BK18" s="974"/>
    </row>
    <row r="19" spans="1:63" s="54" customFormat="1" ht="102.6" customHeight="1">
      <c r="A19" s="1030">
        <f>SUBTOTAL(3,$E$3:E19)</f>
        <v>17</v>
      </c>
      <c r="B19" s="1031" t="s">
        <v>294</v>
      </c>
      <c r="C19" s="1031" t="s">
        <v>214</v>
      </c>
      <c r="D19" s="1031"/>
      <c r="E19" s="1031">
        <v>901250191</v>
      </c>
      <c r="F19" s="1032" t="str">
        <f>_xlfn.XLOOKUP(Table4[[#This Row],[PO]],Table1[PO],Table1[مدير البرنامج],0)</f>
        <v>عبدالله المغذوي</v>
      </c>
      <c r="G19" s="1032" t="str">
        <f>_xlfn.XLOOKUP(Table4[[#This Row],[PO]],Table1[PO],Table1[مدير المشروع],0)</f>
        <v>محمد بداي</v>
      </c>
      <c r="H19" s="1032" t="str">
        <f>_xlfn.XLOOKUP(Table4[[#This Row],[PO]],Table1[PO],Table1[اسم المشروع],0)</f>
        <v>مشروع إنشاء خط مياه رئيسي من المسيجيد الى هبت مع محطة ضخ في المسيجيد ومحطة أخرى في بئر الروحاء</v>
      </c>
      <c r="I19" s="1032" t="s">
        <v>146</v>
      </c>
      <c r="J19" s="1032" t="s">
        <v>384</v>
      </c>
      <c r="K19" s="1032" t="str">
        <f>_xlfn.XLOOKUP(Table4[[#This Row],[PO]],Table1[PO],Table1[الإستشاري],0)</f>
        <v>فيوتشر</v>
      </c>
      <c r="L19" s="1031" t="str">
        <f>_xlfn.XLOOKUP(Table4[[#This Row],[PO]],Table1[PO],Table1[تصنيف المشروع],0)</f>
        <v>Water 2</v>
      </c>
      <c r="M19" s="1031" t="s">
        <v>339</v>
      </c>
      <c r="N19" s="1034">
        <f>_xlfn.XLOOKUP(Table4[[#This Row],[PO]],Table1[PO],Table1[مدة التوقف عن العمل بالشهور],0)</f>
        <v>0</v>
      </c>
      <c r="O19" s="1031" t="str">
        <f>_xlfn.XLOOKUP(E19,Table1[PO],Table1[حالة المشروع],0)</f>
        <v>متقدم</v>
      </c>
      <c r="P19" s="1035">
        <f>_xlfn.XLOOKUP(E19,Table1[PO],Table1[بداية المشروع التعاقدية],0)</f>
        <v>45908</v>
      </c>
      <c r="Q19" s="1035">
        <f>_xlfn.XLOOKUP(E19,Table1[PO],Table1[نهاية المشروع المعدلة PMO LIVE],0)</f>
        <v>47239</v>
      </c>
      <c r="R19" s="1036">
        <f>_xlfn.XLOOKUP(Table4[[#This Row],[PO]],Table1[PO],Table1[قيمة المشروع بالضريبة],0)/1000000</f>
        <v>43.412500000000001</v>
      </c>
      <c r="S19" s="1036">
        <f>Table4[[#This Row],[قيمة المشروع بالضريبة]]*Table4[[#This Row],[المنفذ % التراكمي]]</f>
        <v>12.372562499999999</v>
      </c>
      <c r="T19" s="1036">
        <f>Table4[[#This Row],[قيمة المشروع بالضريبة]]*Table4[[#This Row],[المخطط % التراكمي]]</f>
        <v>6.4076850000000007</v>
      </c>
      <c r="U19" s="1036">
        <v>1663265.0434782607</v>
      </c>
      <c r="V19" s="1036">
        <v>722679.1799999997</v>
      </c>
      <c r="W19" s="1037">
        <v>2</v>
      </c>
      <c r="X19" s="1036">
        <v>8217691.0199999996</v>
      </c>
      <c r="Y19" s="1037">
        <v>7</v>
      </c>
      <c r="Z19" s="1036">
        <v>8940370.1999999993</v>
      </c>
      <c r="AA19" s="1037">
        <v>9</v>
      </c>
      <c r="AB19" s="1038">
        <f>_xlfn.XLOOKUP(Table4[[#This Row],[PO]],Table1[PO],Table1[نسبة الإيقاف%],0)</f>
        <v>0</v>
      </c>
      <c r="AC19" s="1038">
        <f>_xlfn.XLOOKUP(Table4[[#This Row],[PO]],Table1[PO],Table1[المنفذ % - الإسبوع السابق],0)</f>
        <v>0.28349999999999997</v>
      </c>
      <c r="AD19" s="1038" t="str">
        <f>_xlfn.XLOOKUP(Table4[[#This Row],[PO]],Table1[PO],Table1[موقف تقديم الخطة التصحيحية],0)</f>
        <v>➖</v>
      </c>
      <c r="AE19" s="1039">
        <f>_xlfn.XLOOKUP(E19,Table1[PO],Table1[المخطط % التراكمي],0)</f>
        <v>0.14760000000000001</v>
      </c>
      <c r="AF19" s="1039">
        <f>_xlfn.XLOOKUP(E19,Table1[PO],Table1[المنفذ % التراكمي],0)</f>
        <v>0.28499999999999998</v>
      </c>
      <c r="AG19" s="1038">
        <f t="shared" si="0"/>
        <v>0.13739999999999997</v>
      </c>
      <c r="AH19" s="1068">
        <f>_xlfn.XLOOKUP(E19,Table1[PO],Table1[تاريخ دخول المشروع التعثر بالمدة المنقضية],0)</f>
        <v>47571.75</v>
      </c>
      <c r="AI19" s="1041">
        <v>46619</v>
      </c>
      <c r="AJ19" s="1080">
        <v>46705</v>
      </c>
      <c r="AK19" s="1041" t="s">
        <v>666</v>
      </c>
      <c r="AL19" s="1080" t="s">
        <v>667</v>
      </c>
      <c r="AM19" s="1038">
        <f>_xlfn.XLOOKUP(Table4[[#This Row],[PO]],Table1[PO],Table1[نسبة المخطط التراكمي حتى 31 أكتوبر 2026],0)</f>
        <v>0.1475905692715232</v>
      </c>
      <c r="AN19" s="1038">
        <f>_xlfn.XLOOKUP(Table4[[#This Row],[PO]],Table1[PO],Table1[نسبة الانجاز التراكمي المطلوب للإنتظام],0)</f>
        <v>4.8590569271523193E-2</v>
      </c>
      <c r="AO19" s="1069">
        <f>_xlfn.XLOOKUP(Table4[[#This Row],[PO]],Table1[PO],Table1[النسبة المطلوب زيادتها في أكتوبر 2026 للإنتظام],0)</f>
        <v>0</v>
      </c>
      <c r="AP19" s="1038">
        <f>_xlfn.XLOOKUP(Table4[[#This Row],[PO]],Table1[PO],Table1[نسبة الانجاز التراكمي المطلوب لتجنب التعثر],0)</f>
        <v>0</v>
      </c>
      <c r="AQ19" s="1070">
        <f>_xlfn.XLOOKUP(Table4[[#This Row],[PO]],Table1[PO],Table1[النسبة المطلوب زيادتها في أكتوبر 2026 لتجنب / الخروج من التعثر],0)</f>
        <v>0</v>
      </c>
      <c r="AR19" s="1038">
        <f>_xlfn.XLOOKUP(E19,Table1[PO],Table1[نسبة المدة المنقضية %],0)</f>
        <v>0.30202854996243428</v>
      </c>
      <c r="AS19" s="1038">
        <f>Table4[[#This Row],[المخطط % التراكمي]]-Table4[[#This Row],[نسبة المدة المنقضية %]]</f>
        <v>-0.15442854996243427</v>
      </c>
      <c r="AT19" s="1043" t="s">
        <v>517</v>
      </c>
      <c r="AU19" s="1046" t="s">
        <v>1034</v>
      </c>
      <c r="AV19" s="1099" t="s">
        <v>742</v>
      </c>
      <c r="AW19" s="1047" t="s">
        <v>647</v>
      </c>
      <c r="AX19" s="1074" t="s">
        <v>742</v>
      </c>
      <c r="AY19" s="1049"/>
      <c r="AZ19" s="1082" t="s">
        <v>989</v>
      </c>
      <c r="BA19" s="496"/>
      <c r="BB19" s="666" t="s">
        <v>737</v>
      </c>
      <c r="BC19" s="843" t="s">
        <v>775</v>
      </c>
      <c r="BE19" s="666" t="s">
        <v>742</v>
      </c>
      <c r="BF19" s="843" t="s">
        <v>838</v>
      </c>
      <c r="BG19" s="666" t="s">
        <v>742</v>
      </c>
      <c r="BH19" s="843" t="s">
        <v>878</v>
      </c>
      <c r="BI19" s="974"/>
      <c r="BJ19" s="1002"/>
      <c r="BK19" s="974"/>
    </row>
    <row r="20" spans="1:63" s="57" customFormat="1" ht="75">
      <c r="A20" s="1051">
        <f>SUBTOTAL(3,$E$3:E20)</f>
        <v>18</v>
      </c>
      <c r="B20" s="1052" t="s">
        <v>293</v>
      </c>
      <c r="C20" s="1052" t="s">
        <v>209</v>
      </c>
      <c r="D20" s="1052"/>
      <c r="E20" s="1052">
        <v>901250150</v>
      </c>
      <c r="F20" s="1053" t="str">
        <f>_xlfn.XLOOKUP(Table4[[#This Row],[PO]],Table1[PO],Table1[مدير البرنامج],0)</f>
        <v>عادل الحيسوني</v>
      </c>
      <c r="G20" s="1053" t="str">
        <f>_xlfn.XLOOKUP(Table4[[#This Row],[PO]],Table1[PO],Table1[مدير المشروع],0)</f>
        <v>محمد القطيلان</v>
      </c>
      <c r="H20" s="1053" t="str">
        <f>_xlfn.XLOOKUP(Table4[[#This Row],[PO]],Table1[PO],Table1[اسم المشروع],0)</f>
        <v>تنفيذ خطوط وشبكات الصرف الصحي بمحافظة المهد ( الجزء الاول )</v>
      </c>
      <c r="I20" s="1053" t="s">
        <v>132</v>
      </c>
      <c r="J20" s="1053" t="s">
        <v>384</v>
      </c>
      <c r="K20" s="1053" t="str">
        <f>_xlfn.XLOOKUP(Table4[[#This Row],[PO]],Table1[PO],Table1[الإستشاري],0)</f>
        <v>فيوتشر</v>
      </c>
      <c r="L20" s="1052" t="str">
        <f>_xlfn.XLOOKUP(Table4[[#This Row],[PO]],Table1[PO],Table1[تصنيف المشروع],0)</f>
        <v>WW</v>
      </c>
      <c r="M20" s="1052" t="s">
        <v>339</v>
      </c>
      <c r="N20" s="1054">
        <f>_xlfn.XLOOKUP(Table4[[#This Row],[PO]],Table1[PO],Table1[مدة التوقف عن العمل بالشهور],0)</f>
        <v>0</v>
      </c>
      <c r="O20" s="1052" t="str">
        <f>_xlfn.XLOOKUP(E20,Table1[PO],Table1[حالة المشروع],0)</f>
        <v>متقدم</v>
      </c>
      <c r="P20" s="1055">
        <f>_xlfn.XLOOKUP(E20,Table1[PO],Table1[بداية المشروع التعاقدية],0)</f>
        <v>45868</v>
      </c>
      <c r="Q20" s="1055">
        <f>_xlfn.XLOOKUP(E20,Table1[PO],Table1[نهاية المشروع المعدلة PMO LIVE],0)</f>
        <v>47299</v>
      </c>
      <c r="R20" s="1056">
        <f>_xlfn.XLOOKUP(Table4[[#This Row],[PO]],Table1[PO],Table1[قيمة المشروع بالضريبة],0)/1000000</f>
        <v>47.026322999999998</v>
      </c>
      <c r="S20" s="1056">
        <f>Table4[[#This Row],[قيمة المشروع بالضريبة]]*Table4[[#This Row],[المنفذ % التراكمي]]</f>
        <v>7.3078905941999999</v>
      </c>
      <c r="T20" s="1056">
        <f>Table4[[#This Row],[قيمة المشروع بالضريبة]]*Table4[[#This Row],[المخطط % التراكمي]]</f>
        <v>4.9565744441999993</v>
      </c>
      <c r="U20" s="1056">
        <v>364707.1230122596</v>
      </c>
      <c r="V20" s="1056">
        <v>1836589.4500000002</v>
      </c>
      <c r="W20" s="1057">
        <v>2</v>
      </c>
      <c r="X20" s="1056">
        <v>4576922.09</v>
      </c>
      <c r="Y20" s="1057">
        <v>9</v>
      </c>
      <c r="Z20" s="1056">
        <v>6413511.54</v>
      </c>
      <c r="AA20" s="1057">
        <v>11</v>
      </c>
      <c r="AB20" s="1058">
        <f>_xlfn.XLOOKUP(Table4[[#This Row],[PO]],Table1[PO],Table1[نسبة الإيقاف%],0)</f>
        <v>0</v>
      </c>
      <c r="AC20" s="1058">
        <f>_xlfn.XLOOKUP(Table4[[#This Row],[PO]],Table1[PO],Table1[المنفذ % - الإسبوع السابق],0)</f>
        <v>0.15409999999999999</v>
      </c>
      <c r="AD20" s="1058" t="str">
        <f>_xlfn.XLOOKUP(Table4[[#This Row],[PO]],Table1[PO],Table1[موقف تقديم الخطة التصحيحية],0)</f>
        <v>➖</v>
      </c>
      <c r="AE20" s="1059">
        <f>_xlfn.XLOOKUP(E20,Table1[PO],Table1[المخطط % التراكمي],0)</f>
        <v>0.10539999999999999</v>
      </c>
      <c r="AF20" s="1059">
        <f>_xlfn.XLOOKUP(E20,Table1[PO],Table1[المنفذ % التراكمي],0)</f>
        <v>0.15540000000000001</v>
      </c>
      <c r="AG20" s="1058">
        <f t="shared" si="0"/>
        <v>5.0000000000000017E-2</v>
      </c>
      <c r="AH20" s="1076">
        <f>_xlfn.XLOOKUP(E20,Table1[PO],Table1[تاريخ دخول المشروع التعثر بالمدة المنقضية],0)</f>
        <v>47656.75</v>
      </c>
      <c r="AI20" s="1041">
        <v>46665</v>
      </c>
      <c r="AJ20" s="1080">
        <v>46803</v>
      </c>
      <c r="AK20" s="1041">
        <v>46924</v>
      </c>
      <c r="AL20" s="1080">
        <v>47143</v>
      </c>
      <c r="AM20" s="1058">
        <f>_xlfn.XLOOKUP(Table4[[#This Row],[PO]],Table1[PO],Table1[نسبة المخطط التراكمي حتى 31 أكتوبر 2026],0)</f>
        <v>0.10619649495828264</v>
      </c>
      <c r="AN20" s="1058">
        <f>_xlfn.XLOOKUP(Table4[[#This Row],[PO]],Table1[PO],Table1[نسبة الانجاز التراكمي المطلوب للإنتظام],0)</f>
        <v>7.1964949582826315E-3</v>
      </c>
      <c r="AO20" s="1060">
        <f>_xlfn.XLOOKUP(Table4[[#This Row],[PO]],Table1[PO],Table1[النسبة المطلوب زيادتها في أكتوبر 2026 للإنتظام],0)</f>
        <v>0</v>
      </c>
      <c r="AP20" s="1058">
        <f>_xlfn.XLOOKUP(Table4[[#This Row],[PO]],Table1[PO],Table1[نسبة الانجاز التراكمي المطلوب لتجنب التعثر],0)</f>
        <v>0</v>
      </c>
      <c r="AQ20" s="1061">
        <f>_xlfn.XLOOKUP(Table4[[#This Row],[PO]],Table1[PO],Table1[النسبة المطلوب زيادتها في أكتوبر 2026 لتجنب / الخروج من التعثر],0)</f>
        <v>0</v>
      </c>
      <c r="AR20" s="1058">
        <f>_xlfn.XLOOKUP(E20,Table1[PO],Table1[نسبة المدة المنقضية %],0)</f>
        <v>0.30887491264849753</v>
      </c>
      <c r="AS20" s="1058">
        <f>Table4[[#This Row],[المخطط % التراكمي]]-Table4[[#This Row],[نسبة المدة المنقضية %]]</f>
        <v>-0.20347491264849754</v>
      </c>
      <c r="AT20" s="1085" t="s">
        <v>517</v>
      </c>
      <c r="AU20" s="1085" t="s">
        <v>633</v>
      </c>
      <c r="AV20" s="1095" t="s">
        <v>633</v>
      </c>
      <c r="AW20" s="1089" t="s">
        <v>965</v>
      </c>
      <c r="AX20" s="1065" t="s">
        <v>633</v>
      </c>
      <c r="AY20" s="1090"/>
      <c r="AZ20" s="1098" t="s">
        <v>633</v>
      </c>
      <c r="BA20" s="496"/>
      <c r="BB20" s="667" t="s">
        <v>526</v>
      </c>
      <c r="BC20" s="847" t="s">
        <v>633</v>
      </c>
      <c r="BE20" s="667" t="s">
        <v>526</v>
      </c>
      <c r="BF20" s="847" t="s">
        <v>633</v>
      </c>
      <c r="BG20" s="667" t="s">
        <v>526</v>
      </c>
      <c r="BH20" s="847" t="s">
        <v>633</v>
      </c>
      <c r="BI20" s="974"/>
      <c r="BJ20" s="1002"/>
      <c r="BK20" s="974"/>
    </row>
    <row r="21" spans="1:63" s="54" customFormat="1" ht="165">
      <c r="A21" s="1030">
        <f>SUBTOTAL(3,$E$3:E21)</f>
        <v>19</v>
      </c>
      <c r="B21" s="1031" t="s">
        <v>288</v>
      </c>
      <c r="C21" s="1031" t="s">
        <v>200</v>
      </c>
      <c r="D21" s="1031">
        <v>1</v>
      </c>
      <c r="E21" s="1031">
        <v>901250110</v>
      </c>
      <c r="F21" s="1032" t="str">
        <f>_xlfn.XLOOKUP(Table4[[#This Row],[PO]],Table1[PO],Table1[مدير البرنامج],0)</f>
        <v xml:space="preserve">عبدالله المغذوي </v>
      </c>
      <c r="G21" s="1032" t="str">
        <f>_xlfn.XLOOKUP(Table4[[#This Row],[PO]],Table1[PO],Table1[مدير المشروع],0)</f>
        <v>ياسين عويضه</v>
      </c>
      <c r="H21" s="1032" t="str">
        <f>_xlfn.XLOOKUP(Table4[[#This Row],[PO]],Table1[PO],Table1[اسم المشروع],0)</f>
        <v>استكمال إنشاء أشياب مع ملحقاتها ومحطة تنقية للمياه في مناطق مختلفة بمحافظة الحناكية</v>
      </c>
      <c r="I21" s="1032" t="s">
        <v>104</v>
      </c>
      <c r="J21" s="1032" t="s">
        <v>384</v>
      </c>
      <c r="K21" s="1032" t="str">
        <f>_xlfn.XLOOKUP(Table4[[#This Row],[PO]],Table1[PO],Table1[الإستشاري],0)</f>
        <v>فيوتشر</v>
      </c>
      <c r="L21" s="1031" t="str">
        <f>_xlfn.XLOOKUP(Table4[[#This Row],[PO]],Table1[PO],Table1[تصنيف المشروع],0)</f>
        <v>Water 2</v>
      </c>
      <c r="M21" s="1031" t="s">
        <v>339</v>
      </c>
      <c r="N21" s="1034">
        <f>_xlfn.XLOOKUP(Table4[[#This Row],[PO]],Table1[PO],Table1[مدة التوقف عن العمل بالشهور],0)</f>
        <v>5</v>
      </c>
      <c r="O21" s="1031" t="str">
        <f>_xlfn.XLOOKUP(E21,Table1[PO],Table1[حالة المشروع],0)</f>
        <v>متعثر</v>
      </c>
      <c r="P21" s="1035">
        <f>_xlfn.XLOOKUP(E21,Table1[PO],Table1[بداية المشروع التعاقدية],0)</f>
        <v>45774</v>
      </c>
      <c r="Q21" s="1035">
        <f>_xlfn.XLOOKUP(E21,Table1[PO],Table1[نهاية المشروع المعدلة PMO LIVE],0)</f>
        <v>46304</v>
      </c>
      <c r="R21" s="1036">
        <f>_xlfn.XLOOKUP(Table4[[#This Row],[PO]],Table1[PO],Table1[قيمة المشروع بالضريبة],0)/1000000</f>
        <v>4.9367752000000005</v>
      </c>
      <c r="S21" s="1036">
        <f>Table4[[#This Row],[قيمة المشروع بالضريبة]]*Table4[[#This Row],[المنفذ % التراكمي]]</f>
        <v>2.3158412463200002</v>
      </c>
      <c r="T21" s="1036">
        <f>Table4[[#This Row],[قيمة المشروع بالضريبة]]*Table4[[#This Row],[المخطط % التراكمي]]</f>
        <v>4.9367752000000005</v>
      </c>
      <c r="U21" s="1036">
        <v>481966.99679999985</v>
      </c>
      <c r="V21" s="1036">
        <v>0</v>
      </c>
      <c r="W21" s="1037">
        <v>0</v>
      </c>
      <c r="X21" s="1036">
        <v>1761579.2</v>
      </c>
      <c r="Y21" s="1037">
        <v>5</v>
      </c>
      <c r="Z21" s="1036">
        <v>1761579.2</v>
      </c>
      <c r="AA21" s="1037">
        <v>5</v>
      </c>
      <c r="AB21" s="1038">
        <f>_xlfn.XLOOKUP(Table4[[#This Row],[PO]],Table1[PO],Table1[نسبة الإيقاف%],0)</f>
        <v>0</v>
      </c>
      <c r="AC21" s="1038">
        <f>_xlfn.XLOOKUP(Table4[[#This Row],[PO]],Table1[PO],Table1[المنفذ % - الإسبوع السابق],0)</f>
        <v>0.46910000000000002</v>
      </c>
      <c r="AD21" s="1038" t="str">
        <f>_xlfn.XLOOKUP(Table4[[#This Row],[PO]],Table1[PO],Table1[موقف تقديم الخطة التصحيحية],0)</f>
        <v>❌</v>
      </c>
      <c r="AE21" s="1039">
        <f>_xlfn.XLOOKUP(E21,Table1[PO],Table1[المخطط % التراكمي],0)</f>
        <v>1</v>
      </c>
      <c r="AF21" s="1039">
        <f>_xlfn.XLOOKUP(E21,Table1[PO],Table1[المنفذ % التراكمي],0)</f>
        <v>0.46910000000000002</v>
      </c>
      <c r="AG21" s="1038">
        <f t="shared" si="0"/>
        <v>-0.53089999999999993</v>
      </c>
      <c r="AH21" s="1040">
        <f>_xlfn.XLOOKUP(E21,Table1[PO],Table1[تاريخ دخول المشروع التعثر بالمدة المنقضية],0)</f>
        <v>46436.5</v>
      </c>
      <c r="AI21" s="1100" t="s">
        <v>85</v>
      </c>
      <c r="AJ21" s="1080" t="s">
        <v>85</v>
      </c>
      <c r="AK21" s="1079" t="s">
        <v>85</v>
      </c>
      <c r="AL21" s="1080" t="s">
        <v>85</v>
      </c>
      <c r="AM21" s="1038">
        <f>_xlfn.XLOOKUP(Table4[[#This Row],[PO]],Table1[PO],Table1[نسبة المخطط التراكمي حتى 31 أكتوبر 2026],0)</f>
        <v>1</v>
      </c>
      <c r="AN21" s="1038">
        <f>_xlfn.XLOOKUP(Table4[[#This Row],[PO]],Table1[PO],Table1[نسبة الانجاز التراكمي المطلوب للإنتظام],0)</f>
        <v>0.90100000000000002</v>
      </c>
      <c r="AO21" s="1069">
        <f>_xlfn.XLOOKUP(Table4[[#This Row],[PO]],Table1[PO],Table1[النسبة المطلوب زيادتها في أكتوبر 2026 للإنتظام],0)</f>
        <v>0.43190000000000001</v>
      </c>
      <c r="AP21" s="1038">
        <f>_xlfn.XLOOKUP(Table4[[#This Row],[PO]],Table1[PO],Table1[نسبة الانجاز التراكمي المطلوب لتجنب التعثر],0)</f>
        <v>0.751</v>
      </c>
      <c r="AQ21" s="1070">
        <f>_xlfn.XLOOKUP(Table4[[#This Row],[PO]],Table1[PO],Table1[النسبة المطلوب زيادتها في أكتوبر 2026 لتجنب / الخروج من التعثر],0)</f>
        <v>0.28189999999999998</v>
      </c>
      <c r="AR21" s="1038">
        <f>_xlfn.XLOOKUP(E21,Table1[PO],Table1[نسبة المدة المنقضية %],0)</f>
        <v>1.0113207547169811</v>
      </c>
      <c r="AS21" s="1038">
        <f>Table4[[#This Row],[المخطط % التراكمي]]-Table4[[#This Row],[نسبة المدة المنقضية %]]</f>
        <v>-1.132075471698113E-2</v>
      </c>
      <c r="AT21" s="1043" t="s">
        <v>517</v>
      </c>
      <c r="AU21" s="1046" t="s">
        <v>1033</v>
      </c>
      <c r="AV21" s="1099" t="s">
        <v>802</v>
      </c>
      <c r="AW21" s="1027" t="s">
        <v>647</v>
      </c>
      <c r="AX21" s="1074" t="s">
        <v>765</v>
      </c>
      <c r="AY21" s="1049"/>
      <c r="AZ21" s="1082" t="s">
        <v>1022</v>
      </c>
      <c r="BA21" s="496"/>
      <c r="BB21" s="666" t="s">
        <v>765</v>
      </c>
      <c r="BC21" s="843" t="s">
        <v>779</v>
      </c>
      <c r="BE21" s="666" t="s">
        <v>765</v>
      </c>
      <c r="BF21" s="843" t="s">
        <v>853</v>
      </c>
      <c r="BG21" s="666" t="s">
        <v>765</v>
      </c>
      <c r="BH21" s="843" t="s">
        <v>853</v>
      </c>
      <c r="BI21" s="974"/>
      <c r="BJ21" s="1002"/>
      <c r="BK21" s="974"/>
    </row>
    <row r="22" spans="1:63" s="57" customFormat="1" ht="45">
      <c r="A22" s="1051">
        <f>SUBTOTAL(3,$E$3:E22)</f>
        <v>20</v>
      </c>
      <c r="B22" s="1052" t="s">
        <v>291</v>
      </c>
      <c r="C22" s="1052" t="s">
        <v>205</v>
      </c>
      <c r="D22" s="1052"/>
      <c r="E22" s="1052">
        <v>901250059</v>
      </c>
      <c r="F22" s="1053" t="str">
        <f>_xlfn.XLOOKUP(Table4[[#This Row],[PO]],Table1[PO],Table1[مدير البرنامج],0)</f>
        <v>عبدالله المغذوي</v>
      </c>
      <c r="G22" s="1053" t="str">
        <f>_xlfn.XLOOKUP(Table4[[#This Row],[PO]],Table1[PO],Table1[مدير المشروع],0)</f>
        <v>أحمد السيد</v>
      </c>
      <c r="H22" s="1053" t="str">
        <f>_xlfn.XLOOKUP(Table4[[#This Row],[PO]],Table1[PO],Table1[اسم المشروع],0)</f>
        <v>تنفيذ خطوط وشبكات توزيع المياه لمحافظة العيص ( المرحلة الأولى )</v>
      </c>
      <c r="I22" s="1053" t="s">
        <v>103</v>
      </c>
      <c r="J22" s="1053" t="s">
        <v>384</v>
      </c>
      <c r="K22" s="1053" t="str">
        <f>_xlfn.XLOOKUP(Table4[[#This Row],[PO]],Table1[PO],Table1[الإستشاري],0)</f>
        <v>فيوتشر</v>
      </c>
      <c r="L22" s="1052" t="str">
        <f>_xlfn.XLOOKUP(Table4[[#This Row],[PO]],Table1[PO],Table1[تصنيف المشروع],0)</f>
        <v>Coastal</v>
      </c>
      <c r="M22" s="1052" t="s">
        <v>338</v>
      </c>
      <c r="N22" s="1054">
        <f>_xlfn.XLOOKUP(Table4[[#This Row],[PO]],Table1[PO],Table1[مدة التوقف عن العمل بالشهور],0)</f>
        <v>0</v>
      </c>
      <c r="O22" s="1101" t="str">
        <f>_xlfn.XLOOKUP(E22,Table1[PO],Table1[حالة المشروع],0)</f>
        <v>متقدم</v>
      </c>
      <c r="P22" s="1055">
        <f>_xlfn.XLOOKUP(E22,Table1[PO],Table1[بداية المشروع التعاقدية],0)</f>
        <v>45762</v>
      </c>
      <c r="Q22" s="1055">
        <f>_xlfn.XLOOKUP(E22,Table1[PO],Table1[نهاية المشروع المعدلة PMO LIVE],0)</f>
        <v>46857</v>
      </c>
      <c r="R22" s="1056">
        <f>_xlfn.XLOOKUP(Table4[[#This Row],[PO]],Table1[PO],Table1[قيمة المشروع بالضريبة],0)/1000000</f>
        <v>58.2212064</v>
      </c>
      <c r="S22" s="1056">
        <f>Table4[[#This Row],[قيمة المشروع بالضريبة]]*Table4[[#This Row],[المنفذ % التراكمي]]</f>
        <v>30.094541588160002</v>
      </c>
      <c r="T22" s="1056">
        <f>Table4[[#This Row],[قيمة المشروع بالضريبة]]*Table4[[#This Row],[المخطط % التراكمي]]</f>
        <v>25.547465368320001</v>
      </c>
      <c r="U22" s="1056">
        <v>363237.30608695</v>
      </c>
      <c r="V22" s="1056">
        <v>2935172.0300000012</v>
      </c>
      <c r="W22" s="1057">
        <v>2</v>
      </c>
      <c r="X22" s="1056">
        <v>24593284.140000001</v>
      </c>
      <c r="Y22" s="1057">
        <v>13</v>
      </c>
      <c r="Z22" s="1056">
        <v>27528456.170000002</v>
      </c>
      <c r="AA22" s="1057">
        <v>15</v>
      </c>
      <c r="AB22" s="1058">
        <f>_xlfn.XLOOKUP(Table4[[#This Row],[PO]],Table1[PO],Table1[نسبة الإيقاف%],0)</f>
        <v>0</v>
      </c>
      <c r="AC22" s="1058">
        <f>_xlfn.XLOOKUP(Table4[[#This Row],[PO]],Table1[PO],Table1[المنفذ % - الإسبوع السابق],0)</f>
        <v>0.5111</v>
      </c>
      <c r="AD22" s="1058" t="str">
        <f>_xlfn.XLOOKUP(Table4[[#This Row],[PO]],Table1[PO],Table1[موقف تقديم الخطة التصحيحية],0)</f>
        <v>➖</v>
      </c>
      <c r="AE22" s="1059">
        <f>_xlfn.XLOOKUP(E22,Table1[PO],Table1[المخطط % التراكمي],0)</f>
        <v>0.43880000000000002</v>
      </c>
      <c r="AF22" s="1059">
        <f>_xlfn.XLOOKUP(E22,Table1[PO],Table1[المنفذ % التراكمي],0)</f>
        <v>0.51690000000000003</v>
      </c>
      <c r="AG22" s="1058">
        <f t="shared" si="0"/>
        <v>7.8100000000000003E-2</v>
      </c>
      <c r="AH22" s="1076">
        <f>_xlfn.XLOOKUP(E22,Table1[PO],Table1[تاريخ دخول المشروع التعثر بالمدة المنقضية],0)</f>
        <v>47130.75</v>
      </c>
      <c r="AI22" s="1041">
        <v>46497</v>
      </c>
      <c r="AJ22" s="1080">
        <v>46609</v>
      </c>
      <c r="AK22" s="1041" t="s">
        <v>666</v>
      </c>
      <c r="AL22" s="1080" t="s">
        <v>667</v>
      </c>
      <c r="AM22" s="1058">
        <f>_xlfn.XLOOKUP(Table4[[#This Row],[PO]],Table1[PO],Table1[نسبة المخطط التراكمي حتى 31 أكتوبر 2026],0)</f>
        <v>0.43999780872455446</v>
      </c>
      <c r="AN22" s="1058">
        <f>_xlfn.XLOOKUP(Table4[[#This Row],[PO]],Table1[PO],Table1[نسبة الانجاز التراكمي المطلوب للإنتظام],0)</f>
        <v>0.34099780872455443</v>
      </c>
      <c r="AO22" s="1060">
        <f>_xlfn.XLOOKUP(Table4[[#This Row],[PO]],Table1[PO],Table1[النسبة المطلوب زيادتها في أكتوبر 2026 للإنتظام],0)</f>
        <v>0</v>
      </c>
      <c r="AP22" s="1058">
        <f>_xlfn.XLOOKUP(Table4[[#This Row],[PO]],Table1[PO],Table1[نسبة الانجاز التراكمي المطلوب لتجنب التعثر],0)</f>
        <v>0.19099780872455446</v>
      </c>
      <c r="AQ22" s="1061">
        <f>_xlfn.XLOOKUP(Table4[[#This Row],[PO]],Table1[PO],Table1[النسبة المطلوب زيادتها في أكتوبر 2026 لتجنب / الخروج من التعثر],0)</f>
        <v>0</v>
      </c>
      <c r="AR22" s="1058">
        <f>_xlfn.XLOOKUP(E22,Table1[PO],Table1[نسبة المدة المنقضية %],0)</f>
        <v>0.50045662100456623</v>
      </c>
      <c r="AS22" s="1058">
        <f>Table4[[#This Row],[المخطط % التراكمي]]-Table4[[#This Row],[نسبة المدة المنقضية %]]</f>
        <v>-6.1656621004566203E-2</v>
      </c>
      <c r="AT22" s="1085" t="s">
        <v>517</v>
      </c>
      <c r="AU22" s="1085" t="s">
        <v>633</v>
      </c>
      <c r="AV22" s="1095" t="s">
        <v>633</v>
      </c>
      <c r="AW22" s="1089" t="s">
        <v>647</v>
      </c>
      <c r="AX22" s="1065" t="s">
        <v>633</v>
      </c>
      <c r="AY22" s="1090"/>
      <c r="AZ22" s="1092" t="s">
        <v>633</v>
      </c>
      <c r="BA22" s="496"/>
      <c r="BB22" s="667" t="s">
        <v>800</v>
      </c>
      <c r="BC22" s="845" t="s">
        <v>633</v>
      </c>
      <c r="BE22" s="667" t="s">
        <v>800</v>
      </c>
      <c r="BF22" s="845" t="s">
        <v>633</v>
      </c>
      <c r="BG22" s="667" t="s">
        <v>633</v>
      </c>
      <c r="BH22" s="845" t="s">
        <v>633</v>
      </c>
      <c r="BI22" s="974"/>
      <c r="BJ22" s="1002"/>
      <c r="BK22" s="974"/>
    </row>
    <row r="23" spans="1:63" s="54" customFormat="1" ht="45">
      <c r="A23" s="1030">
        <f>SUBTOTAL(3,$E$3:E23)</f>
        <v>21</v>
      </c>
      <c r="B23" s="1031" t="s">
        <v>285</v>
      </c>
      <c r="C23" s="1031" t="s">
        <v>218</v>
      </c>
      <c r="D23" s="1031"/>
      <c r="E23" s="1031">
        <v>901240391</v>
      </c>
      <c r="F23" s="1032" t="str">
        <f>_xlfn.XLOOKUP(Table4[[#This Row],[PO]],Table1[PO],Table1[مدير البرنامج],0)</f>
        <v>عادل الحيسوني</v>
      </c>
      <c r="G23" s="1032" t="str">
        <f>_xlfn.XLOOKUP(Table4[[#This Row],[PO]],Table1[PO],Table1[مدير المشروع],0)</f>
        <v>احمد عدني</v>
      </c>
      <c r="H23" s="1032" t="str">
        <f>_xlfn.XLOOKUP(Table4[[#This Row],[PO]],Table1[PO],Table1[اسم المشروع],0)</f>
        <v>مشروع استكمال شبكات الصرف الصحى لحى البرماوية</v>
      </c>
      <c r="I23" s="1032" t="s">
        <v>93</v>
      </c>
      <c r="J23" s="1032" t="s">
        <v>384</v>
      </c>
      <c r="K23" s="1032" t="str">
        <f>_xlfn.XLOOKUP(Table4[[#This Row],[PO]],Table1[PO],Table1[الإستشاري],0)</f>
        <v>فيوتشر</v>
      </c>
      <c r="L23" s="1031" t="str">
        <f>_xlfn.XLOOKUP(Table4[[#This Row],[PO]],Table1[PO],Table1[تصنيف المشروع],0)</f>
        <v>WW</v>
      </c>
      <c r="M23" s="1031" t="s">
        <v>338</v>
      </c>
      <c r="N23" s="1034">
        <f>_xlfn.XLOOKUP(Table4[[#This Row],[PO]],Table1[PO],Table1[مدة التوقف عن العمل بالشهور],0)</f>
        <v>0</v>
      </c>
      <c r="O23" s="1031" t="str">
        <f>_xlfn.XLOOKUP(E23,Table1[PO],Table1[حالة المشروع],0)</f>
        <v>منتظم</v>
      </c>
      <c r="P23" s="1035">
        <f>_xlfn.XLOOKUP(E23,Table1[PO],Table1[بداية المشروع التعاقدية],0)</f>
        <v>45732</v>
      </c>
      <c r="Q23" s="1035">
        <f>_xlfn.XLOOKUP(E23,Table1[PO],Table1[نهاية المشروع المعدلة PMO LIVE],0)</f>
        <v>46841</v>
      </c>
      <c r="R23" s="1036">
        <f>_xlfn.XLOOKUP(Table4[[#This Row],[PO]],Table1[PO],Table1[قيمة المشروع بالضريبة],0)/1000000</f>
        <v>14.104405</v>
      </c>
      <c r="S23" s="1036">
        <f>Table4[[#This Row],[قيمة المشروع بالضريبة]]*Table4[[#This Row],[المنفذ % التراكمي]]</f>
        <v>3.0324470749999999</v>
      </c>
      <c r="T23" s="1036">
        <f>Table4[[#This Row],[قيمة المشروع بالضريبة]]*Table4[[#This Row],[المخطط % التراكمي]]</f>
        <v>3.0578350039999997</v>
      </c>
      <c r="U23" s="1036">
        <v>150297.0956521742</v>
      </c>
      <c r="V23" s="1036">
        <v>381763.7799999998</v>
      </c>
      <c r="W23" s="1037">
        <v>2</v>
      </c>
      <c r="X23" s="1036">
        <v>2125231.5099999998</v>
      </c>
      <c r="Y23" s="1037">
        <v>13</v>
      </c>
      <c r="Z23" s="1036">
        <v>2506995.2899999996</v>
      </c>
      <c r="AA23" s="1037">
        <v>15</v>
      </c>
      <c r="AB23" s="1038">
        <f>_xlfn.XLOOKUP(Table4[[#This Row],[PO]],Table1[PO],Table1[نسبة الإيقاف%],0)</f>
        <v>0</v>
      </c>
      <c r="AC23" s="1038">
        <f>_xlfn.XLOOKUP(Table4[[#This Row],[PO]],Table1[PO],Table1[المنفذ % - الإسبوع السابق],0)</f>
        <v>0.215</v>
      </c>
      <c r="AD23" s="1038" t="str">
        <f>_xlfn.XLOOKUP(Table4[[#This Row],[PO]],Table1[PO],Table1[موقف تقديم الخطة التصحيحية],0)</f>
        <v>➖</v>
      </c>
      <c r="AE23" s="1039">
        <f>_xlfn.XLOOKUP(E23,Table1[PO],Table1[المخطط % التراكمي],0)</f>
        <v>0.21679999999999999</v>
      </c>
      <c r="AF23" s="1039">
        <f>_xlfn.XLOOKUP(E23,Table1[PO],Table1[المنفذ % التراكمي],0)</f>
        <v>0.215</v>
      </c>
      <c r="AG23" s="1038">
        <f t="shared" si="0"/>
        <v>-1.799999999999996E-3</v>
      </c>
      <c r="AH23" s="1068">
        <f>_xlfn.XLOOKUP(E23,Table1[PO],Table1[تاريخ دخول المشروع التعثر بالمدة المنقضية],0)</f>
        <v>47118.25</v>
      </c>
      <c r="AI23" s="1041">
        <v>46402</v>
      </c>
      <c r="AJ23" s="1080">
        <v>46461</v>
      </c>
      <c r="AK23" s="1041">
        <v>46451</v>
      </c>
      <c r="AL23" s="1080">
        <v>46497</v>
      </c>
      <c r="AM23" s="1038">
        <f>_xlfn.XLOOKUP(Table4[[#This Row],[PO]],Table1[PO],Table1[نسبة المخطط التراكمي حتى 31 أكتوبر 2026],0)</f>
        <v>0.21916362370190287</v>
      </c>
      <c r="AN23" s="1038">
        <f>_xlfn.XLOOKUP(Table4[[#This Row],[PO]],Table1[PO],Table1[نسبة الانجاز التراكمي المطلوب للإنتظام],0)</f>
        <v>0.12016362370190287</v>
      </c>
      <c r="AO23" s="1069">
        <f>_xlfn.XLOOKUP(Table4[[#This Row],[PO]],Table1[PO],Table1[النسبة المطلوب زيادتها في أكتوبر 2026 للإنتظام],0)</f>
        <v>0</v>
      </c>
      <c r="AP23" s="1038">
        <f>_xlfn.XLOOKUP(Table4[[#This Row],[PO]],Table1[PO],Table1[نسبة الانجاز التراكمي المطلوب لتجنب التعثر],0)</f>
        <v>0</v>
      </c>
      <c r="AQ23" s="1070">
        <f>_xlfn.XLOOKUP(Table4[[#This Row],[PO]],Table1[PO],Table1[النسبة المطلوب زيادتها في أكتوبر 2026 لتجنب / الخروج من التعثر],0)</f>
        <v>0</v>
      </c>
      <c r="AR23" s="1038">
        <f>_xlfn.XLOOKUP(E23,Table1[PO],Table1[نسبة المدة المنقضية %],0)</f>
        <v>0.521190261496844</v>
      </c>
      <c r="AS23" s="1038">
        <f>Table4[[#This Row],[المخطط % التراكمي]]-Table4[[#This Row],[نسبة المدة المنقضية %]]</f>
        <v>-0.30439026149684401</v>
      </c>
      <c r="AT23" s="1043" t="s">
        <v>517</v>
      </c>
      <c r="AU23" s="1043" t="s">
        <v>633</v>
      </c>
      <c r="AV23" s="1099" t="s">
        <v>633</v>
      </c>
      <c r="AW23" s="1027" t="s">
        <v>647</v>
      </c>
      <c r="AX23" s="1074" t="s">
        <v>633</v>
      </c>
      <c r="AY23" s="1049"/>
      <c r="AZ23" s="1050" t="s">
        <v>633</v>
      </c>
      <c r="BA23" s="496"/>
      <c r="BB23" s="666" t="s">
        <v>800</v>
      </c>
      <c r="BC23" s="840" t="s">
        <v>633</v>
      </c>
      <c r="BE23" s="666" t="s">
        <v>800</v>
      </c>
      <c r="BF23" s="840" t="s">
        <v>633</v>
      </c>
      <c r="BG23" s="666" t="s">
        <v>633</v>
      </c>
      <c r="BH23" s="840" t="s">
        <v>633</v>
      </c>
      <c r="BI23" s="974"/>
      <c r="BJ23" s="1002"/>
      <c r="BK23" s="974"/>
    </row>
    <row r="24" spans="1:63" s="57" customFormat="1" ht="45">
      <c r="A24" s="1051">
        <f>SUBTOTAL(3,$E$3:E24)</f>
        <v>22</v>
      </c>
      <c r="B24" s="1052" t="s">
        <v>292</v>
      </c>
      <c r="C24" s="1052" t="s">
        <v>206</v>
      </c>
      <c r="D24" s="1052"/>
      <c r="E24" s="1052">
        <v>901240355</v>
      </c>
      <c r="F24" s="1053" t="str">
        <f>_xlfn.XLOOKUP(Table4[[#This Row],[PO]],Table1[PO],Table1[مدير البرنامج],0)</f>
        <v>عبدالله المغذوي</v>
      </c>
      <c r="G24" s="1053" t="str">
        <f>_xlfn.XLOOKUP(Table4[[#This Row],[PO]],Table1[PO],Table1[مدير المشروع],0)</f>
        <v xml:space="preserve">عبدالعزيز فلاته </v>
      </c>
      <c r="H24" s="1053" t="str">
        <f>_xlfn.XLOOKUP(Table4[[#This Row],[PO]],Table1[PO],Table1[اسم المشروع],0)</f>
        <v>تنفيذ خطوط وشبكات توزيع المياه بمحافظة بدر</v>
      </c>
      <c r="I24" s="1053" t="s">
        <v>91</v>
      </c>
      <c r="J24" s="1053" t="s">
        <v>384</v>
      </c>
      <c r="K24" s="1053" t="str">
        <f>_xlfn.XLOOKUP(Table4[[#This Row],[PO]],Table1[PO],Table1[الإستشاري],0)</f>
        <v>فيوتشر</v>
      </c>
      <c r="L24" s="1052" t="str">
        <f>_xlfn.XLOOKUP(Table4[[#This Row],[PO]],Table1[PO],Table1[تصنيف المشروع],0)</f>
        <v>Coastal</v>
      </c>
      <c r="M24" s="1052" t="s">
        <v>339</v>
      </c>
      <c r="N24" s="1054">
        <f>_xlfn.XLOOKUP(Table4[[#This Row],[PO]],Table1[PO],Table1[مدة التوقف عن العمل بالشهور],0)</f>
        <v>0</v>
      </c>
      <c r="O24" s="1101" t="str">
        <f>_xlfn.XLOOKUP(E24,Table1[PO],Table1[حالة المشروع],0)</f>
        <v>متقدم</v>
      </c>
      <c r="P24" s="1055">
        <f>_xlfn.XLOOKUP(E24,Table1[PO],Table1[بداية المشروع التعاقدية],0)</f>
        <v>45685</v>
      </c>
      <c r="Q24" s="1055">
        <f>_xlfn.XLOOKUP(E24,Table1[PO],Table1[نهاية المشروع المعدلة PMO LIVE],0)</f>
        <v>47217</v>
      </c>
      <c r="R24" s="1056">
        <f>_xlfn.XLOOKUP(Table4[[#This Row],[PO]],Table1[PO],Table1[قيمة المشروع بالضريبة],0)/1000000</f>
        <v>29.649713999999999</v>
      </c>
      <c r="S24" s="1056">
        <f>Table4[[#This Row],[قيمة المشروع بالضريبة]]*Table4[[#This Row],[المنفذ % التراكمي]]</f>
        <v>20.425687974599999</v>
      </c>
      <c r="T24" s="1056">
        <f>Table4[[#This Row],[قيمة المشروع بالضريبة]]*Table4[[#This Row],[المخطط % التراكمي]]</f>
        <v>12.8323962192</v>
      </c>
      <c r="U24" s="1056">
        <v>1454936.20921739</v>
      </c>
      <c r="V24" s="1056">
        <v>1964657.7199999988</v>
      </c>
      <c r="W24" s="1057">
        <v>2</v>
      </c>
      <c r="X24" s="1056">
        <v>14830972.490000002</v>
      </c>
      <c r="Y24" s="1057">
        <v>16</v>
      </c>
      <c r="Z24" s="1056">
        <v>16795630.210000001</v>
      </c>
      <c r="AA24" s="1057">
        <v>18</v>
      </c>
      <c r="AB24" s="1058">
        <f>_xlfn.XLOOKUP(Table4[[#This Row],[PO]],Table1[PO],Table1[نسبة الإيقاف%],0)</f>
        <v>0</v>
      </c>
      <c r="AC24" s="1058">
        <f>_xlfn.XLOOKUP(Table4[[#This Row],[PO]],Table1[PO],Table1[المنفذ % - الإسبوع السابق],0)</f>
        <v>0.68200000000000005</v>
      </c>
      <c r="AD24" s="1058" t="str">
        <f>_xlfn.XLOOKUP(Table4[[#This Row],[PO]],Table1[PO],Table1[موقف تقديم الخطة التصحيحية],0)</f>
        <v>➖</v>
      </c>
      <c r="AE24" s="1059">
        <f>_xlfn.XLOOKUP(E24,Table1[PO],Table1[المخطط % التراكمي],0)</f>
        <v>0.43280000000000002</v>
      </c>
      <c r="AF24" s="1059">
        <f>_xlfn.XLOOKUP(E24,Table1[PO],Table1[المنفذ % التراكمي],0)</f>
        <v>0.68889999999999996</v>
      </c>
      <c r="AG24" s="1058">
        <f t="shared" si="0"/>
        <v>0.25609999999999994</v>
      </c>
      <c r="AH24" s="1076">
        <f>_xlfn.XLOOKUP(E24,Table1[PO],Table1[تاريخ دخول المشروع التعثر بالمدة المنقضية],0)</f>
        <v>47600</v>
      </c>
      <c r="AI24" s="1041">
        <v>46853</v>
      </c>
      <c r="AJ24" s="1080">
        <v>47036</v>
      </c>
      <c r="AK24" s="1041" t="s">
        <v>666</v>
      </c>
      <c r="AL24" s="1080" t="s">
        <v>667</v>
      </c>
      <c r="AM24" s="1085">
        <f>_xlfn.XLOOKUP(Table4[[#This Row],[PO]],Table1[PO],Table1[نسبة المخطط التراكمي حتى 31 أكتوبر 2026],0)</f>
        <v>0.4346824728225035</v>
      </c>
      <c r="AN24" s="1085">
        <f>_xlfn.XLOOKUP(Table4[[#This Row],[PO]],Table1[PO],Table1[نسبة الانجاز التراكمي المطلوب للإنتظام],0)</f>
        <v>0.33568247282250352</v>
      </c>
      <c r="AO24" s="1086">
        <f>_xlfn.XLOOKUP(Table4[[#This Row],[PO]],Table1[PO],Table1[النسبة المطلوب زيادتها في أكتوبر 2026 للإنتظام],0)</f>
        <v>0</v>
      </c>
      <c r="AP24" s="1085">
        <f>_xlfn.XLOOKUP(Table4[[#This Row],[PO]],Table1[PO],Table1[نسبة الانجاز التراكمي المطلوب لتجنب التعثر],0)</f>
        <v>0.1856824728225035</v>
      </c>
      <c r="AQ24" s="1087">
        <f>_xlfn.XLOOKUP(Table4[[#This Row],[PO]],Table1[PO],Table1[النسبة المطلوب زيادتها في أكتوبر 2026 لتجنب / الخروج من التعثر],0)</f>
        <v>0</v>
      </c>
      <c r="AR24" s="1085">
        <f>_xlfn.XLOOKUP(E24,Table1[PO],Table1[نسبة المدة المنقضية %],0)</f>
        <v>0.40796344647519583</v>
      </c>
      <c r="AS24" s="1085">
        <f>Table4[[#This Row],[المخطط % التراكمي]]-Table4[[#This Row],[نسبة المدة المنقضية %]]</f>
        <v>2.4836553524804184E-2</v>
      </c>
      <c r="AT24" s="1085" t="s">
        <v>517</v>
      </c>
      <c r="AU24" s="1085" t="s">
        <v>633</v>
      </c>
      <c r="AV24" s="1095" t="s">
        <v>633</v>
      </c>
      <c r="AW24" s="1089" t="s">
        <v>647</v>
      </c>
      <c r="AX24" s="1065" t="s">
        <v>633</v>
      </c>
      <c r="AY24" s="1090"/>
      <c r="AZ24" s="1092" t="s">
        <v>633</v>
      </c>
      <c r="BA24" s="496"/>
      <c r="BB24" s="667" t="s">
        <v>801</v>
      </c>
      <c r="BC24" s="845" t="s">
        <v>633</v>
      </c>
      <c r="BE24" s="667" t="s">
        <v>801</v>
      </c>
      <c r="BF24" s="845" t="s">
        <v>633</v>
      </c>
      <c r="BG24" s="667" t="s">
        <v>633</v>
      </c>
      <c r="BH24" s="845" t="s">
        <v>633</v>
      </c>
      <c r="BI24" s="974"/>
      <c r="BJ24" s="1002"/>
      <c r="BK24" s="974"/>
    </row>
    <row r="25" spans="1:63" s="54" customFormat="1" ht="169.2" customHeight="1">
      <c r="A25" s="1030">
        <f>SUBTOTAL(3,$E$3:E25)</f>
        <v>23</v>
      </c>
      <c r="B25" s="1031" t="s">
        <v>301</v>
      </c>
      <c r="C25" s="1031" t="s">
        <v>217</v>
      </c>
      <c r="D25" s="1031">
        <v>4</v>
      </c>
      <c r="E25" s="1031">
        <v>901240327</v>
      </c>
      <c r="F25" s="1032" t="str">
        <f>_xlfn.XLOOKUP(Table4[[#This Row],[PO]],Table1[PO],Table1[مدير البرنامج],0)</f>
        <v>أحمد المطيري</v>
      </c>
      <c r="G25" s="1032" t="str">
        <f>_xlfn.XLOOKUP(Table4[[#This Row],[PO]],Table1[PO],Table1[مدير المشروع],0)</f>
        <v>محمود المختار</v>
      </c>
      <c r="H25" s="1032" t="str">
        <f>_xlfn.XLOOKUP(Table4[[#This Row],[PO]],Table1[PO],Table1[اسم المشروع],0)</f>
        <v>مشروع إستكمال تنفيذ الخطوط الرئيسية والشبكات الفرعية لمخططات شوران ( المرحلة الثانية )</v>
      </c>
      <c r="I25" s="1032" t="s">
        <v>102</v>
      </c>
      <c r="J25" s="1032" t="s">
        <v>384</v>
      </c>
      <c r="K25" s="1032" t="str">
        <f>_xlfn.XLOOKUP(Table4[[#This Row],[PO]],Table1[PO],Table1[الإستشاري],0)</f>
        <v>فيوتشر</v>
      </c>
      <c r="L25" s="1031" t="str">
        <f>_xlfn.XLOOKUP(Table4[[#This Row],[PO]],Table1[PO],Table1[تصنيف المشروع],0)</f>
        <v>Water 1</v>
      </c>
      <c r="M25" s="1031" t="s">
        <v>339</v>
      </c>
      <c r="N25" s="1034">
        <f>_xlfn.XLOOKUP(Table4[[#This Row],[PO]],Table1[PO],Table1[مدة التوقف عن العمل بالشهور],0)</f>
        <v>6</v>
      </c>
      <c r="O25" s="1031" t="str">
        <f>_xlfn.XLOOKUP(E25,Table1[PO],Table1[حالة المشروع],0)</f>
        <v>منتظم</v>
      </c>
      <c r="P25" s="1035">
        <f>_xlfn.XLOOKUP(E25,Table1[PO],Table1[بداية المشروع التعاقدية],0)</f>
        <v>45753</v>
      </c>
      <c r="Q25" s="1035">
        <f>_xlfn.XLOOKUP(E25,Table1[PO],Table1[نهاية المشروع المعدلة PMO LIVE],0)</f>
        <v>46866</v>
      </c>
      <c r="R25" s="1036">
        <f>_xlfn.XLOOKUP(Table4[[#This Row],[PO]],Table1[PO],Table1[قيمة المشروع بالضريبة],0)/1000000</f>
        <v>15.456482429999999</v>
      </c>
      <c r="S25" s="1036">
        <f>Table4[[#This Row],[قيمة المشروع بالضريبة]]*Table4[[#This Row],[المنفذ % التراكمي]]</f>
        <v>1.0819537701000002</v>
      </c>
      <c r="T25" s="1036">
        <f>Table4[[#This Row],[قيمة المشروع بالضريبة]]*Table4[[#This Row],[المخطط % التراكمي]]</f>
        <v>1.6152024139349999</v>
      </c>
      <c r="U25" s="1036">
        <v>104604.40847826097</v>
      </c>
      <c r="V25" s="1036">
        <v>0</v>
      </c>
      <c r="W25" s="1037">
        <v>0</v>
      </c>
      <c r="X25" s="1036">
        <v>961658.7</v>
      </c>
      <c r="Y25" s="1037">
        <v>8</v>
      </c>
      <c r="Z25" s="1036">
        <v>961658.7</v>
      </c>
      <c r="AA25" s="1037">
        <v>8</v>
      </c>
      <c r="AB25" s="1038">
        <f>_xlfn.XLOOKUP(Table4[[#This Row],[PO]],Table1[PO],Table1[نسبة الإيقاف%],0)</f>
        <v>0</v>
      </c>
      <c r="AC25" s="1038">
        <f>_xlfn.XLOOKUP(Table4[[#This Row],[PO]],Table1[PO],Table1[المنفذ % - الإسبوع السابق],0)</f>
        <v>7.0000000000000007E-2</v>
      </c>
      <c r="AD25" s="1038" t="str">
        <f>_xlfn.XLOOKUP(Table4[[#This Row],[PO]],Table1[PO],Table1[موقف تقديم الخطة التصحيحية],0)</f>
        <v>➖</v>
      </c>
      <c r="AE25" s="1039">
        <f>_xlfn.XLOOKUP(E25,Table1[PO],Table1[المخطط % التراكمي],0)</f>
        <v>0.1045</v>
      </c>
      <c r="AF25" s="1039">
        <f>_xlfn.XLOOKUP(E25,Table1[PO],Table1[المنفذ % التراكمي],0)</f>
        <v>7.0000000000000007E-2</v>
      </c>
      <c r="AG25" s="1038">
        <f t="shared" si="0"/>
        <v>-3.4499999999999989E-2</v>
      </c>
      <c r="AH25" s="1068">
        <f>_xlfn.XLOOKUP(E25,Table1[PO],Table1[تاريخ دخول المشروع التعثر بالمدة المنقضية],0)</f>
        <v>47144.25</v>
      </c>
      <c r="AI25" s="1100">
        <v>46371</v>
      </c>
      <c r="AJ25" s="1080">
        <v>46466</v>
      </c>
      <c r="AK25" s="1100">
        <v>46366</v>
      </c>
      <c r="AL25" s="1080">
        <v>46466</v>
      </c>
      <c r="AM25" s="1038">
        <f>_xlfn.XLOOKUP(Table4[[#This Row],[PO]],Table1[PO],Table1[نسبة المخطط التراكمي حتى 31 أكتوبر 2026],0)</f>
        <v>0.12158999681921717</v>
      </c>
      <c r="AN25" s="1038">
        <f>_xlfn.XLOOKUP(Table4[[#This Row],[PO]],Table1[PO],Table1[نسبة الانجاز التراكمي المطلوب للإنتظام],0)</f>
        <v>2.2589996819217167E-2</v>
      </c>
      <c r="AO25" s="1069">
        <f>_xlfn.XLOOKUP(Table4[[#This Row],[PO]],Table1[PO],Table1[النسبة المطلوب زيادتها في أكتوبر 2026 للإنتظام],0)</f>
        <v>0</v>
      </c>
      <c r="AP25" s="1038">
        <f>_xlfn.XLOOKUP(Table4[[#This Row],[PO]],Table1[PO],Table1[نسبة الانجاز التراكمي المطلوب لتجنب التعثر],0)</f>
        <v>0</v>
      </c>
      <c r="AQ25" s="1070">
        <f>_xlfn.XLOOKUP(Table4[[#This Row],[PO]],Table1[PO],Table1[النسبة المطلوب زيادتها في أكتوبر 2026 لتجنب / الخروج من التعثر],0)</f>
        <v>0</v>
      </c>
      <c r="AR25" s="1038">
        <f>_xlfn.XLOOKUP(E25,Table1[PO],Table1[نسبة المدة المنقضية %],0)</f>
        <v>0.50044923629829285</v>
      </c>
      <c r="AS25" s="1038">
        <f>Table4[[#This Row],[المخطط % التراكمي]]-Table4[[#This Row],[نسبة المدة المنقضية %]]</f>
        <v>-0.39594923629829287</v>
      </c>
      <c r="AT25" s="1043" t="s">
        <v>517</v>
      </c>
      <c r="AU25" s="1043" t="s">
        <v>1033</v>
      </c>
      <c r="AV25" s="1099" t="s">
        <v>802</v>
      </c>
      <c r="AW25" s="1047" t="s">
        <v>972</v>
      </c>
      <c r="AX25" s="1074" t="s">
        <v>765</v>
      </c>
      <c r="AY25" s="1049"/>
      <c r="AZ25" s="1094" t="s">
        <v>997</v>
      </c>
      <c r="BA25" s="496"/>
      <c r="BB25" s="666" t="s">
        <v>765</v>
      </c>
      <c r="BC25" s="846" t="s">
        <v>780</v>
      </c>
      <c r="BE25" s="666" t="s">
        <v>765</v>
      </c>
      <c r="BF25" s="846" t="s">
        <v>871</v>
      </c>
      <c r="BG25" s="666" t="s">
        <v>765</v>
      </c>
      <c r="BH25" s="846" t="s">
        <v>881</v>
      </c>
      <c r="BI25" s="974"/>
      <c r="BJ25" s="1002"/>
      <c r="BK25" s="974"/>
    </row>
    <row r="26" spans="1:63" s="57" customFormat="1" ht="135">
      <c r="A26" s="1051">
        <f>SUBTOTAL(3,$E$3:E26)</f>
        <v>24</v>
      </c>
      <c r="B26" s="1052" t="s">
        <v>287</v>
      </c>
      <c r="C26" s="1052" t="s">
        <v>219</v>
      </c>
      <c r="D26" s="1052">
        <v>4</v>
      </c>
      <c r="E26" s="1052">
        <v>901240282</v>
      </c>
      <c r="F26" s="1053" t="str">
        <f>_xlfn.XLOOKUP(Table4[[#This Row],[PO]],Table1[PO],Table1[مدير البرنامج],0)</f>
        <v>أحمد المطيري</v>
      </c>
      <c r="G26" s="1053" t="str">
        <f>_xlfn.XLOOKUP(Table4[[#This Row],[PO]],Table1[PO],Table1[مدير المشروع],0)</f>
        <v>رائد الحجيلي</v>
      </c>
      <c r="H26" s="1053" t="str">
        <f>_xlfn.XLOOKUP(Table4[[#This Row],[PO]],Table1[PO],Table1[اسم المشروع],0)</f>
        <v>مشروع استبدال خطوط وشبكات المياه المتهالكة بالمدينة المنورة</v>
      </c>
      <c r="I26" s="1053" t="s">
        <v>118</v>
      </c>
      <c r="J26" s="1053" t="s">
        <v>384</v>
      </c>
      <c r="K26" s="1053" t="str">
        <f>_xlfn.XLOOKUP(Table4[[#This Row],[PO]],Table1[PO],Table1[الإستشاري],0)</f>
        <v>دورش</v>
      </c>
      <c r="L26" s="1052" t="str">
        <f>_xlfn.XLOOKUP(Table4[[#This Row],[PO]],Table1[PO],Table1[تصنيف المشروع],0)</f>
        <v>Water 1</v>
      </c>
      <c r="M26" s="1052" t="s">
        <v>339</v>
      </c>
      <c r="N26" s="1054">
        <f>_xlfn.XLOOKUP(Table4[[#This Row],[PO]],Table1[PO],Table1[مدة التوقف عن العمل بالشهور],0)</f>
        <v>9</v>
      </c>
      <c r="O26" s="1052" t="str">
        <f>_xlfn.XLOOKUP(E26,Table1[PO],Table1[حالة المشروع],0)</f>
        <v>منتظم</v>
      </c>
      <c r="P26" s="1055">
        <f>_xlfn.XLOOKUP(E26,Table1[PO],Table1[بداية المشروع التعاقدية],0)</f>
        <v>45648</v>
      </c>
      <c r="Q26" s="1055">
        <f>_xlfn.XLOOKUP(E26,Table1[PO],Table1[نهاية المشروع المعدلة PMO LIVE],0)</f>
        <v>47127</v>
      </c>
      <c r="R26" s="1056">
        <f>_xlfn.XLOOKUP(Table4[[#This Row],[PO]],Table1[PO],Table1[قيمة المشروع بالضريبة],0)/1000000</f>
        <v>26.5900125</v>
      </c>
      <c r="S26" s="1056">
        <f>Table4[[#This Row],[قيمة المشروع بالضريبة]]*Table4[[#This Row],[المنفذ % التراكمي]]</f>
        <v>0.84290339624999999</v>
      </c>
      <c r="T26" s="1056">
        <f>Table4[[#This Row],[قيمة المشروع بالضريبة]]*Table4[[#This Row],[المخطط % التراكمي]]</f>
        <v>3.1482574800000003</v>
      </c>
      <c r="U26" s="1056">
        <v>28055.901086956495</v>
      </c>
      <c r="V26" s="1056">
        <v>0</v>
      </c>
      <c r="W26" s="1057">
        <v>0</v>
      </c>
      <c r="X26" s="1056">
        <v>810639.11</v>
      </c>
      <c r="Y26" s="1057">
        <v>7</v>
      </c>
      <c r="Z26" s="1056">
        <v>810639.11</v>
      </c>
      <c r="AA26" s="1057">
        <v>7</v>
      </c>
      <c r="AB26" s="1058">
        <f>_xlfn.XLOOKUP(Table4[[#This Row],[PO]],Table1[PO],Table1[نسبة الإيقاف%],0)</f>
        <v>0</v>
      </c>
      <c r="AC26" s="1058">
        <f>_xlfn.XLOOKUP(Table4[[#This Row],[PO]],Table1[PO],Table1[المنفذ % - الإسبوع السابق],0)</f>
        <v>3.1699999999999999E-2</v>
      </c>
      <c r="AD26" s="1058" t="str">
        <f>_xlfn.XLOOKUP(Table4[[#This Row],[PO]],Table1[PO],Table1[موقف تقديم الخطة التصحيحية],0)</f>
        <v>➖</v>
      </c>
      <c r="AE26" s="1059">
        <f>_xlfn.XLOOKUP(E26,Table1[PO],Table1[المخطط % التراكمي],0)</f>
        <v>0.11840000000000001</v>
      </c>
      <c r="AF26" s="1059">
        <f>_xlfn.XLOOKUP(E26,Table1[PO],Table1[المنفذ % التراكمي],0)</f>
        <v>3.1699999999999999E-2</v>
      </c>
      <c r="AG26" s="1058">
        <f t="shared" si="0"/>
        <v>-8.6699999999999999E-2</v>
      </c>
      <c r="AH26" s="1076">
        <f>_xlfn.XLOOKUP(E26,Table1[PO],Table1[تاريخ دخول المشروع التعثر بالمدة المنقضية],0)</f>
        <v>47496.75</v>
      </c>
      <c r="AI26" s="1100">
        <v>46366</v>
      </c>
      <c r="AJ26" s="1080">
        <v>46751</v>
      </c>
      <c r="AK26" s="1100">
        <v>46358</v>
      </c>
      <c r="AL26" s="1080">
        <v>46746</v>
      </c>
      <c r="AM26" s="1058">
        <f>_xlfn.XLOOKUP(Table4[[#This Row],[PO]],Table1[PO],Table1[نسبة المخطط التراكمي حتى 31 أكتوبر 2026],0)</f>
        <v>0.12165729881100813</v>
      </c>
      <c r="AN26" s="1058">
        <f>_xlfn.XLOOKUP(Table4[[#This Row],[PO]],Table1[PO],Table1[نسبة الانجاز التراكمي المطلوب للإنتظام],0)</f>
        <v>2.2657298811008128E-2</v>
      </c>
      <c r="AO26" s="1060">
        <f>_xlfn.XLOOKUP(Table4[[#This Row],[PO]],Table1[PO],Table1[النسبة المطلوب زيادتها في أكتوبر 2026 للإنتظام],0)</f>
        <v>0</v>
      </c>
      <c r="AP26" s="1058">
        <f>_xlfn.XLOOKUP(Table4[[#This Row],[PO]],Table1[PO],Table1[نسبة الانجاز التراكمي المطلوب لتجنب التعثر],0)</f>
        <v>0</v>
      </c>
      <c r="AQ26" s="1061">
        <f>_xlfn.XLOOKUP(Table4[[#This Row],[PO]],Table1[PO],Table1[النسبة المطلوب زيادتها في أكتوبر 2026 لتجنب / الخروج من التعثر],0)</f>
        <v>0</v>
      </c>
      <c r="AR26" s="1058">
        <f>_xlfn.XLOOKUP(E26,Table1[PO],Table1[نسبة المدة المنقضية %],0)</f>
        <v>0.44759972954699123</v>
      </c>
      <c r="AS26" s="1058">
        <f>Table4[[#This Row],[المخطط % التراكمي]]-Table4[[#This Row],[نسبة المدة المنقضية %]]</f>
        <v>-0.32919972954699123</v>
      </c>
      <c r="AT26" s="1085" t="s">
        <v>517</v>
      </c>
      <c r="AU26" s="1085" t="s">
        <v>1033</v>
      </c>
      <c r="AV26" s="1095" t="s">
        <v>802</v>
      </c>
      <c r="AW26" s="1089" t="s">
        <v>956</v>
      </c>
      <c r="AX26" s="1065" t="s">
        <v>904</v>
      </c>
      <c r="AY26" s="1090"/>
      <c r="AZ26" s="1092" t="s">
        <v>998</v>
      </c>
      <c r="BA26" s="496"/>
      <c r="BB26" s="667" t="s">
        <v>816</v>
      </c>
      <c r="BC26" s="845" t="s">
        <v>687</v>
      </c>
      <c r="BE26" s="667" t="s">
        <v>860</v>
      </c>
      <c r="BF26" s="845" t="s">
        <v>870</v>
      </c>
      <c r="BG26" s="667" t="s">
        <v>904</v>
      </c>
      <c r="BH26" s="845" t="s">
        <v>882</v>
      </c>
      <c r="BI26" s="974"/>
      <c r="BJ26" s="1002"/>
      <c r="BK26" s="974"/>
    </row>
    <row r="27" spans="1:63" s="54" customFormat="1" ht="45">
      <c r="A27" s="1030">
        <f>SUBTOTAL(3,$E$3:E27)</f>
        <v>25</v>
      </c>
      <c r="B27" s="1031" t="s">
        <v>289</v>
      </c>
      <c r="C27" s="1031" t="s">
        <v>199</v>
      </c>
      <c r="D27" s="1031"/>
      <c r="E27" s="1031">
        <v>901240210</v>
      </c>
      <c r="F27" s="1032" t="str">
        <f>_xlfn.XLOOKUP(Table4[[#This Row],[PO]],Table1[PO],Table1[مدير البرنامج],0)</f>
        <v>عبدالله المغذوي</v>
      </c>
      <c r="G27" s="1032" t="str">
        <f>_xlfn.XLOOKUP(Table4[[#This Row],[PO]],Table1[PO],Table1[مدير المشروع],0)</f>
        <v>عبدالله اورقنجي</v>
      </c>
      <c r="H27" s="1032" t="str">
        <f>_xlfn.XLOOKUP(Table4[[#This Row],[PO]],Table1[PO],Table1[اسم المشروع],0)</f>
        <v xml:space="preserve">شبكات المياه لايصال الخدمة لمستشفى التخصصي بحمراء الأسد </v>
      </c>
      <c r="I27" s="1032" t="s">
        <v>35</v>
      </c>
      <c r="J27" s="1032" t="s">
        <v>384</v>
      </c>
      <c r="K27" s="1032" t="str">
        <f>_xlfn.XLOOKUP(Table4[[#This Row],[PO]],Table1[PO],Table1[الإستشاري],0)</f>
        <v>فيوتشر</v>
      </c>
      <c r="L27" s="1031" t="str">
        <f>_xlfn.XLOOKUP(Table4[[#This Row],[PO]],Table1[PO],Table1[تصنيف المشروع],0)</f>
        <v>Water 2</v>
      </c>
      <c r="M27" s="1031" t="s">
        <v>339</v>
      </c>
      <c r="N27" s="1034">
        <f>_xlfn.XLOOKUP(Table4[[#This Row],[PO]],Table1[PO],Table1[مدة التوقف عن العمل بالشهور],0)</f>
        <v>0</v>
      </c>
      <c r="O27" s="1031" t="str">
        <f>_xlfn.XLOOKUP(E27,Table1[PO],Table1[حالة المشروع],0)</f>
        <v>منتظم</v>
      </c>
      <c r="P27" s="1035">
        <f>_xlfn.XLOOKUP(E27,Table1[PO],Table1[بداية المشروع التعاقدية],0)</f>
        <v>45582</v>
      </c>
      <c r="Q27" s="1035">
        <f>_xlfn.XLOOKUP(E27,Table1[PO],Table1[نهاية المشروع المعدلة PMO LIVE],0)</f>
        <v>46737</v>
      </c>
      <c r="R27" s="1036">
        <f>_xlfn.XLOOKUP(Table4[[#This Row],[PO]],Table1[PO],Table1[قيمة المشروع بالضريبة],0)/1000000</f>
        <v>32.081963999999999</v>
      </c>
      <c r="S27" s="1036">
        <f>Table4[[#This Row],[قيمة المشروع بالضريبة]]*Table4[[#This Row],[المنفذ % التراكمي]]</f>
        <v>13.878657626399999</v>
      </c>
      <c r="T27" s="1036">
        <f>Table4[[#This Row],[قيمة المشروع بالضريبة]]*Table4[[#This Row],[المخطط % التراكمي]]</f>
        <v>13.9139477868</v>
      </c>
      <c r="U27" s="1036">
        <v>667187.00313043408</v>
      </c>
      <c r="V27" s="1036">
        <v>861213.47000000253</v>
      </c>
      <c r="W27" s="1037">
        <v>2</v>
      </c>
      <c r="X27" s="1036">
        <v>11602123.429999998</v>
      </c>
      <c r="Y27" s="1037">
        <v>19</v>
      </c>
      <c r="Z27" s="1036">
        <v>12463336.9</v>
      </c>
      <c r="AA27" s="1037">
        <v>21</v>
      </c>
      <c r="AB27" s="1038">
        <f>_xlfn.XLOOKUP(Table4[[#This Row],[PO]],Table1[PO],Table1[نسبة الإيقاف%],0)</f>
        <v>0</v>
      </c>
      <c r="AC27" s="1038">
        <f>_xlfn.XLOOKUP(Table4[[#This Row],[PO]],Table1[PO],Table1[المنفذ % - الإسبوع السابق],0)</f>
        <v>0.42549999999999999</v>
      </c>
      <c r="AD27" s="1038" t="str">
        <f>_xlfn.XLOOKUP(Table4[[#This Row],[PO]],Table1[PO],Table1[موقف تقديم الخطة التصحيحية],0)</f>
        <v>➖</v>
      </c>
      <c r="AE27" s="1039">
        <f>_xlfn.XLOOKUP(E27,Table1[PO],Table1[المخطط % التراكمي],0)</f>
        <v>0.43369999999999997</v>
      </c>
      <c r="AF27" s="1039">
        <f>_xlfn.XLOOKUP(E27,Table1[PO],Table1[المنفذ % التراكمي],0)</f>
        <v>0.43259999999999998</v>
      </c>
      <c r="AG27" s="1038">
        <f t="shared" si="0"/>
        <v>-1.0999999999999899E-3</v>
      </c>
      <c r="AH27" s="1068">
        <f>_xlfn.XLOOKUP(E27,Table1[PO],Table1[تاريخ دخول المشروع التعثر بالمدة المنقضية],0)</f>
        <v>47025.75</v>
      </c>
      <c r="AI27" s="1041">
        <v>46407</v>
      </c>
      <c r="AJ27" s="1080">
        <v>46522</v>
      </c>
      <c r="AK27" s="1041">
        <v>46456</v>
      </c>
      <c r="AL27" s="1080">
        <v>46570</v>
      </c>
      <c r="AM27" s="1038">
        <f>_xlfn.XLOOKUP(Table4[[#This Row],[PO]],Table1[PO],Table1[نسبة المخطط التراكمي حتى 31 أكتوبر 2026],0)</f>
        <v>0.43667457530031517</v>
      </c>
      <c r="AN27" s="1038">
        <f>_xlfn.XLOOKUP(Table4[[#This Row],[PO]],Table1[PO],Table1[نسبة الانجاز التراكمي المطلوب للإنتظام],0)</f>
        <v>0.33767457530031519</v>
      </c>
      <c r="AO27" s="1069">
        <f>_xlfn.XLOOKUP(Table4[[#This Row],[PO]],Table1[PO],Table1[النسبة المطلوب زيادتها في أكتوبر 2026 للإنتظام],0)</f>
        <v>0</v>
      </c>
      <c r="AP27" s="1038">
        <f>_xlfn.XLOOKUP(Table4[[#This Row],[PO]],Table1[PO],Table1[نسبة الانجاز التراكمي المطلوب لتجنب التعثر],0)</f>
        <v>0.18767457530031517</v>
      </c>
      <c r="AQ27" s="1070">
        <f>_xlfn.XLOOKUP(Table4[[#This Row],[PO]],Table1[PO],Table1[النسبة المطلوب زيادتها في أكتوبر 2026 لتجنب / الخروج من التعثر],0)</f>
        <v>0</v>
      </c>
      <c r="AR27" s="1038">
        <f>_xlfn.XLOOKUP(E27,Table1[PO],Table1[نسبة المدة المنقضية %],0)</f>
        <v>0.63030303030303025</v>
      </c>
      <c r="AS27" s="1038">
        <f>Table4[[#This Row],[المخطط % التراكمي]]-Table4[[#This Row],[نسبة المدة المنقضية %]]</f>
        <v>-0.19660303030303028</v>
      </c>
      <c r="AT27" s="1043" t="s">
        <v>517</v>
      </c>
      <c r="AU27" s="1043" t="s">
        <v>633</v>
      </c>
      <c r="AV27" s="1099" t="s">
        <v>633</v>
      </c>
      <c r="AW27" s="1047" t="s">
        <v>647</v>
      </c>
      <c r="AX27" s="1074" t="s">
        <v>633</v>
      </c>
      <c r="AY27" s="1049"/>
      <c r="AZ27" s="1094" t="s">
        <v>633</v>
      </c>
      <c r="BA27" s="496"/>
      <c r="BB27" s="666" t="s">
        <v>797</v>
      </c>
      <c r="BC27" s="846" t="s">
        <v>633</v>
      </c>
      <c r="BE27" s="666" t="s">
        <v>797</v>
      </c>
      <c r="BF27" s="846" t="s">
        <v>633</v>
      </c>
      <c r="BG27" s="666" t="s">
        <v>633</v>
      </c>
      <c r="BH27" s="846" t="s">
        <v>633</v>
      </c>
      <c r="BI27" s="974"/>
      <c r="BJ27" s="1002"/>
      <c r="BK27" s="974"/>
    </row>
    <row r="28" spans="1:63" s="54" customFormat="1" ht="180">
      <c r="A28" s="1030">
        <f>SUBTOTAL(3,$E$3:E28)</f>
        <v>26</v>
      </c>
      <c r="B28" s="1031" t="s">
        <v>296</v>
      </c>
      <c r="C28" s="1031" t="s">
        <v>196</v>
      </c>
      <c r="D28" s="1031"/>
      <c r="E28" s="1031">
        <v>901240144</v>
      </c>
      <c r="F28" s="1032" t="str">
        <f>_xlfn.XLOOKUP(Table4[[#This Row],[PO]],Table1[PO],Table1[مدير البرنامج],0)</f>
        <v>عبدالله المغذوي</v>
      </c>
      <c r="G28" s="1032" t="str">
        <f>_xlfn.XLOOKUP(Table4[[#This Row],[PO]],Table1[PO],Table1[مدير المشروع],0)</f>
        <v xml:space="preserve">عبدالعزيز فلاته </v>
      </c>
      <c r="H28" s="1032" t="str">
        <f>_xlfn.XLOOKUP(Table4[[#This Row],[PO]],Table1[PO],Table1[اسم المشروع],0)</f>
        <v xml:space="preserve">مشروع إحلال خط الاسبستوس ببدر </v>
      </c>
      <c r="I28" s="1032" t="s">
        <v>21</v>
      </c>
      <c r="J28" s="1032" t="s">
        <v>384</v>
      </c>
      <c r="K28" s="1032" t="str">
        <f>_xlfn.XLOOKUP(Table4[[#This Row],[PO]],Table1[PO],Table1[الإستشاري],0)</f>
        <v>فيوتشر</v>
      </c>
      <c r="L28" s="1031" t="str">
        <f>_xlfn.XLOOKUP(Table4[[#This Row],[PO]],Table1[PO],Table1[تصنيف المشروع],0)</f>
        <v>Coastal</v>
      </c>
      <c r="M28" s="1031" t="s">
        <v>339</v>
      </c>
      <c r="N28" s="1034">
        <f>_xlfn.XLOOKUP(Table4[[#This Row],[PO]],Table1[PO],Table1[مدة التوقف عن العمل بالشهور],0)</f>
        <v>7</v>
      </c>
      <c r="O28" s="1031" t="str">
        <f>_xlfn.XLOOKUP(E28,Table1[PO],Table1[حالة المشروع],0)</f>
        <v>منتظم</v>
      </c>
      <c r="P28" s="1035">
        <f>_xlfn.XLOOKUP(E28,Table1[PO],Table1[بداية المشروع التعاقدية],0)</f>
        <v>45559</v>
      </c>
      <c r="Q28" s="1035">
        <f>_xlfn.XLOOKUP(E28,Table1[PO],Table1[نهاية المشروع المعدلة PMO LIVE],0)</f>
        <v>46734</v>
      </c>
      <c r="R28" s="1036">
        <f>_xlfn.XLOOKUP(Table4[[#This Row],[PO]],Table1[PO],Table1[قيمة المشروع بالضريبة],0)/1000000</f>
        <v>24.9891665</v>
      </c>
      <c r="S28" s="1036">
        <f>Table4[[#This Row],[قيمة المشروع بالضريبة]]*Table4[[#This Row],[المنفذ % التراكمي]]</f>
        <v>12.019789086499999</v>
      </c>
      <c r="T28" s="1036">
        <f>Table4[[#This Row],[قيمة المشروع بالضريبة]]*Table4[[#This Row],[المخطط % التراكمي]]</f>
        <v>13.22676582845</v>
      </c>
      <c r="U28" s="1036">
        <v>1066563.388260873</v>
      </c>
      <c r="V28" s="1036">
        <v>0</v>
      </c>
      <c r="W28" s="1037">
        <v>0</v>
      </c>
      <c r="X28" s="1036">
        <v>10793241.190000001</v>
      </c>
      <c r="Y28" s="1037">
        <v>13</v>
      </c>
      <c r="Z28" s="1036">
        <v>10793241.189999998</v>
      </c>
      <c r="AA28" s="1037">
        <v>13</v>
      </c>
      <c r="AB28" s="1038">
        <f>_xlfn.XLOOKUP(Table4[[#This Row],[PO]],Table1[PO],Table1[نسبة الإيقاف%],0)</f>
        <v>0</v>
      </c>
      <c r="AC28" s="1038">
        <f>_xlfn.XLOOKUP(Table4[[#This Row],[PO]],Table1[PO],Table1[المنفذ % - الإسبوع السابق],0)</f>
        <v>0.48099999999999998</v>
      </c>
      <c r="AD28" s="1038" t="str">
        <f>_xlfn.XLOOKUP(Table4[[#This Row],[PO]],Table1[PO],Table1[موقف تقديم الخطة التصحيحية],0)</f>
        <v>➖</v>
      </c>
      <c r="AE28" s="1039">
        <f>_xlfn.XLOOKUP(E28,Table1[PO],Table1[المخطط % التراكمي],0)</f>
        <v>0.52929999999999999</v>
      </c>
      <c r="AF28" s="1039">
        <f>_xlfn.XLOOKUP(E28,Table1[PO],Table1[المنفذ % التراكمي],0)</f>
        <v>0.48099999999999998</v>
      </c>
      <c r="AG28" s="1038">
        <f t="shared" si="0"/>
        <v>-4.830000000000001E-2</v>
      </c>
      <c r="AH28" s="1068">
        <f>_xlfn.XLOOKUP(E28,Table1[PO],Table1[تاريخ دخول المشروع التعثر بالمدة المنقضية],0)</f>
        <v>47027.75</v>
      </c>
      <c r="AI28" s="1041">
        <v>46397</v>
      </c>
      <c r="AJ28" s="1080">
        <v>46519</v>
      </c>
      <c r="AK28" s="1041">
        <v>46402</v>
      </c>
      <c r="AL28" s="1080">
        <v>46517</v>
      </c>
      <c r="AM28" s="1043">
        <f>_xlfn.XLOOKUP(Table4[[#This Row],[PO]],Table1[PO],Table1[نسبة المخطط التراكمي حتى 31 أكتوبر 2026],0)</f>
        <v>0.53428418879037043</v>
      </c>
      <c r="AN28" s="1043">
        <f>_xlfn.XLOOKUP(Table4[[#This Row],[PO]],Table1[PO],Table1[نسبة الانجاز التراكمي المطلوب للإنتظام],0)</f>
        <v>0.43528418879037045</v>
      </c>
      <c r="AO28" s="1044">
        <f>_xlfn.XLOOKUP(Table4[[#This Row],[PO]],Table1[PO],Table1[النسبة المطلوب زيادتها في أكتوبر 2026 للإنتظام],0)</f>
        <v>0</v>
      </c>
      <c r="AP28" s="1043">
        <f>_xlfn.XLOOKUP(Table4[[#This Row],[PO]],Table1[PO],Table1[نسبة الانجاز التراكمي المطلوب لتجنب التعثر],0)</f>
        <v>0.28528418879037043</v>
      </c>
      <c r="AQ28" s="1081">
        <f>_xlfn.XLOOKUP(Table4[[#This Row],[PO]],Table1[PO],Table1[النسبة المطلوب زيادتها في أكتوبر 2026 لتجنب / الخروج من التعثر],0)</f>
        <v>0</v>
      </c>
      <c r="AR28" s="1043">
        <f>_xlfn.XLOOKUP(E28,Table1[PO],Table1[نسبة المدة المنقضية %],0)</f>
        <v>0.63884156729131181</v>
      </c>
      <c r="AS28" s="1043">
        <f>Table4[[#This Row],[المخطط % التراكمي]]-Table4[[#This Row],[نسبة المدة المنقضية %]]</f>
        <v>-0.10954156729131181</v>
      </c>
      <c r="AT28" s="1043" t="s">
        <v>517</v>
      </c>
      <c r="AU28" s="1043" t="s">
        <v>1033</v>
      </c>
      <c r="AV28" s="1099" t="s">
        <v>802</v>
      </c>
      <c r="AW28" s="1089" t="s">
        <v>647</v>
      </c>
      <c r="AX28" s="1074" t="s">
        <v>765</v>
      </c>
      <c r="AY28" s="1049"/>
      <c r="AZ28" s="1094" t="s">
        <v>1014</v>
      </c>
      <c r="BA28" s="496"/>
      <c r="BB28" s="854" t="s">
        <v>765</v>
      </c>
      <c r="BC28" s="846" t="s">
        <v>781</v>
      </c>
      <c r="BE28" s="667" t="s">
        <v>765</v>
      </c>
      <c r="BF28" s="845" t="s">
        <v>863</v>
      </c>
      <c r="BG28" s="667" t="s">
        <v>765</v>
      </c>
      <c r="BH28" s="845" t="s">
        <v>912</v>
      </c>
      <c r="BI28" s="974"/>
      <c r="BJ28" s="1002"/>
      <c r="BK28" s="974"/>
    </row>
    <row r="29" spans="1:63" s="57" customFormat="1" ht="225">
      <c r="A29" s="1051">
        <f>SUBTOTAL(3,$E$3:E29)</f>
        <v>27</v>
      </c>
      <c r="B29" s="1052">
        <v>10277</v>
      </c>
      <c r="C29" s="1052" t="s">
        <v>197</v>
      </c>
      <c r="D29" s="1052">
        <v>2</v>
      </c>
      <c r="E29" s="1052">
        <v>901240141</v>
      </c>
      <c r="F29" s="1053" t="str">
        <f>_xlfn.XLOOKUP(Table4[[#This Row],[PO]],Table1[PO],Table1[مدير البرنامج],0)</f>
        <v>عادل الحيسوني</v>
      </c>
      <c r="G29" s="1053" t="str">
        <f>_xlfn.XLOOKUP(Table4[[#This Row],[PO]],Table1[PO],Table1[مدير المشروع],0)</f>
        <v>أحمد عدني</v>
      </c>
      <c r="H29" s="1053" t="str">
        <f>_xlfn.XLOOKUP(Table4[[#This Row],[PO]],Table1[PO],Table1[اسم المشروع],0)</f>
        <v xml:space="preserve">إستكمال تنفيذ شبكات الصرف الصحي بالأماكن المتضررة بالمدينة المنورة </v>
      </c>
      <c r="I29" s="1053" t="s">
        <v>17</v>
      </c>
      <c r="J29" s="1053" t="s">
        <v>384</v>
      </c>
      <c r="K29" s="1053" t="str">
        <f>_xlfn.XLOOKUP(Table4[[#This Row],[PO]],Table1[PO],Table1[الإستشاري],0)</f>
        <v>فيوتشر</v>
      </c>
      <c r="L29" s="1052" t="str">
        <f>_xlfn.XLOOKUP(Table4[[#This Row],[PO]],Table1[PO],Table1[تصنيف المشروع],0)</f>
        <v>WW</v>
      </c>
      <c r="M29" s="1052" t="s">
        <v>339</v>
      </c>
      <c r="N29" s="1054">
        <f>_xlfn.XLOOKUP(Table4[[#This Row],[PO]],Table1[PO],Table1[مدة التوقف عن العمل بالشهور],0)</f>
        <v>2</v>
      </c>
      <c r="O29" s="1052" t="str">
        <f>_xlfn.XLOOKUP(E29,Table1[PO],Table1[حالة المشروع],0)</f>
        <v>متأخر</v>
      </c>
      <c r="P29" s="1055">
        <f>_xlfn.XLOOKUP(E29,Table1[PO],Table1[بداية المشروع التعاقدية],0)</f>
        <v>45510</v>
      </c>
      <c r="Q29" s="1055">
        <f>_xlfn.XLOOKUP(E29,Table1[PO],Table1[نهاية المشروع المعدلة PMO LIVE],0)</f>
        <v>46232</v>
      </c>
      <c r="R29" s="1056">
        <f>_xlfn.XLOOKUP(Table4[[#This Row],[PO]],Table1[PO],Table1[قيمة المشروع بالضريبة],0)/1000000</f>
        <v>26.01690632</v>
      </c>
      <c r="S29" s="1056">
        <f>Table4[[#This Row],[قيمة المشروع بالضريبة]]*Table4[[#This Row],[المنفذ % التراكمي]]</f>
        <v>19.512679739999999</v>
      </c>
      <c r="T29" s="1056">
        <f>Table4[[#This Row],[قيمة المشروع بالضريبة]]*Table4[[#This Row],[المخطط % التراكمي]]</f>
        <v>26.01690632</v>
      </c>
      <c r="U29" s="1056">
        <v>4219233.9739130456</v>
      </c>
      <c r="V29" s="1056">
        <v>0</v>
      </c>
      <c r="W29" s="1057">
        <v>0</v>
      </c>
      <c r="X29" s="1056">
        <v>14660560.669999998</v>
      </c>
      <c r="Y29" s="1057">
        <v>17</v>
      </c>
      <c r="Z29" s="1056">
        <v>14660560.669999998</v>
      </c>
      <c r="AA29" s="1057">
        <v>17</v>
      </c>
      <c r="AB29" s="1058">
        <f>_xlfn.XLOOKUP(Table4[[#This Row],[PO]],Table1[PO],Table1[نسبة الإيقاف%],0)</f>
        <v>0</v>
      </c>
      <c r="AC29" s="1058">
        <f>_xlfn.XLOOKUP(Table4[[#This Row],[PO]],Table1[PO],Table1[المنفذ % - الإسبوع السابق],0)</f>
        <v>0.75</v>
      </c>
      <c r="AD29" s="1058" t="str">
        <f>_xlfn.XLOOKUP(Table4[[#This Row],[PO]],Table1[PO],Table1[موقف تقديم الخطة التصحيحية],0)</f>
        <v>❌</v>
      </c>
      <c r="AE29" s="1059">
        <f>_xlfn.XLOOKUP(E29,Table1[PO],Table1[المخطط % التراكمي],0)</f>
        <v>1</v>
      </c>
      <c r="AF29" s="1059">
        <f>_xlfn.XLOOKUP(E29,Table1[PO],Table1[المنفذ % التراكمي],0)</f>
        <v>0.75</v>
      </c>
      <c r="AG29" s="1058">
        <f t="shared" si="0"/>
        <v>-0.25</v>
      </c>
      <c r="AH29" s="1040">
        <f>_xlfn.XLOOKUP(E29,Table1[PO],Table1[تاريخ دخول المشروع التعثر بالمدة المنقضية],0)</f>
        <v>46412.5</v>
      </c>
      <c r="AI29" s="1100" t="s">
        <v>100</v>
      </c>
      <c r="AJ29" s="1080" t="s">
        <v>667</v>
      </c>
      <c r="AK29" s="1100" t="s">
        <v>100</v>
      </c>
      <c r="AL29" s="1080" t="s">
        <v>667</v>
      </c>
      <c r="AM29" s="1085">
        <f>_xlfn.XLOOKUP(Table4[[#This Row],[PO]],Table1[PO],Table1[نسبة المخطط التراكمي حتى 31 أكتوبر 2026],0)</f>
        <v>1</v>
      </c>
      <c r="AN29" s="1085">
        <f>_xlfn.XLOOKUP(Table4[[#This Row],[PO]],Table1[PO],Table1[نسبة الانجاز التراكمي المطلوب للإنتظام],0)</f>
        <v>0.90100000000000002</v>
      </c>
      <c r="AO29" s="1086">
        <f>_xlfn.XLOOKUP(Table4[[#This Row],[PO]],Table1[PO],Table1[النسبة المطلوب زيادتها في أكتوبر 2026 للإنتظام],0)</f>
        <v>0.15100000000000002</v>
      </c>
      <c r="AP29" s="1085">
        <f>_xlfn.XLOOKUP(Table4[[#This Row],[PO]],Table1[PO],Table1[نسبة الانجاز التراكمي المطلوب لتجنب التعثر],0)</f>
        <v>0.751</v>
      </c>
      <c r="AQ29" s="1087">
        <f>_xlfn.XLOOKUP(Table4[[#This Row],[PO]],Table1[PO],Table1[النسبة المطلوب زيادتها في أكتوبر 2026 لتجنب / الخروج من التعثر],0)</f>
        <v>1.0000000000000009E-3</v>
      </c>
      <c r="AR29" s="1085">
        <f>_xlfn.XLOOKUP(E29,Table1[PO],Table1[نسبة المدة المنقضية %],0)</f>
        <v>1.10803324099723</v>
      </c>
      <c r="AS29" s="1085">
        <f>Table4[[#This Row],[المخطط % التراكمي]]-Table4[[#This Row],[نسبة المدة المنقضية %]]</f>
        <v>-0.10803324099723</v>
      </c>
      <c r="AT29" s="1085" t="s">
        <v>517</v>
      </c>
      <c r="AU29" s="1085" t="s">
        <v>1033</v>
      </c>
      <c r="AV29" s="1095" t="s">
        <v>893</v>
      </c>
      <c r="AW29" s="1089" t="s">
        <v>978</v>
      </c>
      <c r="AX29" s="1065" t="s">
        <v>913</v>
      </c>
      <c r="AY29" s="1090"/>
      <c r="AZ29" s="1092" t="s">
        <v>1013</v>
      </c>
      <c r="BA29" s="496"/>
      <c r="BB29" s="667" t="s">
        <v>765</v>
      </c>
      <c r="BC29" s="845" t="s">
        <v>782</v>
      </c>
      <c r="BE29" s="667" t="s">
        <v>850</v>
      </c>
      <c r="BF29" s="845" t="s">
        <v>868</v>
      </c>
      <c r="BG29" s="667" t="s">
        <v>913</v>
      </c>
      <c r="BH29" s="845" t="s">
        <v>917</v>
      </c>
      <c r="BI29" s="974"/>
      <c r="BJ29" s="1002"/>
      <c r="BK29" s="974"/>
    </row>
    <row r="30" spans="1:63" s="54" customFormat="1" ht="233.4" customHeight="1">
      <c r="A30" s="1030">
        <f>SUBTOTAL(3,$E$3:E30)</f>
        <v>28</v>
      </c>
      <c r="B30" s="1031" t="s">
        <v>282</v>
      </c>
      <c r="C30" s="1031" t="s">
        <v>195</v>
      </c>
      <c r="D30" s="1031"/>
      <c r="E30" s="1031">
        <v>901240137</v>
      </c>
      <c r="F30" s="1032" t="str">
        <f>_xlfn.XLOOKUP(Table4[[#This Row],[PO]],Table1[PO],Table1[مدير البرنامج],0)</f>
        <v>أحمد المطيري</v>
      </c>
      <c r="G30" s="1032" t="str">
        <f>_xlfn.XLOOKUP(Table4[[#This Row],[PO]],Table1[PO],Table1[مدير المشروع],0)</f>
        <v>محمود المختار​</v>
      </c>
      <c r="H30" s="1032" t="str">
        <f>_xlfn.XLOOKUP(Table4[[#This Row],[PO]],Table1[PO],Table1[اسم المشروع],0)</f>
        <v>خطوط مياه متفرقة بالمدينة المنورة ( الجزء الاول )</v>
      </c>
      <c r="I30" s="1032" t="s">
        <v>29</v>
      </c>
      <c r="J30" s="1032" t="s">
        <v>384</v>
      </c>
      <c r="K30" s="1032" t="str">
        <f>_xlfn.XLOOKUP(Table4[[#This Row],[PO]],Table1[PO],Table1[الإستشاري],0)</f>
        <v>فيوتشر</v>
      </c>
      <c r="L30" s="1031" t="str">
        <f>_xlfn.XLOOKUP(Table4[[#This Row],[PO]],Table1[PO],Table1[تصنيف المشروع],0)</f>
        <v>Water 1</v>
      </c>
      <c r="M30" s="1031" t="s">
        <v>339</v>
      </c>
      <c r="N30" s="1034">
        <f>_xlfn.XLOOKUP(Table4[[#This Row],[PO]],Table1[PO],Table1[مدة التوقف عن العمل بالشهور],0)</f>
        <v>6</v>
      </c>
      <c r="O30" s="1031" t="str">
        <f>_xlfn.XLOOKUP(E30,Table1[PO],Table1[حالة المشروع],0)</f>
        <v>متقدم</v>
      </c>
      <c r="P30" s="1035">
        <f>_xlfn.XLOOKUP(E30,Table1[PO],Table1[بداية المشروع التعاقدية],0)</f>
        <v>45565</v>
      </c>
      <c r="Q30" s="1035">
        <f>_xlfn.XLOOKUP(E30,Table1[PO],Table1[نهاية المشروع المعدلة PMO LIVE],0)</f>
        <v>47057</v>
      </c>
      <c r="R30" s="1036">
        <f>_xlfn.XLOOKUP(Table4[[#This Row],[PO]],Table1[PO],Table1[قيمة المشروع بالضريبة],0)/1000000</f>
        <v>28.950042499999999</v>
      </c>
      <c r="S30" s="1036">
        <f>Table4[[#This Row],[قيمة المشروع بالضريبة]]*Table4[[#This Row],[المنفذ % التراكمي]]</f>
        <v>4.3714564174999992</v>
      </c>
      <c r="T30" s="1036">
        <f>Table4[[#This Row],[قيمة المشروع بالضريبة]]*Table4[[#This Row],[المخطط % التراكمي]]</f>
        <v>4.1601211072499993</v>
      </c>
      <c r="U30" s="1036">
        <v>1775004.3804347822</v>
      </c>
      <c r="V30" s="1036">
        <v>0</v>
      </c>
      <c r="W30" s="1037">
        <v>0</v>
      </c>
      <c r="X30" s="1036">
        <v>2330201.38</v>
      </c>
      <c r="Y30" s="1037">
        <v>12</v>
      </c>
      <c r="Z30" s="1036">
        <v>2330201.38</v>
      </c>
      <c r="AA30" s="1037">
        <v>12</v>
      </c>
      <c r="AB30" s="1038">
        <f>_xlfn.XLOOKUP(Table4[[#This Row],[PO]],Table1[PO],Table1[نسبة الإيقاف%],0)</f>
        <v>0</v>
      </c>
      <c r="AC30" s="1038">
        <f>_xlfn.XLOOKUP(Table4[[#This Row],[PO]],Table1[PO],Table1[المنفذ % - الإسبوع السابق],0)</f>
        <v>0.151</v>
      </c>
      <c r="AD30" s="1038" t="str">
        <f>_xlfn.XLOOKUP(Table4[[#This Row],[PO]],Table1[PO],Table1[موقف تقديم الخطة التصحيحية],0)</f>
        <v>➖</v>
      </c>
      <c r="AE30" s="1039">
        <f>_xlfn.XLOOKUP(E30,Table1[PO],Table1[المخطط % التراكمي],0)</f>
        <v>0.14369999999999999</v>
      </c>
      <c r="AF30" s="1039">
        <f>_xlfn.XLOOKUP(E30,Table1[PO],Table1[المنفذ % التراكمي],0)</f>
        <v>0.151</v>
      </c>
      <c r="AG30" s="1038">
        <f t="shared" si="0"/>
        <v>7.3000000000000009E-3</v>
      </c>
      <c r="AH30" s="1068">
        <f>_xlfn.XLOOKUP(E30,Table1[PO],Table1[تاريخ دخول المشروع التعثر بالمدة المنقضية],0)</f>
        <v>47430</v>
      </c>
      <c r="AI30" s="1100">
        <v>46583</v>
      </c>
      <c r="AJ30" s="1080">
        <v>46723</v>
      </c>
      <c r="AK30" s="1100">
        <v>46588</v>
      </c>
      <c r="AL30" s="1080">
        <v>46723</v>
      </c>
      <c r="AM30" s="1043">
        <f>_xlfn.XLOOKUP(Table4[[#This Row],[PO]],Table1[PO],Table1[نسبة المخطط التراكمي حتى 31 أكتوبر 2026],0)</f>
        <v>0.15011225135507142</v>
      </c>
      <c r="AN30" s="1043">
        <f>_xlfn.XLOOKUP(Table4[[#This Row],[PO]],Table1[PO],Table1[نسبة الانجاز التراكمي المطلوب للإنتظام],0)</f>
        <v>5.1112251355071414E-2</v>
      </c>
      <c r="AO30" s="1044">
        <f>_xlfn.XLOOKUP(Table4[[#This Row],[PO]],Table1[PO],Table1[النسبة المطلوب زيادتها في أكتوبر 2026 للإنتظام],0)</f>
        <v>0</v>
      </c>
      <c r="AP30" s="1043">
        <f>_xlfn.XLOOKUP(Table4[[#This Row],[PO]],Table1[PO],Table1[نسبة الانجاز التراكمي المطلوب لتجنب التعثر],0)</f>
        <v>0</v>
      </c>
      <c r="AQ30" s="1081">
        <f>_xlfn.XLOOKUP(Table4[[#This Row],[PO]],Table1[PO],Table1[النسبة المطلوب زيادتها في أكتوبر 2026 لتجنب / الخروج من التعثر],0)</f>
        <v>0</v>
      </c>
      <c r="AR30" s="1043">
        <f>_xlfn.XLOOKUP(E30,Table1[PO],Table1[نسبة المدة المنقضية %],0)</f>
        <v>0.49932975871313673</v>
      </c>
      <c r="AS30" s="1043">
        <f>Table4[[#This Row],[المخطط % التراكمي]]-Table4[[#This Row],[نسبة المدة المنقضية %]]</f>
        <v>-0.35562975871313673</v>
      </c>
      <c r="AT30" s="1043" t="s">
        <v>517</v>
      </c>
      <c r="AU30" s="1043" t="s">
        <v>1033</v>
      </c>
      <c r="AV30" s="1099" t="s">
        <v>802</v>
      </c>
      <c r="AW30" s="1047" t="s">
        <v>1006</v>
      </c>
      <c r="AX30" s="1074" t="s">
        <v>766</v>
      </c>
      <c r="AY30" s="1049"/>
      <c r="AZ30" s="1094" t="s">
        <v>1007</v>
      </c>
      <c r="BA30" s="496"/>
      <c r="BB30" s="666" t="s">
        <v>766</v>
      </c>
      <c r="BC30" s="846" t="s">
        <v>783</v>
      </c>
      <c r="BE30" s="666" t="s">
        <v>766</v>
      </c>
      <c r="BF30" s="846" t="s">
        <v>830</v>
      </c>
      <c r="BG30" s="666" t="s">
        <v>766</v>
      </c>
      <c r="BH30" s="846" t="s">
        <v>883</v>
      </c>
      <c r="BI30" s="974"/>
      <c r="BJ30" s="1002"/>
      <c r="BK30" s="974"/>
    </row>
    <row r="31" spans="1:63" s="57" customFormat="1" ht="105">
      <c r="A31" s="1051">
        <f>SUBTOTAL(3,$E$3:E31)</f>
        <v>29</v>
      </c>
      <c r="B31" s="1052" t="s">
        <v>295</v>
      </c>
      <c r="C31" s="1052" t="s">
        <v>201</v>
      </c>
      <c r="D31" s="1052"/>
      <c r="E31" s="1052">
        <v>901240136</v>
      </c>
      <c r="F31" s="1053" t="str">
        <f>_xlfn.XLOOKUP(Table4[[#This Row],[PO]],Table1[PO],Table1[مدير البرنامج],0)</f>
        <v>أحمد المطيري</v>
      </c>
      <c r="G31" s="1053" t="str">
        <f>_xlfn.XLOOKUP(Table4[[#This Row],[PO]],Table1[PO],Table1[مدير المشروع],0)</f>
        <v>خالد صحاف</v>
      </c>
      <c r="H31" s="1053" t="str">
        <f>_xlfn.XLOOKUP(Table4[[#This Row],[PO]],Table1[PO],Table1[اسم المشروع],0)</f>
        <v xml:space="preserve">مشروع خطوط وشبكات المياه بمنطقة شمال وشرق المدينة المنورة </v>
      </c>
      <c r="I31" s="1053" t="s">
        <v>33</v>
      </c>
      <c r="J31" s="1053" t="s">
        <v>384</v>
      </c>
      <c r="K31" s="1053" t="str">
        <f>_xlfn.XLOOKUP(Table4[[#This Row],[PO]],Table1[PO],Table1[الإستشاري],0)</f>
        <v>فيوتشر</v>
      </c>
      <c r="L31" s="1052" t="str">
        <f>_xlfn.XLOOKUP(Table4[[#This Row],[PO]],Table1[PO],Table1[تصنيف المشروع],0)</f>
        <v>Water 1</v>
      </c>
      <c r="M31" s="1052" t="s">
        <v>339</v>
      </c>
      <c r="N31" s="1054">
        <f>_xlfn.XLOOKUP(Table4[[#This Row],[PO]],Table1[PO],Table1[مدة التوقف عن العمل بالشهور],0)</f>
        <v>0</v>
      </c>
      <c r="O31" s="1055" t="str">
        <f>_xlfn.XLOOKUP(E31,Table1[PO],Table1[حالة المشروع],0)</f>
        <v>منتظم</v>
      </c>
      <c r="P31" s="1055">
        <f>_xlfn.XLOOKUP(E31,Table1[PO],Table1[بداية المشروع التعاقدية],0)</f>
        <v>45544</v>
      </c>
      <c r="Q31" s="1055">
        <f>_xlfn.XLOOKUP(E31,Table1[PO],Table1[نهاية المشروع المعدلة PMO LIVE],0)</f>
        <v>47074</v>
      </c>
      <c r="R31" s="1056">
        <f>_xlfn.XLOOKUP(Table4[[#This Row],[PO]],Table1[PO],Table1[قيمة المشروع بالضريبة],0)/1000000</f>
        <v>35.894604999999999</v>
      </c>
      <c r="S31" s="1056">
        <f>Table4[[#This Row],[قيمة المشروع بالضريبة]]*Table4[[#This Row],[المنفذ % التراكمي]]</f>
        <v>3.7689335249999996</v>
      </c>
      <c r="T31" s="1056">
        <f>Table4[[#This Row],[قيمة المشروع بالضريبة]]*Table4[[#This Row],[المخطط % التراكمي]]</f>
        <v>4.6734775710000003</v>
      </c>
      <c r="U31" s="1056">
        <v>195900.53956521768</v>
      </c>
      <c r="V31" s="1056">
        <v>0</v>
      </c>
      <c r="W31" s="1057">
        <v>0</v>
      </c>
      <c r="X31" s="1056">
        <v>3295975.1299999994</v>
      </c>
      <c r="Y31" s="1057">
        <v>13</v>
      </c>
      <c r="Z31" s="1056">
        <v>3295975.1299999994</v>
      </c>
      <c r="AA31" s="1057">
        <v>13</v>
      </c>
      <c r="AB31" s="1058">
        <f>_xlfn.XLOOKUP(Table4[[#This Row],[PO]],Table1[PO],Table1[نسبة الإيقاف%],0)</f>
        <v>0</v>
      </c>
      <c r="AC31" s="1058">
        <f>_xlfn.XLOOKUP(Table4[[#This Row],[PO]],Table1[PO],Table1[المنفذ % - الإسبوع السابق],0)</f>
        <v>0.104</v>
      </c>
      <c r="AD31" s="1058" t="str">
        <f>_xlfn.XLOOKUP(Table4[[#This Row],[PO]],Table1[PO],Table1[موقف تقديم الخطة التصحيحية],0)</f>
        <v>➖</v>
      </c>
      <c r="AE31" s="1059">
        <f>_xlfn.XLOOKUP(E31,Table1[PO],Table1[المخطط % التراكمي],0)</f>
        <v>0.13020000000000001</v>
      </c>
      <c r="AF31" s="1059">
        <f>_xlfn.XLOOKUP(E31,Table1[PO],Table1[المنفذ % التراكمي],0)</f>
        <v>0.105</v>
      </c>
      <c r="AG31" s="1058">
        <f t="shared" si="0"/>
        <v>-2.5200000000000014E-2</v>
      </c>
      <c r="AH31" s="1076">
        <f>_xlfn.XLOOKUP(E31,Table1[PO],Table1[تاريخ دخول المشروع التعثر بالمدة المنقضية],0)</f>
        <v>47456.5</v>
      </c>
      <c r="AI31" s="1041">
        <v>46438</v>
      </c>
      <c r="AJ31" s="1080">
        <v>46662</v>
      </c>
      <c r="AK31" s="1041">
        <v>46517</v>
      </c>
      <c r="AL31" s="1080">
        <v>46706</v>
      </c>
      <c r="AM31" s="1058">
        <f>_xlfn.XLOOKUP(Table4[[#This Row],[PO]],Table1[PO],Table1[نسبة المخطط التراكمي حتى 31 أكتوبر 2026],0)</f>
        <v>0.13987447609466658</v>
      </c>
      <c r="AN31" s="1058">
        <f>_xlfn.XLOOKUP(Table4[[#This Row],[PO]],Table1[PO],Table1[نسبة الانجاز التراكمي المطلوب للإنتظام],0)</f>
        <v>4.0874476094666573E-2</v>
      </c>
      <c r="AO31" s="1060">
        <f>_xlfn.XLOOKUP(Table4[[#This Row],[PO]],Table1[PO],Table1[النسبة المطلوب زيادتها في أكتوبر 2026 للإنتظام],0)</f>
        <v>0</v>
      </c>
      <c r="AP31" s="1058">
        <f>_xlfn.XLOOKUP(Table4[[#This Row],[PO]],Table1[PO],Table1[نسبة الانجاز التراكمي المطلوب لتجنب التعثر],0)</f>
        <v>0</v>
      </c>
      <c r="AQ31" s="1061">
        <f>_xlfn.XLOOKUP(Table4[[#This Row],[PO]],Table1[PO],Table1[النسبة المطلوب زيادتها في أكتوبر 2026 لتجنب / الخروج من التعثر],0)</f>
        <v>0</v>
      </c>
      <c r="AR31" s="1058">
        <f>_xlfn.XLOOKUP(E31,Table1[PO],Table1[نسبة المدة المنقضية %],0)</f>
        <v>0.50065359477124183</v>
      </c>
      <c r="AS31" s="1058">
        <f>Table4[[#This Row],[المخطط % التراكمي]]-Table4[[#This Row],[نسبة المدة المنقضية %]]</f>
        <v>-0.37045359477124185</v>
      </c>
      <c r="AT31" s="1085" t="s">
        <v>517</v>
      </c>
      <c r="AU31" s="1085" t="s">
        <v>633</v>
      </c>
      <c r="AV31" s="1095" t="s">
        <v>633</v>
      </c>
      <c r="AW31" s="1089" t="s">
        <v>1004</v>
      </c>
      <c r="AX31" s="1065" t="s">
        <v>633</v>
      </c>
      <c r="AY31" s="1090"/>
      <c r="AZ31" s="1092" t="s">
        <v>633</v>
      </c>
      <c r="BA31" s="496"/>
      <c r="BB31" s="667" t="s">
        <v>526</v>
      </c>
      <c r="BC31" s="845" t="s">
        <v>803</v>
      </c>
      <c r="BE31" s="667" t="s">
        <v>526</v>
      </c>
      <c r="BF31" s="845" t="s">
        <v>633</v>
      </c>
      <c r="BG31" s="667" t="s">
        <v>526</v>
      </c>
      <c r="BH31" s="845" t="s">
        <v>633</v>
      </c>
      <c r="BI31" s="974"/>
      <c r="BJ31" s="1002"/>
      <c r="BK31" s="974"/>
    </row>
    <row r="32" spans="1:63" s="857" customFormat="1" ht="159.6" customHeight="1">
      <c r="A32" s="1030">
        <f>SUBTOTAL(3,$E$3:E32)</f>
        <v>30</v>
      </c>
      <c r="B32" s="1031">
        <v>10281</v>
      </c>
      <c r="C32" s="1031" t="s">
        <v>221</v>
      </c>
      <c r="D32" s="1031">
        <v>1</v>
      </c>
      <c r="E32" s="1031">
        <v>901240123</v>
      </c>
      <c r="F32" s="1032" t="str">
        <f>_xlfn.XLOOKUP(Table4[[#This Row],[PO]],Table1[PO],Table1[مدير البرنامج],0)</f>
        <v>عبدالله المغذوي</v>
      </c>
      <c r="G32" s="1032" t="str">
        <f>_xlfn.XLOOKUP(Table4[[#This Row],[PO]],Table1[PO],Table1[مدير المشروع],0)</f>
        <v>أحمد السيد</v>
      </c>
      <c r="H32" s="1032" t="str">
        <f>_xlfn.XLOOKUP(Table4[[#This Row],[PO]],Table1[PO],Table1[اسم المشروع],0)</f>
        <v>استكمال مشروع شبكات الصرف الصحي والتوصيلات المنزلية بينبع</v>
      </c>
      <c r="I32" s="1032" t="s">
        <v>16</v>
      </c>
      <c r="J32" s="1032" t="s">
        <v>384</v>
      </c>
      <c r="K32" s="1032" t="str">
        <f>_xlfn.XLOOKUP(Table4[[#This Row],[PO]],Table1[PO],Table1[الإستشاري],0)</f>
        <v>فيوتشر</v>
      </c>
      <c r="L32" s="1031" t="str">
        <f>_xlfn.XLOOKUP(Table4[[#This Row],[PO]],Table1[PO],Table1[تصنيف المشروع],0)</f>
        <v>Coastal</v>
      </c>
      <c r="M32" s="1031" t="s">
        <v>339</v>
      </c>
      <c r="N32" s="1034">
        <f>_xlfn.XLOOKUP(Table4[[#This Row],[PO]],Table1[PO],Table1[مدة التوقف عن العمل بالشهور],0)</f>
        <v>0</v>
      </c>
      <c r="O32" s="1102" t="str">
        <f>_xlfn.XLOOKUP(E32,Table1[PO],Table1[حالة المشروع],0)</f>
        <v>متعثر</v>
      </c>
      <c r="P32" s="1035">
        <f>_xlfn.XLOOKUP(E32,Table1[PO],Table1[بداية المشروع التعاقدية],0)</f>
        <v>45522</v>
      </c>
      <c r="Q32" s="1035">
        <f>_xlfn.XLOOKUP(E32,Table1[PO],Table1[نهاية المشروع المعدلة PMO LIVE],0)</f>
        <v>46322</v>
      </c>
      <c r="R32" s="1036">
        <f>_xlfn.XLOOKUP(Table4[[#This Row],[PO]],Table1[PO],Table1[قيمة المشروع بالضريبة],0)/1000000</f>
        <v>25.748422260000002</v>
      </c>
      <c r="S32" s="1036">
        <f>Table4[[#This Row],[قيمة المشروع بالضريبة]]*Table4[[#This Row],[المنفذ % التراكمي]]</f>
        <v>7.1503368616020007</v>
      </c>
      <c r="T32" s="1036">
        <f>Table4[[#This Row],[قيمة المشروع بالضريبة]]*Table4[[#This Row],[المخطط % التراكمي]]</f>
        <v>21.394364055834</v>
      </c>
      <c r="U32" s="1036">
        <v>176392.65202260856</v>
      </c>
      <c r="V32" s="1036">
        <v>0</v>
      </c>
      <c r="W32" s="1037">
        <v>0</v>
      </c>
      <c r="X32" s="1036">
        <v>6494313.0799999991</v>
      </c>
      <c r="Y32" s="1037">
        <v>16</v>
      </c>
      <c r="Z32" s="1036">
        <v>6494313.0799999991</v>
      </c>
      <c r="AA32" s="1037">
        <v>16</v>
      </c>
      <c r="AB32" s="1038">
        <f>_xlfn.XLOOKUP(Table4[[#This Row],[PO]],Table1[PO],Table1[نسبة الإيقاف%],0)</f>
        <v>0.14230000000000001</v>
      </c>
      <c r="AC32" s="1038">
        <f>_xlfn.XLOOKUP(Table4[[#This Row],[PO]],Table1[PO],Table1[المنفذ % - الإسبوع السابق],0)</f>
        <v>0.27450000000000002</v>
      </c>
      <c r="AD32" s="1038" t="str">
        <f>_xlfn.XLOOKUP(Table4[[#This Row],[PO]],Table1[PO],Table1[موقف تقديم الخطة التصحيحية],0)</f>
        <v>✔️</v>
      </c>
      <c r="AE32" s="1039">
        <f>_xlfn.XLOOKUP(E32,Table1[PO],Table1[المخطط % التراكمي],0)</f>
        <v>0.83089999999999997</v>
      </c>
      <c r="AF32" s="1039">
        <f>_xlfn.XLOOKUP(E32,Table1[PO],Table1[المنفذ % التراكمي],0)</f>
        <v>0.2777</v>
      </c>
      <c r="AG32" s="1038">
        <f t="shared" si="0"/>
        <v>-0.55319999999999991</v>
      </c>
      <c r="AH32" s="1040">
        <f>_xlfn.XLOOKUP(E32,Table1[PO],Table1[تاريخ دخول المشروع التعثر بالمدة المنقضية],0)</f>
        <v>46522</v>
      </c>
      <c r="AI32" s="1100" t="s">
        <v>85</v>
      </c>
      <c r="AJ32" s="1080" t="s">
        <v>85</v>
      </c>
      <c r="AK32" s="1100" t="s">
        <v>85</v>
      </c>
      <c r="AL32" s="1080" t="s">
        <v>85</v>
      </c>
      <c r="AM32" s="1038">
        <f>_xlfn.XLOOKUP(Table4[[#This Row],[PO]],Table1[PO],Table1[نسبة المخطط التراكمي حتى 31 أكتوبر 2026],0)</f>
        <v>0.9999999991067412</v>
      </c>
      <c r="AN32" s="1038">
        <f>_xlfn.XLOOKUP(Table4[[#This Row],[PO]],Table1[PO],Table1[نسبة الانجاز التراكمي المطلوب للإنتظام],0)</f>
        <v>0.90099999910674122</v>
      </c>
      <c r="AO32" s="1069">
        <f>_xlfn.XLOOKUP(Table4[[#This Row],[PO]],Table1[PO],Table1[النسبة المطلوب زيادتها في أكتوبر 2026 للإنتظام],0)</f>
        <v>0.62329999910674116</v>
      </c>
      <c r="AP32" s="1038">
        <f>_xlfn.XLOOKUP(Table4[[#This Row],[PO]],Table1[PO],Table1[نسبة الانجاز التراكمي المطلوب لتجنب التعثر],0)</f>
        <v>0.7509999991067412</v>
      </c>
      <c r="AQ32" s="1070">
        <f>_xlfn.XLOOKUP(Table4[[#This Row],[PO]],Table1[PO],Table1[النسبة المطلوب زيادتها في أكتوبر 2026 لتجنب / الخروج من التعثر],0)</f>
        <v>0.4732999991067412</v>
      </c>
      <c r="AR32" s="1038">
        <f>_xlfn.XLOOKUP(E32,Table1[PO],Table1[نسبة المدة المنقضية %],0)</f>
        <v>0.98499999999999999</v>
      </c>
      <c r="AS32" s="1038">
        <f>Table4[[#This Row],[المخطط % التراكمي]]-Table4[[#This Row],[نسبة المدة المنقضية %]]</f>
        <v>-0.15410000000000001</v>
      </c>
      <c r="AT32" s="1043" t="s">
        <v>517</v>
      </c>
      <c r="AU32" s="1043" t="s">
        <v>1033</v>
      </c>
      <c r="AV32" s="1099" t="s">
        <v>657</v>
      </c>
      <c r="AW32" s="1047" t="s">
        <v>957</v>
      </c>
      <c r="AX32" s="1074" t="s">
        <v>1021</v>
      </c>
      <c r="AY32" s="1047"/>
      <c r="AZ32" s="1094" t="s">
        <v>1031</v>
      </c>
      <c r="BA32" s="856"/>
      <c r="BB32" s="666" t="s">
        <v>767</v>
      </c>
      <c r="BC32" s="846" t="s">
        <v>784</v>
      </c>
      <c r="BE32" s="666" t="s">
        <v>829</v>
      </c>
      <c r="BF32" s="846" t="s">
        <v>862</v>
      </c>
      <c r="BG32" s="666" t="s">
        <v>894</v>
      </c>
      <c r="BH32" s="846" t="s">
        <v>915</v>
      </c>
      <c r="BI32" s="974"/>
      <c r="BJ32" s="1002"/>
      <c r="BK32" s="974"/>
    </row>
    <row r="33" spans="1:63" s="58" customFormat="1" ht="114" customHeight="1">
      <c r="A33" s="1051">
        <f>SUBTOTAL(3,$E$3:E33)</f>
        <v>31</v>
      </c>
      <c r="B33" s="1052">
        <v>10278</v>
      </c>
      <c r="C33" s="1052" t="s">
        <v>222</v>
      </c>
      <c r="D33" s="1052"/>
      <c r="E33" s="1052">
        <v>901240105</v>
      </c>
      <c r="F33" s="1053" t="str">
        <f>_xlfn.XLOOKUP(Table4[[#This Row],[PO]],Table1[PO],Table1[مدير البرنامج],0)</f>
        <v>عادل الحيسوني</v>
      </c>
      <c r="G33" s="1053" t="str">
        <f>_xlfn.XLOOKUP(Table4[[#This Row],[PO]],Table1[PO],Table1[مدير المشروع],0)</f>
        <v>محمد قطيلان</v>
      </c>
      <c r="H33" s="1053" t="str">
        <f>_xlfn.XLOOKUP(Table4[[#This Row],[PO]],Table1[PO],Table1[اسم المشروع],0)</f>
        <v xml:space="preserve">مشروع انشاء شبكات وخطوط الصرف الصحي بحي الأصيفرين بالمدينة المنورة </v>
      </c>
      <c r="I33" s="1053" t="s">
        <v>75</v>
      </c>
      <c r="J33" s="1053" t="s">
        <v>384</v>
      </c>
      <c r="K33" s="1053" t="str">
        <f>_xlfn.XLOOKUP(Table4[[#This Row],[PO]],Table1[PO],Table1[الإستشاري],0)</f>
        <v>دورش</v>
      </c>
      <c r="L33" s="1052" t="str">
        <f>_xlfn.XLOOKUP(Table4[[#This Row],[PO]],Table1[PO],Table1[تصنيف المشروع],0)</f>
        <v>WW</v>
      </c>
      <c r="M33" s="1052" t="s">
        <v>339</v>
      </c>
      <c r="N33" s="1054">
        <f>_xlfn.XLOOKUP(Table4[[#This Row],[PO]],Table1[PO],Table1[مدة التوقف عن العمل بالشهور],0)</f>
        <v>0</v>
      </c>
      <c r="O33" s="1052" t="str">
        <f>_xlfn.XLOOKUP(E33,Table1[PO],Table1[حالة المشروع],0)</f>
        <v>منتظم</v>
      </c>
      <c r="P33" s="1055">
        <f>_xlfn.XLOOKUP(E33,Table1[PO],Table1[بداية المشروع التعاقدية],0)</f>
        <v>45490</v>
      </c>
      <c r="Q33" s="1055">
        <f>_xlfn.XLOOKUP(E33,Table1[PO],Table1[نهاية المشروع المعدلة PMO LIVE],0)</f>
        <v>47004</v>
      </c>
      <c r="R33" s="1056">
        <f>_xlfn.XLOOKUP(Table4[[#This Row],[PO]],Table1[PO],Table1[قيمة المشروع بالضريبة],0)/1000000</f>
        <v>63.665782499999999</v>
      </c>
      <c r="S33" s="1056">
        <f>Table4[[#This Row],[قيمة المشروع بالضريبة]]*Table4[[#This Row],[المنفذ % التراكمي]]</f>
        <v>9.9445952265000006</v>
      </c>
      <c r="T33" s="1056">
        <f>Table4[[#This Row],[قيمة المشروع بالضريبة]]*Table4[[#This Row],[المخطط % التراكمي]]</f>
        <v>10.352056234499999</v>
      </c>
      <c r="U33" s="1056">
        <v>425485.43065217137</v>
      </c>
      <c r="V33" s="1056">
        <v>584334.56000000238</v>
      </c>
      <c r="W33" s="1057">
        <v>2</v>
      </c>
      <c r="X33" s="1056">
        <v>8329793.2699999996</v>
      </c>
      <c r="Y33" s="1057">
        <v>19</v>
      </c>
      <c r="Z33" s="1056">
        <v>8914127.8300000019</v>
      </c>
      <c r="AA33" s="1057">
        <v>21</v>
      </c>
      <c r="AB33" s="1058">
        <f>_xlfn.XLOOKUP(Table4[[#This Row],[PO]],Table1[PO],Table1[نسبة الإيقاف%],0)</f>
        <v>0</v>
      </c>
      <c r="AC33" s="1058">
        <f>_xlfn.XLOOKUP(Table4[[#This Row],[PO]],Table1[PO],Table1[المنفذ % - الإسبوع السابق],0)</f>
        <v>0.15540000000000001</v>
      </c>
      <c r="AD33" s="1058" t="str">
        <f>_xlfn.XLOOKUP(Table4[[#This Row],[PO]],Table1[PO],Table1[موقف تقديم الخطة التصحيحية],0)</f>
        <v>➖</v>
      </c>
      <c r="AE33" s="1059">
        <f>_xlfn.XLOOKUP(E33,Table1[PO],Table1[المخطط % التراكمي],0)</f>
        <v>0.16259999999999999</v>
      </c>
      <c r="AF33" s="1059">
        <f>_xlfn.XLOOKUP(E33,Table1[PO],Table1[المنفذ % التراكمي],0)</f>
        <v>0.15620000000000001</v>
      </c>
      <c r="AG33" s="1058">
        <f t="shared" si="0"/>
        <v>-6.399999999999989E-3</v>
      </c>
      <c r="AH33" s="1076">
        <f>_xlfn.XLOOKUP(E33,Table1[PO],Table1[تاريخ دخول المشروع التعثر بالمدة المنقضية],0)</f>
        <v>47382.5</v>
      </c>
      <c r="AI33" s="1100">
        <v>46448</v>
      </c>
      <c r="AJ33" s="1080">
        <v>46593</v>
      </c>
      <c r="AK33" s="1100">
        <v>46487</v>
      </c>
      <c r="AL33" s="1080">
        <v>46645</v>
      </c>
      <c r="AM33" s="1058">
        <f>_xlfn.XLOOKUP(Table4[[#This Row],[PO]],Table1[PO],Table1[نسبة المخطط التراكمي حتى 31 أكتوبر 2026],0)</f>
        <v>0.16633175913607909</v>
      </c>
      <c r="AN33" s="1058">
        <f>_xlfn.XLOOKUP(Table4[[#This Row],[PO]],Table1[PO],Table1[نسبة الانجاز التراكمي المطلوب للإنتظام],0)</f>
        <v>6.7331759136079083E-2</v>
      </c>
      <c r="AO33" s="1060">
        <f>_xlfn.XLOOKUP(Table4[[#This Row],[PO]],Table1[PO],Table1[النسبة المطلوب زيادتها في أكتوبر 2026 للإنتظام],0)</f>
        <v>0</v>
      </c>
      <c r="AP33" s="1058">
        <f>_xlfn.XLOOKUP(Table4[[#This Row],[PO]],Table1[PO],Table1[نسبة الانجاز التراكمي المطلوب لتجنب التعثر],0)</f>
        <v>0</v>
      </c>
      <c r="AQ33" s="1061">
        <f>_xlfn.XLOOKUP(Table4[[#This Row],[PO]],Table1[PO],Table1[النسبة المطلوب زيادتها في أكتوبر 2026 لتجنب / الخروج من التعثر],0)</f>
        <v>0</v>
      </c>
      <c r="AR33" s="1058">
        <f>_xlfn.XLOOKUP(E33,Table1[PO],Table1[نسبة المدة المنقضية %],0)</f>
        <v>0.54161162483487446</v>
      </c>
      <c r="AS33" s="1058">
        <f>Table4[[#This Row],[المخطط % التراكمي]]-Table4[[#This Row],[نسبة المدة المنقضية %]]</f>
        <v>-0.37901162483487449</v>
      </c>
      <c r="AT33" s="1085" t="s">
        <v>517</v>
      </c>
      <c r="AU33" s="1085" t="s">
        <v>633</v>
      </c>
      <c r="AV33" s="1095" t="s">
        <v>633</v>
      </c>
      <c r="AW33" s="1103" t="s">
        <v>966</v>
      </c>
      <c r="AX33" s="1065" t="s">
        <v>804</v>
      </c>
      <c r="AY33" s="1090"/>
      <c r="AZ33" s="1092" t="s">
        <v>999</v>
      </c>
      <c r="BA33" s="496"/>
      <c r="BB33" s="667" t="s">
        <v>804</v>
      </c>
      <c r="BC33" s="845" t="s">
        <v>633</v>
      </c>
      <c r="BE33" s="667" t="s">
        <v>804</v>
      </c>
      <c r="BF33" s="845" t="s">
        <v>872</v>
      </c>
      <c r="BG33" s="667" t="s">
        <v>804</v>
      </c>
      <c r="BH33" s="845" t="s">
        <v>906</v>
      </c>
      <c r="BI33" s="974"/>
      <c r="BJ33" s="1002"/>
      <c r="BK33" s="974"/>
    </row>
    <row r="34" spans="1:63" s="58" customFormat="1" ht="57.6">
      <c r="A34" s="1030">
        <f>SUBTOTAL(3,$E$3:E34)</f>
        <v>32</v>
      </c>
      <c r="B34" s="1031" t="s">
        <v>297</v>
      </c>
      <c r="C34" s="1031" t="s">
        <v>211</v>
      </c>
      <c r="D34" s="1031">
        <v>2</v>
      </c>
      <c r="E34" s="1077">
        <v>901240102</v>
      </c>
      <c r="F34" s="1078" t="str">
        <f>_xlfn.XLOOKUP(Table4[[#This Row],[PO]],Table1[PO],Table1[مدير البرنامج],0)</f>
        <v>عادل الحيسوني</v>
      </c>
      <c r="G34" s="1078" t="str">
        <f>_xlfn.XLOOKUP(Table4[[#This Row],[PO]],Table1[PO],Table1[مدير المشروع],0)</f>
        <v>بدر المحمدي</v>
      </c>
      <c r="H34" s="1032" t="str">
        <f>_xlfn.XLOOKUP(Table4[[#This Row],[PO]],Table1[PO],Table1[اسم المشروع],0)</f>
        <v xml:space="preserve">توريد وتركيب وحدات معالجة الحمأة ميكانيكيا بالمدينة المنورة </v>
      </c>
      <c r="I34" s="1032" t="s">
        <v>15</v>
      </c>
      <c r="J34" s="1032" t="s">
        <v>384</v>
      </c>
      <c r="K34" s="1032" t="str">
        <f>_xlfn.XLOOKUP(Table4[[#This Row],[PO]],Table1[PO],Table1[الإستشاري],0)</f>
        <v>فيوتشر</v>
      </c>
      <c r="L34" s="1031" t="str">
        <f>_xlfn.XLOOKUP(Table4[[#This Row],[PO]],Table1[PO],Table1[تصنيف المشروع],0)</f>
        <v>WW</v>
      </c>
      <c r="M34" s="1031" t="s">
        <v>339</v>
      </c>
      <c r="N34" s="1034">
        <f>_xlfn.XLOOKUP(Table4[[#This Row],[PO]],Table1[PO],Table1[مدة التوقف عن العمل بالشهور],0)</f>
        <v>2</v>
      </c>
      <c r="O34" s="1031" t="str">
        <f>_xlfn.XLOOKUP(E34,Table1[PO],Table1[حالة المشروع],0)</f>
        <v>متأخر</v>
      </c>
      <c r="P34" s="1035">
        <f>_xlfn.XLOOKUP(E34,Table1[PO],Table1[بداية المشروع التعاقدية],0)</f>
        <v>45481</v>
      </c>
      <c r="Q34" s="1035">
        <f>_xlfn.XLOOKUP(E34,Table1[PO],Table1[نهاية المشروع المعدلة PMO LIVE],0)</f>
        <v>46269</v>
      </c>
      <c r="R34" s="1036">
        <f>_xlfn.XLOOKUP(Table4[[#This Row],[PO]],Table1[PO],Table1[قيمة المشروع بالضريبة],0)/1000000</f>
        <v>18.565680499999999</v>
      </c>
      <c r="S34" s="1036">
        <f>Table4[[#This Row],[قيمة المشروع بالضريبة]]*Table4[[#This Row],[المنفذ % التراكمي]]</f>
        <v>15.223858009999999</v>
      </c>
      <c r="T34" s="1036">
        <f>Table4[[#This Row],[قيمة المشروع بالضريبة]]*Table4[[#This Row],[المخطط % التراكمي]]</f>
        <v>18.565680499999999</v>
      </c>
      <c r="U34" s="1036">
        <v>1646268.6999999993</v>
      </c>
      <c r="V34" s="1036">
        <v>0</v>
      </c>
      <c r="W34" s="1037">
        <v>0</v>
      </c>
      <c r="X34" s="1036">
        <v>5718720</v>
      </c>
      <c r="Y34" s="1037">
        <v>3</v>
      </c>
      <c r="Z34" s="1036">
        <v>5718720</v>
      </c>
      <c r="AA34" s="1037">
        <v>3</v>
      </c>
      <c r="AB34" s="1038">
        <f>_xlfn.XLOOKUP(Table4[[#This Row],[PO]],Table1[PO],Table1[نسبة الإيقاف%],0)</f>
        <v>0</v>
      </c>
      <c r="AC34" s="1038">
        <f>_xlfn.XLOOKUP(Table4[[#This Row],[PO]],Table1[PO],Table1[المنفذ % - الإسبوع السابق],0)</f>
        <v>0.82</v>
      </c>
      <c r="AD34" s="1038" t="str">
        <f>_xlfn.XLOOKUP(Table4[[#This Row],[PO]],Table1[PO],Table1[موقف تقديم الخطة التصحيحية],0)</f>
        <v>❌</v>
      </c>
      <c r="AE34" s="1039">
        <f>_xlfn.XLOOKUP(E34,Table1[PO],Table1[المخطط % التراكمي],0)</f>
        <v>1</v>
      </c>
      <c r="AF34" s="1039">
        <f>_xlfn.XLOOKUP(E34,Table1[PO],Table1[المنفذ % التراكمي],0)</f>
        <v>0.82</v>
      </c>
      <c r="AG34" s="1038">
        <f t="shared" ref="AG34:AG50" si="1">AF34-AE34</f>
        <v>-0.18000000000000005</v>
      </c>
      <c r="AH34" s="1040">
        <f>_xlfn.XLOOKUP(E34,Table1[PO],Table1[تاريخ دخول المشروع التعثر بالمدة المنقضية],0)</f>
        <v>46466</v>
      </c>
      <c r="AI34" s="1100" t="s">
        <v>100</v>
      </c>
      <c r="AJ34" s="1080" t="s">
        <v>667</v>
      </c>
      <c r="AK34" s="1100" t="s">
        <v>100</v>
      </c>
      <c r="AL34" s="1080" t="s">
        <v>667</v>
      </c>
      <c r="AM34" s="1038">
        <f>_xlfn.XLOOKUP(Table4[[#This Row],[PO]],Table1[PO],Table1[نسبة المخطط التراكمي حتى 31 أكتوبر 2026],0)</f>
        <v>1</v>
      </c>
      <c r="AN34" s="1038">
        <f>_xlfn.XLOOKUP(Table4[[#This Row],[PO]],Table1[PO],Table1[نسبة الانجاز التراكمي المطلوب للإنتظام],0)</f>
        <v>0.90100000000000002</v>
      </c>
      <c r="AO34" s="1069">
        <f>_xlfn.XLOOKUP(Table4[[#This Row],[PO]],Table1[PO],Table1[النسبة المطلوب زيادتها في أكتوبر 2026 للإنتظام],0)</f>
        <v>8.1000000000000072E-2</v>
      </c>
      <c r="AP34" s="1038">
        <f>_xlfn.XLOOKUP(Table4[[#This Row],[PO]],Table1[PO],Table1[نسبة الانجاز التراكمي المطلوب لتجنب التعثر],0)</f>
        <v>0.751</v>
      </c>
      <c r="AQ34" s="1070">
        <f>_xlfn.XLOOKUP(Table4[[#This Row],[PO]],Table1[PO],Table1[النسبة المطلوب زيادتها في أكتوبر 2026 لتجنب / الخروج من التعثر],0)</f>
        <v>0</v>
      </c>
      <c r="AR34" s="1038">
        <f>_xlfn.XLOOKUP(E34,Table1[PO],Table1[نسبة المدة المنقضية %],0)</f>
        <v>1.0520304568527918</v>
      </c>
      <c r="AS34" s="1038">
        <f>Table4[[#This Row],[المخطط % التراكمي]]-Table4[[#This Row],[نسبة المدة المنقضية %]]</f>
        <v>-5.203045685279184E-2</v>
      </c>
      <c r="AT34" s="1043" t="s">
        <v>517</v>
      </c>
      <c r="AU34" s="1043" t="s">
        <v>633</v>
      </c>
      <c r="AV34" s="1099" t="s">
        <v>648</v>
      </c>
      <c r="AW34" s="1047" t="s">
        <v>967</v>
      </c>
      <c r="AX34" s="1074" t="s">
        <v>760</v>
      </c>
      <c r="AY34" s="1049"/>
      <c r="AZ34" s="1082" t="s">
        <v>1002</v>
      </c>
      <c r="BA34" s="496"/>
      <c r="BB34" s="666" t="s">
        <v>760</v>
      </c>
      <c r="BC34" s="843" t="s">
        <v>805</v>
      </c>
      <c r="BE34" s="666" t="s">
        <v>760</v>
      </c>
      <c r="BF34" s="843" t="s">
        <v>869</v>
      </c>
      <c r="BG34" s="666" t="s">
        <v>760</v>
      </c>
      <c r="BH34" s="843" t="s">
        <v>905</v>
      </c>
      <c r="BI34" s="974"/>
      <c r="BJ34" s="1002"/>
      <c r="BK34" s="974"/>
    </row>
    <row r="35" spans="1:63" s="55" customFormat="1" ht="73.8" customHeight="1">
      <c r="A35" s="1051">
        <f>SUBTOTAL(3,$E$3:E35)</f>
        <v>33</v>
      </c>
      <c r="B35" s="1052">
        <v>10280</v>
      </c>
      <c r="C35" s="1052" t="s">
        <v>202</v>
      </c>
      <c r="D35" s="1052">
        <v>4</v>
      </c>
      <c r="E35" s="1052">
        <v>901240095</v>
      </c>
      <c r="F35" s="1053" t="str">
        <f>_xlfn.XLOOKUP(Table4[[#This Row],[PO]],Table1[PO],Table1[مدير البرنامج],0)</f>
        <v>عبدالله المغذوي</v>
      </c>
      <c r="G35" s="1053" t="str">
        <f>_xlfn.XLOOKUP(Table4[[#This Row],[PO]],Table1[PO],Table1[مدير المشروع],0)</f>
        <v>عبد الله أورقنجي</v>
      </c>
      <c r="H35" s="1053" t="str">
        <f>_xlfn.XLOOKUP(Table4[[#This Row],[PO]],Table1[PO],Table1[اسم المشروع],0)</f>
        <v xml:space="preserve">مشروع تنفيذ شبكة توزيع المياه في حي المحاميد بالمدينة المنورة </v>
      </c>
      <c r="I35" s="1053" t="s">
        <v>31</v>
      </c>
      <c r="J35" s="1053" t="s">
        <v>384</v>
      </c>
      <c r="K35" s="1053" t="str">
        <f>_xlfn.XLOOKUP(Table4[[#This Row],[PO]],Table1[PO],Table1[الإستشاري],0)</f>
        <v>فيوتشر</v>
      </c>
      <c r="L35" s="1052" t="str">
        <f>_xlfn.XLOOKUP(Table4[[#This Row],[PO]],Table1[PO],Table1[تصنيف المشروع],0)</f>
        <v>Water 2</v>
      </c>
      <c r="M35" s="1052" t="s">
        <v>339</v>
      </c>
      <c r="N35" s="1054">
        <f>_xlfn.XLOOKUP(Table4[[#This Row],[PO]],Table1[PO],Table1[مدة التوقف عن العمل بالشهور],0)</f>
        <v>9</v>
      </c>
      <c r="O35" s="1052" t="str">
        <f>_xlfn.XLOOKUP(E35,Table1[PO],Table1[حالة المشروع],0)</f>
        <v>منتظم</v>
      </c>
      <c r="P35" s="1055">
        <f>_xlfn.XLOOKUP(E35,Table1[PO],Table1[بداية المشروع التعاقدية],0)</f>
        <v>45526</v>
      </c>
      <c r="Q35" s="1055">
        <f>_xlfn.XLOOKUP(E35,Table1[PO],Table1[نهاية المشروع المعدلة PMO LIVE],0)</f>
        <v>46694</v>
      </c>
      <c r="R35" s="1056">
        <f>_xlfn.XLOOKUP(Table4[[#This Row],[PO]],Table1[PO],Table1[قيمة المشروع بالضريبة],0)/1000000</f>
        <v>29.432727159999999</v>
      </c>
      <c r="S35" s="1056">
        <f>Table4[[#This Row],[قيمة المشروع بالضريبة]]*Table4[[#This Row],[المنفذ % التراكمي]]</f>
        <v>5.5804450695359993</v>
      </c>
      <c r="T35" s="1056">
        <f>Table4[[#This Row],[قيمة المشروع بالضريبة]]*Table4[[#This Row],[المخطط % التراكمي]]</f>
        <v>8.0115883329519999</v>
      </c>
      <c r="U35" s="1056">
        <v>326805.06891443301</v>
      </c>
      <c r="V35" s="1056">
        <v>0</v>
      </c>
      <c r="W35" s="1057">
        <v>0</v>
      </c>
      <c r="X35" s="1056">
        <v>5204619.24</v>
      </c>
      <c r="Y35" s="1057">
        <v>14</v>
      </c>
      <c r="Z35" s="1056">
        <v>5204619.2400000012</v>
      </c>
      <c r="AA35" s="1057">
        <v>14</v>
      </c>
      <c r="AB35" s="1058">
        <f>_xlfn.XLOOKUP(Table4[[#This Row],[PO]],Table1[PO],Table1[نسبة الإيقاف%],0)</f>
        <v>0.1908</v>
      </c>
      <c r="AC35" s="1058">
        <f>_xlfn.XLOOKUP(Table4[[#This Row],[PO]],Table1[PO],Table1[المنفذ % - الإسبوع السابق],0)</f>
        <v>0.18959999999999999</v>
      </c>
      <c r="AD35" s="1058" t="str">
        <f>_xlfn.XLOOKUP(Table4[[#This Row],[PO]],Table1[PO],Table1[موقف تقديم الخطة التصحيحية],0)</f>
        <v>❌</v>
      </c>
      <c r="AE35" s="1059">
        <f>_xlfn.XLOOKUP(E35,Table1[PO],Table1[المخطط % التراكمي],0)</f>
        <v>0.2722</v>
      </c>
      <c r="AF35" s="1059">
        <f>_xlfn.XLOOKUP(E35,Table1[PO],Table1[المنفذ % التراكمي],0)</f>
        <v>0.18959999999999999</v>
      </c>
      <c r="AG35" s="1058">
        <f t="shared" si="1"/>
        <v>-8.2600000000000007E-2</v>
      </c>
      <c r="AH35" s="1076">
        <f>_xlfn.XLOOKUP(E35,Table1[PO],Table1[تاريخ دخول المشروع التعثر بالمدة المنقضية],0)</f>
        <v>46986</v>
      </c>
      <c r="AI35" s="1100">
        <v>46331</v>
      </c>
      <c r="AJ35" s="1080">
        <v>46433</v>
      </c>
      <c r="AK35" s="1041">
        <v>46331</v>
      </c>
      <c r="AL35" s="1080">
        <v>46434</v>
      </c>
      <c r="AM35" s="1058">
        <f>_xlfn.XLOOKUP(Table4[[#This Row],[PO]],Table1[PO],Table1[نسبة المخطط التراكمي حتى 31 أكتوبر 2026],0)</f>
        <v>0.28294161297571085</v>
      </c>
      <c r="AN35" s="1058">
        <f>_xlfn.XLOOKUP(Table4[[#This Row],[PO]],Table1[PO],Table1[نسبة الانجاز التراكمي المطلوب للإنتظام],0)</f>
        <v>0.18394161297571085</v>
      </c>
      <c r="AO35" s="1060">
        <f>_xlfn.XLOOKUP(Table4[[#This Row],[PO]],Table1[PO],Table1[النسبة المطلوب زيادتها في أكتوبر 2026 للإنتظام],0)</f>
        <v>0</v>
      </c>
      <c r="AP35" s="1058">
        <f>_xlfn.XLOOKUP(Table4[[#This Row],[PO]],Table1[PO],Table1[نسبة الانجاز التراكمي المطلوب لتجنب التعثر],0)</f>
        <v>3.3941612975710855E-2</v>
      </c>
      <c r="AQ35" s="1061">
        <f>_xlfn.XLOOKUP(Table4[[#This Row],[PO]],Table1[PO],Table1[النسبة المطلوب زيادتها في أكتوبر 2026 لتجنب / الخروج من التعثر],0)</f>
        <v>0</v>
      </c>
      <c r="AR35" s="1058">
        <f>_xlfn.XLOOKUP(E35,Table1[PO],Table1[نسبة المدة المنقضية %],0)</f>
        <v>0.67123287671232879</v>
      </c>
      <c r="AS35" s="1058">
        <f>Table4[[#This Row],[المخطط % التراكمي]]-Table4[[#This Row],[نسبة المدة المنقضية %]]</f>
        <v>-0.39903287671232879</v>
      </c>
      <c r="AT35" s="1085" t="s">
        <v>517</v>
      </c>
      <c r="AU35" s="1085" t="s">
        <v>1033</v>
      </c>
      <c r="AV35" s="1095" t="s">
        <v>802</v>
      </c>
      <c r="AW35" s="1089" t="s">
        <v>1008</v>
      </c>
      <c r="AX35" s="1065" t="s">
        <v>766</v>
      </c>
      <c r="AY35" s="1090"/>
      <c r="AZ35" s="1092" t="s">
        <v>1011</v>
      </c>
      <c r="BA35" s="496"/>
      <c r="BB35" s="667" t="s">
        <v>766</v>
      </c>
      <c r="BC35" s="845" t="s">
        <v>806</v>
      </c>
      <c r="BE35" s="667" t="s">
        <v>766</v>
      </c>
      <c r="BF35" s="845" t="s">
        <v>873</v>
      </c>
      <c r="BG35" s="667" t="s">
        <v>766</v>
      </c>
      <c r="BH35" s="845" t="s">
        <v>907</v>
      </c>
      <c r="BI35" s="974"/>
      <c r="BJ35" s="1002"/>
      <c r="BK35" s="974"/>
    </row>
    <row r="36" spans="1:63" s="54" customFormat="1" ht="135">
      <c r="A36" s="1030">
        <f>SUBTOTAL(3,$E$3:E36)</f>
        <v>34</v>
      </c>
      <c r="B36" s="1031">
        <v>10279</v>
      </c>
      <c r="C36" s="1031" t="s">
        <v>223</v>
      </c>
      <c r="D36" s="1031">
        <v>2</v>
      </c>
      <c r="E36" s="1031">
        <v>901240091</v>
      </c>
      <c r="F36" s="1032" t="str">
        <f>_xlfn.XLOOKUP(Table4[[#This Row],[PO]],Table1[PO],Table1[مدير البرنامج],0)</f>
        <v>عبدالله المغذوي</v>
      </c>
      <c r="G36" s="1032" t="str">
        <f>_xlfn.XLOOKUP(Table4[[#This Row],[PO]],Table1[PO],Table1[مدير المشروع],0)</f>
        <v xml:space="preserve">عبدالعزيز فلاته </v>
      </c>
      <c r="H36" s="1032" t="str">
        <f>_xlfn.XLOOKUP(Table4[[#This Row],[PO]],Table1[PO],Table1[اسم المشروع],0)</f>
        <v xml:space="preserve">تنفيذ شبكات الصرف الصحي بمحافظة ينبع </v>
      </c>
      <c r="I36" s="1032" t="s">
        <v>74</v>
      </c>
      <c r="J36" s="1032" t="s">
        <v>384</v>
      </c>
      <c r="K36" s="1032" t="str">
        <f>_xlfn.XLOOKUP(Table4[[#This Row],[PO]],Table1[PO],Table1[الإستشاري],0)</f>
        <v>فيوتشر</v>
      </c>
      <c r="L36" s="1031" t="str">
        <f>_xlfn.XLOOKUP(Table4[[#This Row],[PO]],Table1[PO],Table1[تصنيف المشروع],0)</f>
        <v>Coastal</v>
      </c>
      <c r="M36" s="1031" t="s">
        <v>338</v>
      </c>
      <c r="N36" s="1034">
        <f>_xlfn.XLOOKUP(Table4[[#This Row],[PO]],Table1[PO],Table1[مدة التوقف عن العمل بالشهور],0)</f>
        <v>0</v>
      </c>
      <c r="O36" s="1031" t="str">
        <f>_xlfn.XLOOKUP(E36,Table1[PO],Table1[حالة المشروع],0)</f>
        <v>متأخر</v>
      </c>
      <c r="P36" s="1035">
        <f>_xlfn.XLOOKUP(E36,Table1[PO],Table1[بداية المشروع التعاقدية],0)</f>
        <v>45490</v>
      </c>
      <c r="Q36" s="1035">
        <f>_xlfn.XLOOKUP(E36,Table1[PO],Table1[نهاية المشروع المعدلة PMO LIVE],0)</f>
        <v>46411</v>
      </c>
      <c r="R36" s="1036">
        <f>_xlfn.XLOOKUP(Table4[[#This Row],[PO]],Table1[PO],Table1[قيمة المشروع بالضريبة],0)/1000000</f>
        <v>22.6795203</v>
      </c>
      <c r="S36" s="1036">
        <f>Table4[[#This Row],[قيمة المشروع بالضريبة]]*Table4[[#This Row],[المنفذ % التراكمي]]</f>
        <v>10.788647806710001</v>
      </c>
      <c r="T36" s="1036">
        <f>Table4[[#This Row],[قيمة المشروع بالضريبة]]*Table4[[#This Row],[المخطط % التراكمي]]</f>
        <v>13.614516036089999</v>
      </c>
      <c r="U36" s="1036">
        <v>158341.71777391434</v>
      </c>
      <c r="V36" s="1036">
        <v>1629989.0700000003</v>
      </c>
      <c r="W36" s="1037">
        <v>1</v>
      </c>
      <c r="X36" s="1036">
        <v>8729358.9899999984</v>
      </c>
      <c r="Y36" s="1037">
        <v>15</v>
      </c>
      <c r="Z36" s="1036">
        <v>10359348.059999999</v>
      </c>
      <c r="AA36" s="1037">
        <v>16</v>
      </c>
      <c r="AB36" s="1038">
        <f>_xlfn.XLOOKUP(Table4[[#This Row],[PO]],Table1[PO],Table1[نسبة الإيقاف%],0)</f>
        <v>0.10299999999999999</v>
      </c>
      <c r="AC36" s="1038">
        <f>_xlfn.XLOOKUP(Table4[[#This Row],[PO]],Table1[PO],Table1[المنفذ % - الإسبوع السابق],0)</f>
        <v>0.47570000000000001</v>
      </c>
      <c r="AD36" s="1038" t="str">
        <f>_xlfn.XLOOKUP(Table4[[#This Row],[PO]],Table1[PO],Table1[موقف تقديم الخطة التصحيحية],0)</f>
        <v>✔️</v>
      </c>
      <c r="AE36" s="1039">
        <f>_xlfn.XLOOKUP(E36,Table1[PO],Table1[المخطط % التراكمي],0)</f>
        <v>0.60029999999999994</v>
      </c>
      <c r="AF36" s="1039">
        <f>_xlfn.XLOOKUP(E36,Table1[PO],Table1[المنفذ % التراكمي],0)</f>
        <v>0.47570000000000001</v>
      </c>
      <c r="AG36" s="1038">
        <f t="shared" si="1"/>
        <v>-0.12459999999999993</v>
      </c>
      <c r="AH36" s="1040">
        <f>_xlfn.XLOOKUP(E36,Table1[PO],Table1[تاريخ دخول المشروع التعثر بالمدة المنقضية],0)</f>
        <v>46641.25</v>
      </c>
      <c r="AI36" s="1100">
        <v>46297</v>
      </c>
      <c r="AJ36" s="1080">
        <v>46341</v>
      </c>
      <c r="AK36" s="1100" t="s">
        <v>100</v>
      </c>
      <c r="AL36" s="1080">
        <v>46359</v>
      </c>
      <c r="AM36" s="1038">
        <f>_xlfn.XLOOKUP(Table4[[#This Row],[PO]],Table1[PO],Table1[نسبة المخطط التراكمي حتى 31 أكتوبر 2026],0)</f>
        <v>0.635619514756668</v>
      </c>
      <c r="AN36" s="1038">
        <f>_xlfn.XLOOKUP(Table4[[#This Row],[PO]],Table1[PO],Table1[نسبة الانجاز التراكمي المطلوب للإنتظام],0)</f>
        <v>0.53661951475666803</v>
      </c>
      <c r="AO36" s="1069">
        <f>_xlfn.XLOOKUP(Table4[[#This Row],[PO]],Table1[PO],Table1[النسبة المطلوب زيادتها في أكتوبر 2026 للإنتظام],0)</f>
        <v>6.0919514756668014E-2</v>
      </c>
      <c r="AP36" s="1038">
        <f>_xlfn.XLOOKUP(Table4[[#This Row],[PO]],Table1[PO],Table1[نسبة الانجاز التراكمي المطلوب لتجنب التعثر],0)</f>
        <v>0.386619514756668</v>
      </c>
      <c r="AQ36" s="1070">
        <f>_xlfn.XLOOKUP(Table4[[#This Row],[PO]],Table1[PO],Table1[النسبة المطلوب زيادتها في أكتوبر 2026 لتجنب / الخروج من التعثر],0)</f>
        <v>0</v>
      </c>
      <c r="AR36" s="1038">
        <f>_xlfn.XLOOKUP(E36,Table1[PO],Table1[نسبة المدة المنقضية %],0)</f>
        <v>0.89033659066232351</v>
      </c>
      <c r="AS36" s="1038">
        <f>Table4[[#This Row],[المخطط % التراكمي]]-Table4[[#This Row],[نسبة المدة المنقضية %]]</f>
        <v>-0.29003659066232357</v>
      </c>
      <c r="AT36" s="1043" t="s">
        <v>517</v>
      </c>
      <c r="AU36" s="1043" t="s">
        <v>1035</v>
      </c>
      <c r="AV36" s="1099" t="s">
        <v>1030</v>
      </c>
      <c r="AW36" s="1047" t="s">
        <v>971</v>
      </c>
      <c r="AX36" s="1074" t="s">
        <v>1029</v>
      </c>
      <c r="AY36" s="1049"/>
      <c r="AZ36" s="1082" t="s">
        <v>1024</v>
      </c>
      <c r="BA36" s="496"/>
      <c r="BB36" s="666" t="s">
        <v>750</v>
      </c>
      <c r="BC36" s="843" t="s">
        <v>785</v>
      </c>
      <c r="BE36" s="666" t="s">
        <v>750</v>
      </c>
      <c r="BF36" s="843" t="s">
        <v>865</v>
      </c>
      <c r="BG36" s="666" t="s">
        <v>750</v>
      </c>
      <c r="BH36" s="843" t="s">
        <v>884</v>
      </c>
      <c r="BI36" s="974"/>
      <c r="BJ36" s="1002"/>
      <c r="BK36" s="974"/>
    </row>
    <row r="37" spans="1:63" s="57" customFormat="1" ht="54" customHeight="1">
      <c r="A37" s="1051">
        <f>SUBTOTAL(3,$E$3:E37)</f>
        <v>35</v>
      </c>
      <c r="B37" s="1052" t="s">
        <v>284</v>
      </c>
      <c r="C37" s="1052" t="s">
        <v>203</v>
      </c>
      <c r="D37" s="1052"/>
      <c r="E37" s="1052">
        <v>901240090</v>
      </c>
      <c r="F37" s="1053" t="str">
        <f>_xlfn.XLOOKUP(Table4[[#This Row],[PO]],Table1[PO],Table1[مدير البرنامج],0)</f>
        <v>أحمد المطيري</v>
      </c>
      <c r="G37" s="1053" t="str">
        <f>_xlfn.XLOOKUP(Table4[[#This Row],[PO]],Table1[PO],Table1[مدير المشروع],0)</f>
        <v>خالد اللهيبي</v>
      </c>
      <c r="H37" s="1053" t="str">
        <f>_xlfn.XLOOKUP(Table4[[#This Row],[PO]],Table1[PO],Table1[اسم المشروع],0)</f>
        <v xml:space="preserve">احلال شبكات وخطوط مياه بالمدينة المنورة </v>
      </c>
      <c r="I37" s="1053" t="s">
        <v>32</v>
      </c>
      <c r="J37" s="1053" t="s">
        <v>384</v>
      </c>
      <c r="K37" s="1053" t="str">
        <f>_xlfn.XLOOKUP(Table4[[#This Row],[PO]],Table1[PO],Table1[الإستشاري],0)</f>
        <v>دورش</v>
      </c>
      <c r="L37" s="1052" t="str">
        <f>_xlfn.XLOOKUP(Table4[[#This Row],[PO]],Table1[PO],Table1[تصنيف المشروع],0)</f>
        <v>Water 1</v>
      </c>
      <c r="M37" s="1052" t="s">
        <v>339</v>
      </c>
      <c r="N37" s="1054">
        <f>_xlfn.XLOOKUP(Table4[[#This Row],[PO]],Table1[PO],Table1[مدة التوقف عن العمل بالشهور],0)</f>
        <v>0</v>
      </c>
      <c r="O37" s="1052" t="str">
        <f>_xlfn.XLOOKUP(E37,Table1[PO],Table1[حالة المشروع],0)</f>
        <v>متقدم</v>
      </c>
      <c r="P37" s="1055">
        <f>_xlfn.XLOOKUP(E37,Table1[PO],Table1[بداية المشروع التعاقدية],0)</f>
        <v>45447</v>
      </c>
      <c r="Q37" s="1055">
        <f>_xlfn.XLOOKUP(E37,Table1[PO],Table1[نهاية المشروع المعدلة PMO LIVE],0)</f>
        <v>46936</v>
      </c>
      <c r="R37" s="1056">
        <f>_xlfn.XLOOKUP(Table4[[#This Row],[PO]],Table1[PO],Table1[قيمة المشروع بالضريبة],0)/1000000</f>
        <v>24.830133</v>
      </c>
      <c r="S37" s="1056">
        <f>Table4[[#This Row],[قيمة المشروع بالضريبة]]*Table4[[#This Row],[المنفذ % التراكمي]]</f>
        <v>7.1485952906999994</v>
      </c>
      <c r="T37" s="1056">
        <f>Table4[[#This Row],[قيمة المشروع بالضريبة]]*Table4[[#This Row],[المخطط % التراكمي]]</f>
        <v>5.1994298502000005</v>
      </c>
      <c r="U37" s="1056">
        <v>-100378.19304347876</v>
      </c>
      <c r="V37" s="1056">
        <v>2935175.8200000012</v>
      </c>
      <c r="W37" s="1057">
        <v>3</v>
      </c>
      <c r="X37" s="1056">
        <v>4033375.8099999996</v>
      </c>
      <c r="Y37" s="1057">
        <v>13</v>
      </c>
      <c r="Z37" s="1056">
        <v>6968551.6300000008</v>
      </c>
      <c r="AA37" s="1057">
        <v>16</v>
      </c>
      <c r="AB37" s="1058">
        <f>_xlfn.XLOOKUP(Table4[[#This Row],[PO]],Table1[PO],Table1[نسبة الإيقاف%],0)</f>
        <v>0</v>
      </c>
      <c r="AC37" s="1058">
        <f>_xlfn.XLOOKUP(Table4[[#This Row],[PO]],Table1[PO],Table1[المنفذ % - الإسبوع السابق],0)</f>
        <v>0.28670000000000001</v>
      </c>
      <c r="AD37" s="1058" t="str">
        <f>_xlfn.XLOOKUP(Table4[[#This Row],[PO]],Table1[PO],Table1[موقف تقديم الخطة التصحيحية],0)</f>
        <v>➖</v>
      </c>
      <c r="AE37" s="1104">
        <f>_xlfn.XLOOKUP(E37,Table1[PO],Table1[المخطط % التراكمي],0)</f>
        <v>0.2094</v>
      </c>
      <c r="AF37" s="1104">
        <f>_xlfn.XLOOKUP(E37,Table1[PO],Table1[المنفذ % التراكمي],0)</f>
        <v>0.28789999999999999</v>
      </c>
      <c r="AG37" s="1058">
        <f t="shared" si="1"/>
        <v>7.8499999999999986E-2</v>
      </c>
      <c r="AH37" s="1076">
        <f>_xlfn.XLOOKUP(E37,Table1[PO],Table1[تاريخ دخول المشروع التعثر بالمدة المنقضية],0)</f>
        <v>47308.25</v>
      </c>
      <c r="AI37" s="1100">
        <v>46662</v>
      </c>
      <c r="AJ37" s="1080">
        <v>46767</v>
      </c>
      <c r="AK37" s="1100" t="s">
        <v>666</v>
      </c>
      <c r="AL37" s="1080" t="s">
        <v>667</v>
      </c>
      <c r="AM37" s="1058">
        <f>_xlfn.XLOOKUP(Table4[[#This Row],[PO]],Table1[PO],Table1[نسبة المخطط التراكمي حتى 31 أكتوبر 2026],0)</f>
        <v>0.21490891150280991</v>
      </c>
      <c r="AN37" s="1058">
        <f>_xlfn.XLOOKUP(Table4[[#This Row],[PO]],Table1[PO],Table1[نسبة الانجاز التراكمي المطلوب للإنتظام],0)</f>
        <v>0.11590891150280991</v>
      </c>
      <c r="AO37" s="1060">
        <f>_xlfn.XLOOKUP(Table4[[#This Row],[PO]],Table1[PO],Table1[النسبة المطلوب زيادتها في أكتوبر 2026 للإنتظام],0)</f>
        <v>0</v>
      </c>
      <c r="AP37" s="1058">
        <f>_xlfn.XLOOKUP(Table4[[#This Row],[PO]],Table1[PO],Table1[نسبة الانجاز التراكمي المطلوب لتجنب التعثر],0)</f>
        <v>0</v>
      </c>
      <c r="AQ37" s="1061">
        <f>_xlfn.XLOOKUP(Table4[[#This Row],[PO]],Table1[PO],Table1[النسبة المطلوب زيادتها في أكتوبر 2026 لتجنب / الخروج من التعثر],0)</f>
        <v>0</v>
      </c>
      <c r="AR37" s="1058">
        <f>_xlfn.XLOOKUP(E37,Table1[PO],Table1[نسبة المدة المنقضية %],0)</f>
        <v>0.57958361316319673</v>
      </c>
      <c r="AS37" s="1058">
        <f>Table4[[#This Row],[المخطط % التراكمي]]-Table4[[#This Row],[نسبة المدة المنقضية %]]</f>
        <v>-0.3701836131631967</v>
      </c>
      <c r="AT37" s="1085" t="s">
        <v>517</v>
      </c>
      <c r="AU37" s="1085" t="s">
        <v>1039</v>
      </c>
      <c r="AV37" s="1095" t="s">
        <v>741</v>
      </c>
      <c r="AW37" s="1089" t="s">
        <v>958</v>
      </c>
      <c r="AX37" s="1065" t="s">
        <v>742</v>
      </c>
      <c r="AY37" s="1090"/>
      <c r="AZ37" s="1092" t="s">
        <v>990</v>
      </c>
      <c r="BA37" s="496"/>
      <c r="BB37" s="667" t="s">
        <v>742</v>
      </c>
      <c r="BC37" s="845" t="s">
        <v>786</v>
      </c>
      <c r="BE37" s="667" t="s">
        <v>742</v>
      </c>
      <c r="BF37" s="845" t="s">
        <v>831</v>
      </c>
      <c r="BG37" s="667" t="s">
        <v>742</v>
      </c>
      <c r="BH37" s="845" t="s">
        <v>885</v>
      </c>
      <c r="BI37" s="974"/>
      <c r="BJ37" s="1002"/>
      <c r="BK37" s="974"/>
    </row>
    <row r="38" spans="1:63" s="54" customFormat="1" ht="209.4" customHeight="1">
      <c r="A38" s="1030">
        <f>SUBTOTAL(3,$E$3:E38)</f>
        <v>36</v>
      </c>
      <c r="B38" s="1031" t="s">
        <v>283</v>
      </c>
      <c r="C38" s="1031" t="s">
        <v>198</v>
      </c>
      <c r="D38" s="1031">
        <v>1</v>
      </c>
      <c r="E38" s="1031">
        <v>901240075</v>
      </c>
      <c r="F38" s="1032" t="str">
        <f>_xlfn.XLOOKUP(Table4[[#This Row],[PO]],Table1[PO],Table1[مدير البرنامج],0)</f>
        <v>أحمد المطيري</v>
      </c>
      <c r="G38" s="1032" t="str">
        <f>_xlfn.XLOOKUP(Table4[[#This Row],[PO]],Table1[PO],Table1[مدير المشروع],0)</f>
        <v>محمود المختار</v>
      </c>
      <c r="H38" s="1032" t="str">
        <f>_xlfn.XLOOKUP(Table4[[#This Row],[PO]],Table1[PO],Table1[اسم المشروع],0)</f>
        <v xml:space="preserve">استكمال تنفيذ خطوط وشبكات المياه بأحياء شرق المدينة المنورة والعاقول </v>
      </c>
      <c r="I38" s="1032" t="s">
        <v>29</v>
      </c>
      <c r="J38" s="1032" t="s">
        <v>384</v>
      </c>
      <c r="K38" s="1032" t="str">
        <f>_xlfn.XLOOKUP(Table4[[#This Row],[PO]],Table1[PO],Table1[الإستشاري],0)</f>
        <v>فيوتشر</v>
      </c>
      <c r="L38" s="1031" t="str">
        <f>_xlfn.XLOOKUP(Table4[[#This Row],[PO]],Table1[PO],Table1[تصنيف المشروع],0)</f>
        <v>Water 1</v>
      </c>
      <c r="M38" s="1031" t="s">
        <v>339</v>
      </c>
      <c r="N38" s="1034">
        <f>_xlfn.XLOOKUP(Table4[[#This Row],[PO]],Table1[PO],Table1[مدة التوقف عن العمل بالشهور],0)</f>
        <v>5</v>
      </c>
      <c r="O38" s="1105" t="str">
        <f>_xlfn.XLOOKUP(E38,Table1[PO],Table1[حالة المشروع],0)</f>
        <v>متعثر</v>
      </c>
      <c r="P38" s="1035">
        <f>_xlfn.XLOOKUP(E38,Table1[PO],Table1[بداية المشروع التعاقدية],0)</f>
        <v>45468</v>
      </c>
      <c r="Q38" s="1035">
        <f>_xlfn.XLOOKUP(E38,Table1[PO],Table1[نهاية المشروع المعدلة PMO LIVE],0)</f>
        <v>46480</v>
      </c>
      <c r="R38" s="1036">
        <f>_xlfn.XLOOKUP(Table4[[#This Row],[PO]],Table1[PO],Table1[قيمة المشروع بالضريبة],0)/1000000</f>
        <v>44.879296420000003</v>
      </c>
      <c r="S38" s="1036">
        <f>Table4[[#This Row],[قيمة المشروع بالضريبة]]*Table4[[#This Row],[المنفذ % التراكمي]]</f>
        <v>5.9240671274400007</v>
      </c>
      <c r="T38" s="1036">
        <f>Table4[[#This Row],[قيمة المشروع بالضريبة]]*Table4[[#This Row],[المخطط % التراكمي]]</f>
        <v>20.527790182507999</v>
      </c>
      <c r="U38" s="1036">
        <v>564853.69371304289</v>
      </c>
      <c r="V38" s="1036">
        <v>0</v>
      </c>
      <c r="W38" s="1037">
        <v>0</v>
      </c>
      <c r="X38" s="1036">
        <v>5274485.38</v>
      </c>
      <c r="Y38" s="1037">
        <v>14</v>
      </c>
      <c r="Z38" s="1036">
        <v>5274485.38</v>
      </c>
      <c r="AA38" s="1037">
        <v>14</v>
      </c>
      <c r="AB38" s="1038">
        <f>_xlfn.XLOOKUP(Table4[[#This Row],[PO]],Table1[PO],Table1[نسبة الإيقاف%],0)</f>
        <v>0.22550000000000001</v>
      </c>
      <c r="AC38" s="1038">
        <f>_xlfn.XLOOKUP(Table4[[#This Row],[PO]],Table1[PO],Table1[المنفذ % - الإسبوع السابق],0)</f>
        <v>0.13200000000000001</v>
      </c>
      <c r="AD38" s="1038" t="str">
        <f>_xlfn.XLOOKUP(Table4[[#This Row],[PO]],Table1[PO],Table1[موقف تقديم الخطة التصحيحية],0)</f>
        <v>❌</v>
      </c>
      <c r="AE38" s="1106">
        <f>_xlfn.XLOOKUP(E38,Table1[PO],Table1[المخطط % التراكمي],0)</f>
        <v>0.45739999999999997</v>
      </c>
      <c r="AF38" s="1106">
        <f>_xlfn.XLOOKUP(E38,Table1[PO],Table1[المنفذ % التراكمي],0)</f>
        <v>0.13200000000000001</v>
      </c>
      <c r="AG38" s="1038">
        <f t="shared" si="1"/>
        <v>-0.32539999999999997</v>
      </c>
      <c r="AH38" s="1040">
        <f>_xlfn.XLOOKUP(E38,Table1[PO],Table1[تاريخ دخول المشروع التعثر بالمدة المنقضية],0)</f>
        <v>46733</v>
      </c>
      <c r="AI38" s="1100" t="s">
        <v>85</v>
      </c>
      <c r="AJ38" s="1080" t="s">
        <v>85</v>
      </c>
      <c r="AK38" s="1100" t="s">
        <v>85</v>
      </c>
      <c r="AL38" s="1080" t="s">
        <v>85</v>
      </c>
      <c r="AM38" s="1043">
        <f>_xlfn.XLOOKUP(Table4[[#This Row],[PO]],Table1[PO],Table1[نسبة المخطط التراكمي حتى 31 أكتوبر 2026],0)</f>
        <v>0.49792576095422014</v>
      </c>
      <c r="AN38" s="1043">
        <f>_xlfn.XLOOKUP(Table4[[#This Row],[PO]],Table1[PO],Table1[نسبة الانجاز التراكمي المطلوب للإنتظام],0)</f>
        <v>0.39892576095422017</v>
      </c>
      <c r="AO38" s="1044">
        <f>_xlfn.XLOOKUP(Table4[[#This Row],[PO]],Table1[PO],Table1[النسبة المطلوب زيادتها في أكتوبر 2026 للإنتظام],0)</f>
        <v>0.26692576095422016</v>
      </c>
      <c r="AP38" s="1043">
        <f>_xlfn.XLOOKUP(Table4[[#This Row],[PO]],Table1[PO],Table1[نسبة الانجاز التراكمي المطلوب لتجنب التعثر],0)</f>
        <v>0.24892576095422014</v>
      </c>
      <c r="AQ38" s="1081">
        <f>_xlfn.XLOOKUP(Table4[[#This Row],[PO]],Table1[PO],Table1[النسبة المطلوب زيادتها في أكتوبر 2026 لتجنب / الخروج من التعثر],0)</f>
        <v>0.11692576095422014</v>
      </c>
      <c r="AR38" s="1043">
        <f>_xlfn.XLOOKUP(E38,Table1[PO],Table1[نسبة المدة المنقضية %],0)</f>
        <v>0.83201581027667981</v>
      </c>
      <c r="AS38" s="1043">
        <f>Table4[[#This Row],[المخطط % التراكمي]]-Table4[[#This Row],[نسبة المدة المنقضية %]]</f>
        <v>-0.37461581027667984</v>
      </c>
      <c r="AT38" s="1043" t="s">
        <v>517</v>
      </c>
      <c r="AU38" s="1043" t="s">
        <v>1040</v>
      </c>
      <c r="AV38" s="1099" t="s">
        <v>807</v>
      </c>
      <c r="AW38" s="1047" t="s">
        <v>908</v>
      </c>
      <c r="AX38" s="1074" t="s">
        <v>815</v>
      </c>
      <c r="AY38" s="1049"/>
      <c r="AZ38" s="1082" t="s">
        <v>1025</v>
      </c>
      <c r="BA38" s="496"/>
      <c r="BB38" s="666" t="s">
        <v>815</v>
      </c>
      <c r="BC38" s="843" t="s">
        <v>787</v>
      </c>
      <c r="BE38" s="666" t="s">
        <v>815</v>
      </c>
      <c r="BF38" s="843" t="s">
        <v>867</v>
      </c>
      <c r="BG38" s="666" t="s">
        <v>815</v>
      </c>
      <c r="BH38" s="843" t="s">
        <v>916</v>
      </c>
      <c r="BI38" s="974"/>
      <c r="BJ38" s="1002"/>
      <c r="BK38" s="974"/>
    </row>
    <row r="39" spans="1:63" s="57" customFormat="1" ht="99.6" customHeight="1">
      <c r="A39" s="1051">
        <f>SUBTOTAL(3,$E$3:E39)</f>
        <v>37</v>
      </c>
      <c r="B39" s="1052" t="s">
        <v>302</v>
      </c>
      <c r="C39" s="1052" t="s">
        <v>220</v>
      </c>
      <c r="D39" s="1052"/>
      <c r="E39" s="1052">
        <v>901240072</v>
      </c>
      <c r="F39" s="1053" t="str">
        <f>_xlfn.XLOOKUP(Table4[[#This Row],[PO]],Table1[PO],Table1[مدير البرنامج],0)</f>
        <v>عادل الحيسوني</v>
      </c>
      <c r="G39" s="1053" t="str">
        <f>_xlfn.XLOOKUP(Table4[[#This Row],[PO]],Table1[PO],Table1[مدير المشروع],0)</f>
        <v xml:space="preserve">حسن عزي </v>
      </c>
      <c r="H39" s="1053" t="str">
        <f>_xlfn.XLOOKUP(Table4[[#This Row],[PO]],Table1[PO],Table1[اسم المشروع],0)</f>
        <v xml:space="preserve">تنفيذ شبكات صرف صحي متفرقة بالمدينة المنورة ( الجزء الاول ) </v>
      </c>
      <c r="I39" s="1053" t="s">
        <v>10</v>
      </c>
      <c r="J39" s="1053" t="s">
        <v>384</v>
      </c>
      <c r="K39" s="1053" t="str">
        <f>_xlfn.XLOOKUP(Table4[[#This Row],[PO]],Table1[PO],Table1[الإستشاري],0)</f>
        <v>فيوتشر</v>
      </c>
      <c r="L39" s="1052" t="str">
        <f>_xlfn.XLOOKUP(Table4[[#This Row],[PO]],Table1[PO],Table1[تصنيف المشروع],0)</f>
        <v>WW</v>
      </c>
      <c r="M39" s="1052" t="s">
        <v>338</v>
      </c>
      <c r="N39" s="1054">
        <f>_xlfn.XLOOKUP(Table4[[#This Row],[PO]],Table1[PO],Table1[مدة التوقف عن العمل بالشهور],0)</f>
        <v>0</v>
      </c>
      <c r="O39" s="1101" t="str">
        <f>_xlfn.XLOOKUP(E39,Table1[PO],Table1[حالة المشروع],0)</f>
        <v>متقدم</v>
      </c>
      <c r="P39" s="1055">
        <f>_xlfn.XLOOKUP(E39,Table1[PO],Table1[بداية المشروع التعاقدية],0)</f>
        <v>45565</v>
      </c>
      <c r="Q39" s="1055">
        <f>_xlfn.XLOOKUP(E39,Table1[PO],Table1[نهاية المشروع المعدلة PMO LIVE],0)</f>
        <v>46685</v>
      </c>
      <c r="R39" s="1056">
        <f>_xlfn.XLOOKUP(Table4[[#This Row],[PO]],Table1[PO],Table1[قيمة المشروع بالضريبة],0)/1000000</f>
        <v>50.216360000000002</v>
      </c>
      <c r="S39" s="1056">
        <f>Table4[[#This Row],[قيمة المشروع بالضريبة]]*Table4[[#This Row],[المنفذ % التراكمي]]</f>
        <v>16.270100640000003</v>
      </c>
      <c r="T39" s="1056">
        <f>Table4[[#This Row],[قيمة المشروع بالضريبة]]*Table4[[#This Row],[المخطط % التراكمي]]</f>
        <v>12.990972332</v>
      </c>
      <c r="U39" s="1056">
        <v>658710.13913043402</v>
      </c>
      <c r="V39" s="1056">
        <v>2923596.5999999978</v>
      </c>
      <c r="W39" s="1057">
        <v>2</v>
      </c>
      <c r="X39" s="1056">
        <v>11383794.740000002</v>
      </c>
      <c r="Y39" s="1057">
        <v>19</v>
      </c>
      <c r="Z39" s="1056">
        <v>14307391.34</v>
      </c>
      <c r="AA39" s="1057">
        <v>21</v>
      </c>
      <c r="AB39" s="1058">
        <f>_xlfn.XLOOKUP(Table4[[#This Row],[PO]],Table1[PO],Table1[نسبة الإيقاف%],0)</f>
        <v>0</v>
      </c>
      <c r="AC39" s="1058">
        <f>_xlfn.XLOOKUP(Table4[[#This Row],[PO]],Table1[PO],Table1[المنفذ % - الإسبوع السابق],0)</f>
        <v>0.32100000000000001</v>
      </c>
      <c r="AD39" s="1058" t="str">
        <f>_xlfn.XLOOKUP(Table4[[#This Row],[PO]],Table1[PO],Table1[موقف تقديم الخطة التصحيحية],0)</f>
        <v>➖</v>
      </c>
      <c r="AE39" s="1059">
        <f>_xlfn.XLOOKUP(E39,Table1[PO],Table1[المخطط % التراكمي],0)</f>
        <v>0.25869999999999999</v>
      </c>
      <c r="AF39" s="1059">
        <f>_xlfn.XLOOKUP(E39,Table1[PO],Table1[المنفذ % التراكمي],0)</f>
        <v>0.32400000000000001</v>
      </c>
      <c r="AG39" s="1058">
        <f t="shared" si="1"/>
        <v>6.5300000000000025E-2</v>
      </c>
      <c r="AH39" s="1076">
        <f>_xlfn.XLOOKUP(E39,Table1[PO],Table1[تاريخ دخول المشروع التعثر بالمدة المنقضية],0)</f>
        <v>46965</v>
      </c>
      <c r="AI39" s="1100">
        <v>46487</v>
      </c>
      <c r="AJ39" s="1080">
        <v>46519</v>
      </c>
      <c r="AK39" s="1100">
        <v>46573</v>
      </c>
      <c r="AL39" s="1080">
        <v>46670</v>
      </c>
      <c r="AM39" s="1058">
        <f>_xlfn.XLOOKUP(Table4[[#This Row],[PO]],Table1[PO],Table1[نسبة المخطط التراكمي حتى 31 أكتوبر 2026],0)</f>
        <v>0.26230913379623688</v>
      </c>
      <c r="AN39" s="1058">
        <f>_xlfn.XLOOKUP(Table4[[#This Row],[PO]],Table1[PO],Table1[نسبة الانجاز التراكمي المطلوب للإنتظام],0)</f>
        <v>0.16330913379623688</v>
      </c>
      <c r="AO39" s="1060">
        <f>_xlfn.XLOOKUP(Table4[[#This Row],[PO]],Table1[PO],Table1[النسبة المطلوب زيادتها في أكتوبر 2026 للإنتظام],0)</f>
        <v>0</v>
      </c>
      <c r="AP39" s="1058">
        <f>_xlfn.XLOOKUP(Table4[[#This Row],[PO]],Table1[PO],Table1[نسبة الانجاز التراكمي المطلوب لتجنب التعثر],0)</f>
        <v>1.3309133796236883E-2</v>
      </c>
      <c r="AQ39" s="1061">
        <f>_xlfn.XLOOKUP(Table4[[#This Row],[PO]],Table1[PO],Table1[النسبة المطلوب زيادتها في أكتوبر 2026 لتجنب / الخروج من التعثر],0)</f>
        <v>0</v>
      </c>
      <c r="AR39" s="1058">
        <f>_xlfn.XLOOKUP(E39,Table1[PO],Table1[نسبة المدة المنقضية %],0)</f>
        <v>0.6651785714285714</v>
      </c>
      <c r="AS39" s="1058">
        <f>Table4[[#This Row],[المخطط % التراكمي]]-Table4[[#This Row],[نسبة المدة المنقضية %]]</f>
        <v>-0.40647857142857141</v>
      </c>
      <c r="AT39" s="1085" t="s">
        <v>517</v>
      </c>
      <c r="AU39" s="1085" t="s">
        <v>1034</v>
      </c>
      <c r="AV39" s="1095" t="s">
        <v>742</v>
      </c>
      <c r="AW39" s="1065" t="s">
        <v>647</v>
      </c>
      <c r="AX39" s="1065" t="s">
        <v>768</v>
      </c>
      <c r="AY39" s="1090"/>
      <c r="AZ39" s="1092" t="s">
        <v>991</v>
      </c>
      <c r="BA39" s="496"/>
      <c r="BB39" s="667" t="s">
        <v>768</v>
      </c>
      <c r="BC39" s="845" t="s">
        <v>788</v>
      </c>
      <c r="BE39" s="667" t="s">
        <v>768</v>
      </c>
      <c r="BF39" s="845" t="s">
        <v>832</v>
      </c>
      <c r="BG39" s="667" t="s">
        <v>768</v>
      </c>
      <c r="BH39" s="845" t="s">
        <v>886</v>
      </c>
      <c r="BI39" s="974"/>
      <c r="BJ39" s="1002"/>
      <c r="BK39" s="974"/>
    </row>
    <row r="40" spans="1:63" ht="120">
      <c r="A40" s="1030">
        <f>SUBTOTAL(3,$E$3:E40)</f>
        <v>38</v>
      </c>
      <c r="B40" s="1031" t="s">
        <v>304</v>
      </c>
      <c r="C40" s="1031" t="s">
        <v>225</v>
      </c>
      <c r="D40" s="1031"/>
      <c r="E40" s="1031">
        <v>901240021</v>
      </c>
      <c r="F40" s="1032" t="str">
        <f>_xlfn.XLOOKUP(Table4[[#This Row],[PO]],Table1[PO],Table1[مدير البرنامج],0)</f>
        <v>أحمد المطيري</v>
      </c>
      <c r="G40" s="1032" t="str">
        <f>_xlfn.XLOOKUP(Table4[[#This Row],[PO]],Table1[PO],Table1[مدير المشروع],0)</f>
        <v>رائد الحجيلي</v>
      </c>
      <c r="H40" s="1032" t="str">
        <f>_xlfn.XLOOKUP(Table4[[#This Row],[PO]],Table1[PO],Table1[اسم المشروع],0)</f>
        <v>استكمال تنفيذ الخطوط الرئيسية والشبكات الفرعية لمخططات شوران (المرحلة الأولى)</v>
      </c>
      <c r="I40" s="1032" t="s">
        <v>30</v>
      </c>
      <c r="J40" s="1032" t="s">
        <v>384</v>
      </c>
      <c r="K40" s="1032" t="str">
        <f>_xlfn.XLOOKUP(Table4[[#This Row],[PO]],Table1[PO],Table1[الإستشاري],0)</f>
        <v>فيوتشر</v>
      </c>
      <c r="L40" s="1031" t="str">
        <f>_xlfn.XLOOKUP(Table4[[#This Row],[PO]],Table1[PO],Table1[تصنيف المشروع],0)</f>
        <v>Water 1</v>
      </c>
      <c r="M40" s="1031" t="s">
        <v>339</v>
      </c>
      <c r="N40" s="1034">
        <f>_xlfn.XLOOKUP(Table4[[#This Row],[PO]],Table1[PO],Table1[مدة التوقف عن العمل بالشهور],0)</f>
        <v>0</v>
      </c>
      <c r="O40" s="1031" t="str">
        <f>_xlfn.XLOOKUP(E40,Table1[PO],Table1[حالة المشروع],0)</f>
        <v>متقدم</v>
      </c>
      <c r="P40" s="1035">
        <f>_xlfn.XLOOKUP(E40,Table1[PO],Table1[بداية المشروع التعاقدية],0)</f>
        <v>45404</v>
      </c>
      <c r="Q40" s="1035">
        <f>_xlfn.XLOOKUP(E40,Table1[PO],Table1[نهاية المشروع المعدلة PMO LIVE],0)</f>
        <v>47014</v>
      </c>
      <c r="R40" s="1036">
        <f>_xlfn.XLOOKUP(Table4[[#This Row],[PO]],Table1[PO],Table1[قيمة المشروع بالضريبة],0)/1000000</f>
        <v>111.7749584</v>
      </c>
      <c r="S40" s="1036">
        <f>Table4[[#This Row],[قيمة المشروع بالضريبة]]*Table4[[#This Row],[المنفذ % التراكمي]]</f>
        <v>64.661813434400003</v>
      </c>
      <c r="T40" s="1036">
        <f>Table4[[#This Row],[قيمة المشروع بالضريبة]]*Table4[[#This Row],[المخطط % التراكمي]]</f>
        <v>56.859921338080007</v>
      </c>
      <c r="U40" s="1036">
        <v>3980609.2233043462</v>
      </c>
      <c r="V40" s="1036">
        <v>3143374.6900000051</v>
      </c>
      <c r="W40" s="1037">
        <v>2</v>
      </c>
      <c r="X40" s="1036">
        <v>55375888.719999991</v>
      </c>
      <c r="Y40" s="1037">
        <v>24</v>
      </c>
      <c r="Z40" s="1036">
        <v>58519263.409999996</v>
      </c>
      <c r="AA40" s="1037">
        <v>26</v>
      </c>
      <c r="AB40" s="1038">
        <f>_xlfn.XLOOKUP(Table4[[#This Row],[PO]],Table1[PO],Table1[نسبة الإيقاف%],0)</f>
        <v>0</v>
      </c>
      <c r="AC40" s="1038">
        <f>_xlfn.XLOOKUP(Table4[[#This Row],[PO]],Table1[PO],Table1[المنفذ % - الإسبوع السابق],0)</f>
        <v>0.57809999999999995</v>
      </c>
      <c r="AD40" s="1038" t="str">
        <f>_xlfn.XLOOKUP(Table4[[#This Row],[PO]],Table1[PO],Table1[موقف تقديم الخطة التصحيحية],0)</f>
        <v>➖</v>
      </c>
      <c r="AE40" s="1039">
        <f>_xlfn.XLOOKUP(E40,Table1[PO],Table1[المخطط % التراكمي],0)</f>
        <v>0.50870000000000004</v>
      </c>
      <c r="AF40" s="1039">
        <f>_xlfn.XLOOKUP(E40,Table1[PO],Table1[المنفذ % التراكمي],0)</f>
        <v>0.57850000000000001</v>
      </c>
      <c r="AG40" s="1038">
        <f t="shared" si="1"/>
        <v>6.9799999999999973E-2</v>
      </c>
      <c r="AH40" s="1068">
        <f>_xlfn.XLOOKUP(E40,Table1[PO],Table1[تاريخ دخول المشروع التعثر بالمدة المنقضية],0)</f>
        <v>47416.5</v>
      </c>
      <c r="AI40" s="1041">
        <v>46662</v>
      </c>
      <c r="AJ40" s="1080">
        <v>46803</v>
      </c>
      <c r="AK40" s="1041">
        <v>46919</v>
      </c>
      <c r="AL40" s="1080" t="s">
        <v>667</v>
      </c>
      <c r="AM40" s="1038">
        <f>_xlfn.XLOOKUP(Table4[[#This Row],[PO]],Table1[PO],Table1[نسبة المخطط التراكمي حتى 31 أكتوبر 2026],0)</f>
        <v>0.51146309284155378</v>
      </c>
      <c r="AN40" s="1038">
        <f>_xlfn.XLOOKUP(Table4[[#This Row],[PO]],Table1[PO],Table1[نسبة الانجاز التراكمي المطلوب للإنتظام],0)</f>
        <v>0.4124630928415538</v>
      </c>
      <c r="AO40" s="1069">
        <f>_xlfn.XLOOKUP(Table4[[#This Row],[PO]],Table1[PO],Table1[النسبة المطلوب زيادتها في أكتوبر 2026 للإنتظام],0)</f>
        <v>0</v>
      </c>
      <c r="AP40" s="1038">
        <f>_xlfn.XLOOKUP(Table4[[#This Row],[PO]],Table1[PO],Table1[نسبة الانجاز التراكمي المطلوب لتجنب التعثر],0)</f>
        <v>0.26246309284155378</v>
      </c>
      <c r="AQ40" s="1070">
        <f>_xlfn.XLOOKUP(Table4[[#This Row],[PO]],Table1[PO],Table1[النسبة المطلوب زيادتها في أكتوبر 2026 لتجنب / الخروج من التعثر],0)</f>
        <v>0</v>
      </c>
      <c r="AR40" s="1038">
        <f>_xlfn.XLOOKUP(E40,Table1[PO],Table1[نسبة المدة المنقضية %],0)</f>
        <v>0.5627329192546584</v>
      </c>
      <c r="AS40" s="1038">
        <f>Table4[[#This Row],[المخطط % التراكمي]]-Table4[[#This Row],[نسبة المدة المنقضية %]]</f>
        <v>-5.4032919254658363E-2</v>
      </c>
      <c r="AT40" s="1043" t="s">
        <v>517</v>
      </c>
      <c r="AU40" s="1043" t="s">
        <v>633</v>
      </c>
      <c r="AV40" s="1099" t="s">
        <v>633</v>
      </c>
      <c r="AW40" s="1047" t="s">
        <v>1005</v>
      </c>
      <c r="AX40" s="1074" t="s">
        <v>633</v>
      </c>
      <c r="AY40" s="1049"/>
      <c r="AZ40" s="1050" t="s">
        <v>633</v>
      </c>
      <c r="BA40" s="496"/>
      <c r="BB40" s="666" t="s">
        <v>808</v>
      </c>
      <c r="BC40" s="840" t="s">
        <v>633</v>
      </c>
      <c r="BE40" s="666" t="s">
        <v>808</v>
      </c>
      <c r="BF40" s="840" t="s">
        <v>633</v>
      </c>
      <c r="BG40" s="666" t="s">
        <v>633</v>
      </c>
      <c r="BH40" s="840" t="s">
        <v>633</v>
      </c>
      <c r="BI40" s="974"/>
      <c r="BJ40" s="1002"/>
      <c r="BK40" s="974"/>
    </row>
    <row r="41" spans="1:63" s="55" customFormat="1" ht="45">
      <c r="A41" s="1051">
        <f>SUBTOTAL(3,$E$3:E41)</f>
        <v>39</v>
      </c>
      <c r="B41" s="1052" t="s">
        <v>303</v>
      </c>
      <c r="C41" s="1052" t="s">
        <v>224</v>
      </c>
      <c r="D41" s="1052"/>
      <c r="E41" s="1052">
        <v>901240018</v>
      </c>
      <c r="F41" s="1053" t="str">
        <f>_xlfn.XLOOKUP(Table4[[#This Row],[PO]],Table1[PO],Table1[مدير البرنامج],0)</f>
        <v xml:space="preserve">عبدالله المغذوي </v>
      </c>
      <c r="G41" s="1053" t="str">
        <f>_xlfn.XLOOKUP(Table4[[#This Row],[PO]],Table1[PO],Table1[مدير المشروع],0)</f>
        <v>عبدالعزيز الردادي</v>
      </c>
      <c r="H41" s="1053" t="str">
        <f>_xlfn.XLOOKUP(Table4[[#This Row],[PO]],Table1[PO],Table1[اسم المشروع],0)</f>
        <v xml:space="preserve">تنفيذ شبكات وخطوط المياه بمنطقة جنوب المدينة المنورة </v>
      </c>
      <c r="I41" s="1053" t="s">
        <v>28</v>
      </c>
      <c r="J41" s="1053" t="s">
        <v>384</v>
      </c>
      <c r="K41" s="1053" t="str">
        <f>_xlfn.XLOOKUP(Table4[[#This Row],[PO]],Table1[PO],Table1[الإستشاري],0)</f>
        <v>فيوتشر</v>
      </c>
      <c r="L41" s="1052" t="str">
        <f>_xlfn.XLOOKUP(Table4[[#This Row],[PO]],Table1[PO],Table1[تصنيف المشروع],0)</f>
        <v>Water 2</v>
      </c>
      <c r="M41" s="1052" t="s">
        <v>339</v>
      </c>
      <c r="N41" s="1054">
        <f>_xlfn.XLOOKUP(Table4[[#This Row],[PO]],Table1[PO],Table1[مدة التوقف عن العمل بالشهور],0)</f>
        <v>0</v>
      </c>
      <c r="O41" s="1101" t="str">
        <f>_xlfn.XLOOKUP(E41,Table1[PO],Table1[حالة المشروع],0)</f>
        <v>منتظم</v>
      </c>
      <c r="P41" s="1055">
        <f>_xlfn.XLOOKUP(E41,Table1[PO],Table1[بداية المشروع التعاقدية],0)</f>
        <v>45431</v>
      </c>
      <c r="Q41" s="1055">
        <f>_xlfn.XLOOKUP(E41,Table1[PO],Table1[نهاية المشروع المعدلة PMO LIVE],0)</f>
        <v>47029</v>
      </c>
      <c r="R41" s="1056">
        <f>_xlfn.XLOOKUP(Table4[[#This Row],[PO]],Table1[PO],Table1[قيمة المشروع بالضريبة],0)/1000000</f>
        <v>83.905989500000004</v>
      </c>
      <c r="S41" s="1056">
        <f>Table4[[#This Row],[قيمة المشروع بالضريبة]]*Table4[[#This Row],[المنفذ % التراكمي]]</f>
        <v>18.21599032045</v>
      </c>
      <c r="T41" s="1056">
        <f>Table4[[#This Row],[قيمة المشروع بالضريبة]]*Table4[[#This Row],[المخطط % التراكمي]]</f>
        <v>21.513495707800004</v>
      </c>
      <c r="U41" s="1056">
        <v>1066613.2739130426</v>
      </c>
      <c r="V41" s="1056">
        <v>364412.85000000149</v>
      </c>
      <c r="W41" s="1057">
        <v>1</v>
      </c>
      <c r="X41" s="1056">
        <v>16029239.679999998</v>
      </c>
      <c r="Y41" s="1057">
        <v>16</v>
      </c>
      <c r="Z41" s="1056">
        <v>16393652.529999999</v>
      </c>
      <c r="AA41" s="1057">
        <v>17</v>
      </c>
      <c r="AB41" s="1058">
        <f>_xlfn.XLOOKUP(Table4[[#This Row],[PO]],Table1[PO],Table1[نسبة الإيقاف%],0)</f>
        <v>0</v>
      </c>
      <c r="AC41" s="1058">
        <f>_xlfn.XLOOKUP(Table4[[#This Row],[PO]],Table1[PO],Table1[المنفذ % - الإسبوع السابق],0)</f>
        <v>0.215</v>
      </c>
      <c r="AD41" s="1058" t="str">
        <f>_xlfn.XLOOKUP(Table4[[#This Row],[PO]],Table1[PO],Table1[موقف تقديم الخطة التصحيحية],0)</f>
        <v>➖</v>
      </c>
      <c r="AE41" s="1059">
        <f>_xlfn.XLOOKUP(E41,Table1[PO],Table1[المخطط % التراكمي],0)</f>
        <v>0.25640000000000002</v>
      </c>
      <c r="AF41" s="1059">
        <f>_xlfn.XLOOKUP(E41,Table1[PO],Table1[المنفذ % التراكمي],0)</f>
        <v>0.21709999999999999</v>
      </c>
      <c r="AG41" s="1058">
        <f t="shared" si="1"/>
        <v>-3.9300000000000029E-2</v>
      </c>
      <c r="AH41" s="1076">
        <f>_xlfn.XLOOKUP(E41,Table1[PO],Table1[تاريخ دخول المشروع التعثر بالمدة المنقضية],0)</f>
        <v>47428.5</v>
      </c>
      <c r="AI41" s="1041">
        <v>46471</v>
      </c>
      <c r="AJ41" s="1080">
        <v>46675</v>
      </c>
      <c r="AK41" s="1041">
        <v>46492</v>
      </c>
      <c r="AL41" s="1080">
        <v>46701</v>
      </c>
      <c r="AM41" s="1058">
        <f>_xlfn.XLOOKUP(Table4[[#This Row],[PO]],Table1[PO],Table1[نسبة المخطط التراكمي حتى 31 أكتوبر 2026],0)</f>
        <v>0.25342551084348797</v>
      </c>
      <c r="AN41" s="1058">
        <f>_xlfn.XLOOKUP(Table4[[#This Row],[PO]],Table1[PO],Table1[نسبة الانجاز التراكمي المطلوب للإنتظام],0)</f>
        <v>0.15442551084348796</v>
      </c>
      <c r="AO41" s="1060">
        <f>_xlfn.XLOOKUP(Table4[[#This Row],[PO]],Table1[PO],Table1[النسبة المطلوب زيادتها في أكتوبر 2026 للإنتظام],0)</f>
        <v>0</v>
      </c>
      <c r="AP41" s="1058">
        <f>_xlfn.XLOOKUP(Table4[[#This Row],[PO]],Table1[PO],Table1[نسبة الانجاز التراكمي المطلوب لتجنب التعثر],0)</f>
        <v>4.4255108434879675E-3</v>
      </c>
      <c r="AQ41" s="1061">
        <f>_xlfn.XLOOKUP(Table4[[#This Row],[PO]],Table1[PO],Table1[النسبة المطلوب زيادتها في أكتوبر 2026 لتجنب / الخروج من التعثر],0)</f>
        <v>0</v>
      </c>
      <c r="AR41" s="1058">
        <f>_xlfn.XLOOKUP(E41,Table1[PO],Table1[نسبة المدة المنقضية %],0)</f>
        <v>0.55006257822277849</v>
      </c>
      <c r="AS41" s="1058">
        <f>Table4[[#This Row],[المخطط % التراكمي]]-Table4[[#This Row],[نسبة المدة المنقضية %]]</f>
        <v>-0.29366257822277847</v>
      </c>
      <c r="AT41" s="1085" t="s">
        <v>517</v>
      </c>
      <c r="AU41" s="1085" t="s">
        <v>633</v>
      </c>
      <c r="AV41" s="1095" t="s">
        <v>633</v>
      </c>
      <c r="AW41" s="1065" t="s">
        <v>647</v>
      </c>
      <c r="AX41" s="1065" t="s">
        <v>633</v>
      </c>
      <c r="AY41" s="1090"/>
      <c r="AZ41" s="1092" t="s">
        <v>633</v>
      </c>
      <c r="BA41" s="496"/>
      <c r="BB41" s="667" t="s">
        <v>808</v>
      </c>
      <c r="BC41" s="845" t="s">
        <v>633</v>
      </c>
      <c r="BE41" s="667" t="s">
        <v>808</v>
      </c>
      <c r="BF41" s="845" t="s">
        <v>633</v>
      </c>
      <c r="BG41" s="667" t="s">
        <v>633</v>
      </c>
      <c r="BH41" s="845" t="s">
        <v>633</v>
      </c>
      <c r="BI41" s="974"/>
      <c r="BJ41" s="1002"/>
      <c r="BK41" s="974"/>
    </row>
    <row r="42" spans="1:63" ht="87" customHeight="1">
      <c r="A42" s="1030">
        <f>SUBTOTAL(3,$E$3:E42)</f>
        <v>40</v>
      </c>
      <c r="B42" s="1031">
        <v>10245</v>
      </c>
      <c r="C42" s="1031" t="s">
        <v>210</v>
      </c>
      <c r="D42" s="1031"/>
      <c r="E42" s="1031">
        <v>901230317</v>
      </c>
      <c r="F42" s="1032" t="str">
        <f>_xlfn.XLOOKUP(Table4[[#This Row],[PO]],Table1[PO],Table1[مدير البرنامج],0)</f>
        <v>أحمد المطيري</v>
      </c>
      <c r="G42" s="1032" t="str">
        <f>_xlfn.XLOOKUP(Table4[[#This Row],[PO]],Table1[PO],Table1[مدير المشروع],0)</f>
        <v>خالد اللهيبي</v>
      </c>
      <c r="H42" s="1032" t="str">
        <f>_xlfn.XLOOKUP(Table4[[#This Row],[PO]],Table1[PO],Table1[اسم المشروع],0)</f>
        <v xml:space="preserve">تنفيذ شبكات وخطوط المياه بالصويدرة بمنطقة المدينة المنورة </v>
      </c>
      <c r="I42" s="1032" t="s">
        <v>27</v>
      </c>
      <c r="J42" s="1032" t="s">
        <v>384</v>
      </c>
      <c r="K42" s="1032" t="str">
        <f>_xlfn.XLOOKUP(Table4[[#This Row],[PO]],Table1[PO],Table1[الإستشاري],0)</f>
        <v>فيوتشر</v>
      </c>
      <c r="L42" s="1031" t="str">
        <f>_xlfn.XLOOKUP(Table4[[#This Row],[PO]],Table1[PO],Table1[تصنيف المشروع],0)</f>
        <v>Water 1</v>
      </c>
      <c r="M42" s="1031" t="s">
        <v>339</v>
      </c>
      <c r="N42" s="1034">
        <f>_xlfn.XLOOKUP(Table4[[#This Row],[PO]],Table1[PO],Table1[مدة التوقف عن العمل بالشهور],0)</f>
        <v>0</v>
      </c>
      <c r="O42" s="1031" t="str">
        <f>_xlfn.XLOOKUP(E42,Table1[PO],Table1[حالة المشروع],0)</f>
        <v>منتظم</v>
      </c>
      <c r="P42" s="1035">
        <f>_xlfn.XLOOKUP(E42,Table1[PO],Table1[بداية المشروع التعاقدية],0)</f>
        <v>45342</v>
      </c>
      <c r="Q42" s="1035">
        <f>_xlfn.XLOOKUP(E42,Table1[PO],Table1[نهاية المشروع المعدلة PMO LIVE],0)</f>
        <v>46856</v>
      </c>
      <c r="R42" s="1036">
        <f>_xlfn.XLOOKUP(Table4[[#This Row],[PO]],Table1[PO],Table1[قيمة المشروع بالضريبة],0)/1000000</f>
        <v>43.639020100000003</v>
      </c>
      <c r="S42" s="1036">
        <f>Table4[[#This Row],[قيمة المشروع بالضريبة]]*Table4[[#This Row],[المنفذ % التراكمي]]</f>
        <v>18.328388442000001</v>
      </c>
      <c r="T42" s="1036">
        <f>Table4[[#This Row],[قيمة المشروع بالضريبة]]*Table4[[#This Row],[المخطط % التراكمي]]</f>
        <v>19.332085904300001</v>
      </c>
      <c r="U42" s="1036">
        <v>942856.89626087062</v>
      </c>
      <c r="V42" s="1036">
        <v>556546.62000000291</v>
      </c>
      <c r="W42" s="1037">
        <v>2</v>
      </c>
      <c r="X42" s="1036">
        <v>16120249.129999997</v>
      </c>
      <c r="Y42" s="1037">
        <v>23</v>
      </c>
      <c r="Z42" s="1036">
        <v>16676795.75</v>
      </c>
      <c r="AA42" s="1037">
        <v>25</v>
      </c>
      <c r="AB42" s="1038">
        <f>_xlfn.XLOOKUP(Table4[[#This Row],[PO]],Table1[PO],Table1[نسبة الإيقاف%],0)</f>
        <v>0.24340000000000001</v>
      </c>
      <c r="AC42" s="1038">
        <f>_xlfn.XLOOKUP(Table4[[#This Row],[PO]],Table1[PO],Table1[المنفذ % - الإسبوع السابق],0)</f>
        <v>0.41949999999999998</v>
      </c>
      <c r="AD42" s="1038" t="str">
        <f>_xlfn.XLOOKUP(Table4[[#This Row],[PO]],Table1[PO],Table1[موقف تقديم الخطة التصحيحية],0)</f>
        <v>➖</v>
      </c>
      <c r="AE42" s="1039">
        <f>_xlfn.XLOOKUP(E42,Table1[PO],Table1[المخطط % التراكمي],0)</f>
        <v>0.443</v>
      </c>
      <c r="AF42" s="1039">
        <f>_xlfn.XLOOKUP(E42,Table1[PO],Table1[المنفذ % التراكمي],0)</f>
        <v>0.42</v>
      </c>
      <c r="AG42" s="1038">
        <f t="shared" si="1"/>
        <v>-2.300000000000002E-2</v>
      </c>
      <c r="AH42" s="1068">
        <f>_xlfn.XLOOKUP(E42,Table1[PO],Table1[تاريخ دخول المشروع التعثر بالمدة المنقضية],0)</f>
        <v>47234.5</v>
      </c>
      <c r="AI42" s="1079">
        <v>46553</v>
      </c>
      <c r="AJ42" s="1080">
        <v>46680</v>
      </c>
      <c r="AK42" s="1041">
        <v>46640</v>
      </c>
      <c r="AL42" s="1080">
        <v>46736</v>
      </c>
      <c r="AM42" s="1038">
        <f>_xlfn.XLOOKUP(Table4[[#This Row],[PO]],Table1[PO],Table1[نسبة المخطط التراكمي حتى 31 أكتوبر 2026],0)</f>
        <v>0.44851676593540341</v>
      </c>
      <c r="AN42" s="1038">
        <f>_xlfn.XLOOKUP(Table4[[#This Row],[PO]],Table1[PO],Table1[نسبة الانجاز التراكمي المطلوب للإنتظام],0)</f>
        <v>0.34951676593540337</v>
      </c>
      <c r="AO42" s="1069">
        <f>_xlfn.XLOOKUP(Table4[[#This Row],[PO]],Table1[PO],Table1[النسبة المطلوب زيادتها في أكتوبر 2026 للإنتظام],0)</f>
        <v>0</v>
      </c>
      <c r="AP42" s="1038">
        <f>_xlfn.XLOOKUP(Table4[[#This Row],[PO]],Table1[PO],Table1[نسبة الانجاز التراكمي المطلوب لتجنب التعثر],0)</f>
        <v>0.19951676593540341</v>
      </c>
      <c r="AQ42" s="1070">
        <f>_xlfn.XLOOKUP(Table4[[#This Row],[PO]],Table1[PO],Table1[النسبة المطلوب زيادتها في أكتوبر 2026 لتجنب / الخروج من التعثر],0)</f>
        <v>0</v>
      </c>
      <c r="AR42" s="1038">
        <f>_xlfn.XLOOKUP(E42,Table1[PO],Table1[نسبة المدة المنقضية %],0)</f>
        <v>0.63936591809775434</v>
      </c>
      <c r="AS42" s="1038">
        <f>Table4[[#This Row],[المخطط % التراكمي]]-Table4[[#This Row],[نسبة المدة المنقضية %]]</f>
        <v>-0.19636591809775433</v>
      </c>
      <c r="AT42" s="1043" t="s">
        <v>517</v>
      </c>
      <c r="AU42" s="1043" t="s">
        <v>1035</v>
      </c>
      <c r="AV42" s="1099" t="s">
        <v>743</v>
      </c>
      <c r="AW42" s="1047" t="s">
        <v>647</v>
      </c>
      <c r="AX42" s="1074" t="s">
        <v>743</v>
      </c>
      <c r="AY42" s="1049"/>
      <c r="AZ42" s="1094" t="s">
        <v>992</v>
      </c>
      <c r="BA42" s="496"/>
      <c r="BB42" s="666" t="s">
        <v>769</v>
      </c>
      <c r="BC42" s="846" t="s">
        <v>789</v>
      </c>
      <c r="BE42" s="666" t="s">
        <v>743</v>
      </c>
      <c r="BF42" s="846" t="s">
        <v>833</v>
      </c>
      <c r="BG42" s="666" t="s">
        <v>743</v>
      </c>
      <c r="BH42" s="846" t="s">
        <v>887</v>
      </c>
      <c r="BI42" s="974"/>
      <c r="BJ42" s="1002"/>
      <c r="BK42" s="974"/>
    </row>
    <row r="43" spans="1:63" s="55" customFormat="1" ht="60">
      <c r="A43" s="1030">
        <f>SUBTOTAL(3,$E$3:E43)</f>
        <v>41</v>
      </c>
      <c r="B43" s="1052" t="s">
        <v>286</v>
      </c>
      <c r="C43" s="1052" t="s">
        <v>226</v>
      </c>
      <c r="D43" s="1052"/>
      <c r="E43" s="1031">
        <v>901230273</v>
      </c>
      <c r="F43" s="1053" t="str">
        <f>_xlfn.XLOOKUP(Table4[[#This Row],[PO]],Table1[PO],Table1[مدير البرنامج],0)</f>
        <v>أحمد المطيري</v>
      </c>
      <c r="G43" s="1053" t="str">
        <f>_xlfn.XLOOKUP(Table4[[#This Row],[PO]],Table1[PO],Table1[مدير المشروع],0)</f>
        <v>خالد صحاف</v>
      </c>
      <c r="H43" s="1032" t="str">
        <f>_xlfn.XLOOKUP(Table4[[#This Row],[PO]],Table1[PO],Table1[اسم المشروع],0)</f>
        <v xml:space="preserve">مشروع تنفيذ خط المياه الرئيسي في الدائري الثالث شرق المدينة المنورة </v>
      </c>
      <c r="I43" s="1032" t="s">
        <v>26</v>
      </c>
      <c r="J43" s="1032" t="s">
        <v>384</v>
      </c>
      <c r="K43" s="1032" t="str">
        <f>_xlfn.XLOOKUP(Table4[[#This Row],[PO]],Table1[PO],Table1[الإستشاري],0)</f>
        <v>فيوتشر</v>
      </c>
      <c r="L43" s="1031" t="str">
        <f>_xlfn.XLOOKUP(Table4[[#This Row],[PO]],Table1[PO],Table1[تصنيف المشروع],0)</f>
        <v>Water 1</v>
      </c>
      <c r="M43" s="1031" t="s">
        <v>339</v>
      </c>
      <c r="N43" s="1034">
        <f>_xlfn.XLOOKUP(Table4[[#This Row],[PO]],Table1[PO],Table1[مدة التوقف عن العمل بالشهور],0)</f>
        <v>0</v>
      </c>
      <c r="O43" s="1031" t="str">
        <f>_xlfn.XLOOKUP(E43,Table1[PO],Table1[حالة المشروع],0)</f>
        <v>متقدم</v>
      </c>
      <c r="P43" s="1035">
        <f>_xlfn.XLOOKUP(E43,Table1[PO],Table1[بداية المشروع التعاقدية],0)</f>
        <v>45340</v>
      </c>
      <c r="Q43" s="1035">
        <f>_xlfn.XLOOKUP(E43,Table1[PO],Table1[نهاية المشروع المعدلة PMO LIVE],0)</f>
        <v>46581</v>
      </c>
      <c r="R43" s="1056">
        <f>_xlfn.XLOOKUP(Table4[[#This Row],[PO]],Table1[PO],Table1[قيمة المشروع بالضريبة],0)/1000000</f>
        <v>26.147277450000001</v>
      </c>
      <c r="S43" s="1056">
        <f>Table4[[#This Row],[قيمة المشروع بالضريبة]]*Table4[[#This Row],[المنفذ % التراكمي]]</f>
        <v>16.211312019000001</v>
      </c>
      <c r="T43" s="1056">
        <f>Table4[[#This Row],[قيمة المشروع بالضريبة]]*Table4[[#This Row],[المخطط % التراكمي]]</f>
        <v>15.664833920294999</v>
      </c>
      <c r="U43" s="1056">
        <v>1074385.2226782609</v>
      </c>
      <c r="V43" s="1056">
        <v>682510.53000000119</v>
      </c>
      <c r="W43" s="1057">
        <v>2</v>
      </c>
      <c r="X43" s="1056">
        <v>13728477.289999999</v>
      </c>
      <c r="Y43" s="1057">
        <v>25</v>
      </c>
      <c r="Z43" s="1056">
        <v>14410987.82</v>
      </c>
      <c r="AA43" s="1057">
        <v>27</v>
      </c>
      <c r="AB43" s="1058">
        <f>_xlfn.XLOOKUP(Table4[[#This Row],[PO]],Table1[PO],Table1[نسبة الإيقاف%],0)</f>
        <v>0</v>
      </c>
      <c r="AC43" s="1058">
        <f>_xlfn.XLOOKUP(Table4[[#This Row],[PO]],Table1[PO],Table1[المنفذ % - الإسبوع السابق],0)</f>
        <v>0.62</v>
      </c>
      <c r="AD43" s="1058" t="str">
        <f>_xlfn.XLOOKUP(Table4[[#This Row],[PO]],Table1[PO],Table1[موقف تقديم الخطة التصحيحية],0)</f>
        <v>➖</v>
      </c>
      <c r="AE43" s="1039">
        <f>_xlfn.XLOOKUP(E43,Table1[PO],Table1[المخطط % التراكمي],0)</f>
        <v>0.59909999999999997</v>
      </c>
      <c r="AF43" s="1039">
        <f>_xlfn.XLOOKUP(E43,Table1[PO],Table1[المنفذ % التراكمي],0)</f>
        <v>0.62</v>
      </c>
      <c r="AG43" s="1038">
        <f t="shared" si="1"/>
        <v>2.090000000000003E-2</v>
      </c>
      <c r="AH43" s="1068">
        <f>_xlfn.XLOOKUP(E43,Table1[PO],Table1[تاريخ دخول المشروع التعثر بالمدة المنقضية],0)</f>
        <v>46891.25</v>
      </c>
      <c r="AI43" s="1100">
        <v>46458</v>
      </c>
      <c r="AJ43" s="1080">
        <v>46492</v>
      </c>
      <c r="AK43" s="1100">
        <v>46482</v>
      </c>
      <c r="AL43" s="1080">
        <v>46514</v>
      </c>
      <c r="AM43" s="1058">
        <f>_xlfn.XLOOKUP(Table4[[#This Row],[PO]],Table1[PO],Table1[نسبة المخطط التراكمي حتى 31 أكتوبر 2026],0)</f>
        <v>0.60081442222042214</v>
      </c>
      <c r="AN43" s="1058">
        <f>_xlfn.XLOOKUP(Table4[[#This Row],[PO]],Table1[PO],Table1[نسبة الانجاز التراكمي المطلوب للإنتظام],0)</f>
        <v>0.50181442222042216</v>
      </c>
      <c r="AO43" s="1060">
        <f>_xlfn.XLOOKUP(Table4[[#This Row],[PO]],Table1[PO],Table1[النسبة المطلوب زيادتها في أكتوبر 2026 للإنتظام],0)</f>
        <v>0</v>
      </c>
      <c r="AP43" s="1058">
        <f>_xlfn.XLOOKUP(Table4[[#This Row],[PO]],Table1[PO],Table1[نسبة الانجاز التراكمي المطلوب لتجنب التعثر],0)</f>
        <v>0.35181442222042214</v>
      </c>
      <c r="AQ43" s="1061">
        <f>_xlfn.XLOOKUP(Table4[[#This Row],[PO]],Table1[PO],Table1[النسبة المطلوب زيادتها في أكتوبر 2026 لتجنب / الخروج من التعثر],0)</f>
        <v>0</v>
      </c>
      <c r="AR43" s="1058">
        <f>_xlfn.XLOOKUP(E43,Table1[PO],Table1[نسبة المدة المنقضية %],0)</f>
        <v>0.78162771958098309</v>
      </c>
      <c r="AS43" s="1058">
        <f>Table4[[#This Row],[المخطط % التراكمي]]-Table4[[#This Row],[نسبة المدة المنقضية %]]</f>
        <v>-0.18252771958098313</v>
      </c>
      <c r="AT43" s="1085" t="s">
        <v>517</v>
      </c>
      <c r="AU43" s="1085" t="s">
        <v>1035</v>
      </c>
      <c r="AV43" s="1095" t="s">
        <v>744</v>
      </c>
      <c r="AW43" s="1089" t="s">
        <v>968</v>
      </c>
      <c r="AX43" s="1065" t="s">
        <v>744</v>
      </c>
      <c r="AY43" s="1090"/>
      <c r="AZ43" s="1092" t="s">
        <v>895</v>
      </c>
      <c r="BA43" s="496"/>
      <c r="BB43" s="667" t="s">
        <v>769</v>
      </c>
      <c r="BC43" s="845" t="s">
        <v>745</v>
      </c>
      <c r="BE43" s="667" t="s">
        <v>744</v>
      </c>
      <c r="BF43" s="845" t="s">
        <v>847</v>
      </c>
      <c r="BG43" s="667" t="s">
        <v>744</v>
      </c>
      <c r="BH43" s="845" t="s">
        <v>895</v>
      </c>
      <c r="BI43" s="974"/>
      <c r="BJ43" s="1002"/>
      <c r="BK43" s="974"/>
    </row>
    <row r="44" spans="1:63" ht="132.6" customHeight="1">
      <c r="A44" s="1030">
        <f>SUBTOTAL(3,$E$3:E44)</f>
        <v>42</v>
      </c>
      <c r="B44" s="1031">
        <v>10204</v>
      </c>
      <c r="C44" s="1031" t="s">
        <v>227</v>
      </c>
      <c r="D44" s="1031">
        <v>1</v>
      </c>
      <c r="E44" s="1031">
        <v>901230253</v>
      </c>
      <c r="F44" s="1032" t="str">
        <f>_xlfn.XLOOKUP(Table4[[#This Row],[PO]],Table1[PO],Table1[مدير البرنامج],0)</f>
        <v>عبدالله المغذوي</v>
      </c>
      <c r="G44" s="1032" t="str">
        <f>_xlfn.XLOOKUP(Table4[[#This Row],[PO]],Table1[PO],Table1[مدير المشروع],0)</f>
        <v>أحمد السيد</v>
      </c>
      <c r="H44" s="1032" t="str">
        <f>_xlfn.XLOOKUP(Table4[[#This Row],[PO]],Table1[PO],Table1[اسم المشروع],0)</f>
        <v xml:space="preserve">إحلال شبكات وخطوط مياه بمدينة ينبع </v>
      </c>
      <c r="I44" s="1032" t="s">
        <v>24</v>
      </c>
      <c r="J44" s="1032" t="s">
        <v>384</v>
      </c>
      <c r="K44" s="1032" t="str">
        <f>_xlfn.XLOOKUP(Table4[[#This Row],[PO]],Table1[PO],Table1[الإستشاري],0)</f>
        <v>فيوتشر</v>
      </c>
      <c r="L44" s="1031" t="str">
        <f>_xlfn.XLOOKUP(Table4[[#This Row],[PO]],Table1[PO],Table1[تصنيف المشروع],0)</f>
        <v>Coastal</v>
      </c>
      <c r="M44" s="1031" t="s">
        <v>339</v>
      </c>
      <c r="N44" s="1034">
        <f>_xlfn.XLOOKUP(Table4[[#This Row],[PO]],Table1[PO],Table1[مدة التوقف عن العمل بالشهور],0)</f>
        <v>0</v>
      </c>
      <c r="O44" s="1102" t="str">
        <f>_xlfn.XLOOKUP(E44,Table1[PO],Table1[حالة المشروع],0)</f>
        <v>متعثر</v>
      </c>
      <c r="P44" s="1035">
        <f>_xlfn.XLOOKUP(E44,Table1[PO],Table1[بداية المشروع التعاقدية],0)</f>
        <v>45316</v>
      </c>
      <c r="Q44" s="1035">
        <f>_xlfn.XLOOKUP(E44,Table1[PO],Table1[نهاية المشروع المعدلة PMO LIVE],0)</f>
        <v>46379</v>
      </c>
      <c r="R44" s="1036">
        <f>_xlfn.XLOOKUP(Table4[[#This Row],[PO]],Table1[PO],Table1[قيمة المشروع بالضريبة],0)/1000000</f>
        <v>26.810392749999998</v>
      </c>
      <c r="S44" s="1036">
        <f>Table4[[#This Row],[قيمة المشروع بالضريبة]]*Table4[[#This Row],[المنفذ % التراكمي]]</f>
        <v>5.6355445560499993</v>
      </c>
      <c r="T44" s="1036">
        <f>Table4[[#This Row],[قيمة المشروع بالضريبة]]*Table4[[#This Row],[المخطط % التراكمي]]</f>
        <v>17.2873412452</v>
      </c>
      <c r="U44" s="1036">
        <v>308596.372413042</v>
      </c>
      <c r="V44" s="1036">
        <v>521442.82999999914</v>
      </c>
      <c r="W44" s="1037">
        <v>1</v>
      </c>
      <c r="X44" s="1036">
        <v>4381189.3600000013</v>
      </c>
      <c r="Y44" s="1037">
        <v>20</v>
      </c>
      <c r="Z44" s="1036">
        <v>4902632.1900000004</v>
      </c>
      <c r="AA44" s="1037">
        <v>21</v>
      </c>
      <c r="AB44" s="1038">
        <f>_xlfn.XLOOKUP(Table4[[#This Row],[PO]],Table1[PO],Table1[نسبة الإيقاف%],0)</f>
        <v>0</v>
      </c>
      <c r="AC44" s="1038">
        <f>_xlfn.XLOOKUP(Table4[[#This Row],[PO]],Table1[PO],Table1[المنفذ % - الإسبوع السابق],0)</f>
        <v>0.2102</v>
      </c>
      <c r="AD44" s="1038" t="str">
        <f>_xlfn.XLOOKUP(Table4[[#This Row],[PO]],Table1[PO],Table1[موقف تقديم الخطة التصحيحية],0)</f>
        <v>✔️</v>
      </c>
      <c r="AE44" s="1039">
        <f>_xlfn.XLOOKUP(E44,Table1[PO],Table1[المخطط % التراكمي],0)</f>
        <v>0.64480000000000004</v>
      </c>
      <c r="AF44" s="1039">
        <f>_xlfn.XLOOKUP(E44,Table1[PO],Table1[المنفذ % التراكمي],0)</f>
        <v>0.2102</v>
      </c>
      <c r="AG44" s="1038">
        <f t="shared" si="1"/>
        <v>-0.43460000000000004</v>
      </c>
      <c r="AH44" s="1040">
        <f>_xlfn.XLOOKUP(E44,Table1[PO],Table1[تاريخ دخول المشروع التعثر بالمدة المنقضية],0)</f>
        <v>46644.75</v>
      </c>
      <c r="AI44" s="1100" t="s">
        <v>85</v>
      </c>
      <c r="AJ44" s="1080" t="s">
        <v>85</v>
      </c>
      <c r="AK44" s="1100" t="s">
        <v>85</v>
      </c>
      <c r="AL44" s="1080" t="s">
        <v>85</v>
      </c>
      <c r="AM44" s="1038">
        <f>_xlfn.XLOOKUP(Table4[[#This Row],[PO]],Table1[PO],Table1[نسبة المخطط التراكمي حتى 31 أكتوبر 2026],0)</f>
        <v>0.67958688109856202</v>
      </c>
      <c r="AN44" s="1038">
        <f>_xlfn.XLOOKUP(Table4[[#This Row],[PO]],Table1[PO],Table1[نسبة الانجاز التراكمي المطلوب للإنتظام],0)</f>
        <v>0.58058688109856205</v>
      </c>
      <c r="AO44" s="1069">
        <f>_xlfn.XLOOKUP(Table4[[#This Row],[PO]],Table1[PO],Table1[النسبة المطلوب زيادتها في أكتوبر 2026 للإنتظام],0)</f>
        <v>0.37038688109856205</v>
      </c>
      <c r="AP44" s="1038">
        <f>_xlfn.XLOOKUP(Table4[[#This Row],[PO]],Table1[PO],Table1[نسبة الانجاز التراكمي المطلوب لتجنب التعثر],0)</f>
        <v>0.43058688109856202</v>
      </c>
      <c r="AQ44" s="1070">
        <f>_xlfn.XLOOKUP(Table4[[#This Row],[PO]],Table1[PO],Table1[النسبة المطلوب زيادتها في أكتوبر 2026 لتجنب / الخروج من التعثر],0)</f>
        <v>0.22038688109856203</v>
      </c>
      <c r="AR44" s="1038">
        <f>_xlfn.XLOOKUP(E44,Table1[PO],Table1[نسبة المدة المنقضية %],0)</f>
        <v>0.93508936970837253</v>
      </c>
      <c r="AS44" s="1038">
        <f>Table4[[#This Row],[المخطط % التراكمي]]-Table4[[#This Row],[نسبة المدة المنقضية %]]</f>
        <v>-0.29028936970837249</v>
      </c>
      <c r="AT44" s="1043" t="s">
        <v>517</v>
      </c>
      <c r="AU44" s="1043" t="s">
        <v>1033</v>
      </c>
      <c r="AV44" s="1099" t="s">
        <v>983</v>
      </c>
      <c r="AW44" s="1074" t="s">
        <v>1009</v>
      </c>
      <c r="AX44" s="1074" t="s">
        <v>985</v>
      </c>
      <c r="AY44" s="1049"/>
      <c r="AZ44" s="1082" t="s">
        <v>1023</v>
      </c>
      <c r="BA44" s="496"/>
      <c r="BB44" s="666" t="s">
        <v>766</v>
      </c>
      <c r="BC44" s="843" t="s">
        <v>790</v>
      </c>
      <c r="BE44" s="666" t="s">
        <v>766</v>
      </c>
      <c r="BF44" s="843" t="s">
        <v>875</v>
      </c>
      <c r="BG44" s="666" t="s">
        <v>909</v>
      </c>
      <c r="BH44" s="843" t="s">
        <v>914</v>
      </c>
      <c r="BI44" s="974"/>
      <c r="BJ44" s="1002"/>
      <c r="BK44" s="974"/>
    </row>
    <row r="45" spans="1:63" s="55" customFormat="1" ht="45">
      <c r="A45" s="1051">
        <f>SUBTOTAL(3,$E$3:E45)</f>
        <v>43</v>
      </c>
      <c r="B45" s="1052">
        <v>10203</v>
      </c>
      <c r="C45" s="1052" t="s">
        <v>207</v>
      </c>
      <c r="D45" s="1052"/>
      <c r="E45" s="1052">
        <v>901230202</v>
      </c>
      <c r="F45" s="1053" t="str">
        <f>_xlfn.XLOOKUP(Table4[[#This Row],[PO]],Table1[PO],Table1[مدير البرنامج],0)</f>
        <v>عادل الحيسوني</v>
      </c>
      <c r="G45" s="1053" t="str">
        <f>_xlfn.XLOOKUP(Table4[[#This Row],[PO]],Table1[PO],Table1[مدير المشروع],0)</f>
        <v>محمد قطيلان</v>
      </c>
      <c r="H45" s="1053" t="str">
        <f>_xlfn.XLOOKUP(Table4[[#This Row],[PO]],Table1[PO],Table1[اسم المشروع],0)</f>
        <v xml:space="preserve">تنفيذ خطوط الصرف الصحي الرئيسية بمخططات الرانوناء واحياء جنوب المدينة </v>
      </c>
      <c r="I45" s="1053" t="s">
        <v>13</v>
      </c>
      <c r="J45" s="1053" t="s">
        <v>384</v>
      </c>
      <c r="K45" s="1053" t="str">
        <f>_xlfn.XLOOKUP(Table4[[#This Row],[PO]],Table1[PO],Table1[الإستشاري],0)</f>
        <v>فيوتشر</v>
      </c>
      <c r="L45" s="1052" t="str">
        <f>_xlfn.XLOOKUP(Table4[[#This Row],[PO]],Table1[PO],Table1[تصنيف المشروع],0)</f>
        <v>WW</v>
      </c>
      <c r="M45" s="1052" t="s">
        <v>338</v>
      </c>
      <c r="N45" s="1054">
        <f>_xlfn.XLOOKUP(Table4[[#This Row],[PO]],Table1[PO],Table1[مدة التوقف عن العمل بالشهور],0)</f>
        <v>0</v>
      </c>
      <c r="O45" s="1101" t="str">
        <f>_xlfn.XLOOKUP(E45,Table1[PO],Table1[حالة المشروع],0)</f>
        <v>متقدم</v>
      </c>
      <c r="P45" s="1055">
        <f>_xlfn.XLOOKUP(E45,Table1[PO],Table1[بداية المشروع التعاقدية],0)</f>
        <v>45288</v>
      </c>
      <c r="Q45" s="1055">
        <f>_xlfn.XLOOKUP(E45,Table1[PO],Table1[نهاية المشروع المعدلة PMO LIVE],0)</f>
        <v>46741</v>
      </c>
      <c r="R45" s="1056">
        <f>_xlfn.XLOOKUP(Table4[[#This Row],[PO]],Table1[PO],Table1[قيمة المشروع بالضريبة],0)/1000000</f>
        <v>117.21391606</v>
      </c>
      <c r="S45" s="1056">
        <f>Table4[[#This Row],[قيمة المشروع بالضريبة]]*Table4[[#This Row],[المنفذ % التراكمي]]</f>
        <v>63.166579364734005</v>
      </c>
      <c r="T45" s="1056">
        <f>Table4[[#This Row],[قيمة المشروع بالضريبة]]*Table4[[#This Row],[المخطط % التراكمي]]</f>
        <v>59.368848484389993</v>
      </c>
      <c r="U45" s="1056">
        <v>3873676.8475756571</v>
      </c>
      <c r="V45" s="1056">
        <v>2016146.6499999985</v>
      </c>
      <c r="W45" s="1057">
        <v>2</v>
      </c>
      <c r="X45" s="1056">
        <v>55089873.689999998</v>
      </c>
      <c r="Y45" s="1057">
        <v>26</v>
      </c>
      <c r="Z45" s="1056">
        <v>57106020.339999996</v>
      </c>
      <c r="AA45" s="1057">
        <v>28</v>
      </c>
      <c r="AB45" s="1058">
        <f>_xlfn.XLOOKUP(Table4[[#This Row],[PO]],Table1[PO],Table1[نسبة الإيقاف%],0)</f>
        <v>0</v>
      </c>
      <c r="AC45" s="1058">
        <f>_xlfn.XLOOKUP(Table4[[#This Row],[PO]],Table1[PO],Table1[المنفذ % - الإسبوع السابق],0)</f>
        <v>0.53610000000000002</v>
      </c>
      <c r="AD45" s="1058" t="str">
        <f>_xlfn.XLOOKUP(Table4[[#This Row],[PO]],Table1[PO],Table1[موقف تقديم الخطة التصحيحية],0)</f>
        <v>➖</v>
      </c>
      <c r="AE45" s="1059">
        <f>_xlfn.XLOOKUP(E45,Table1[PO],Table1[المخطط % التراكمي],0)</f>
        <v>0.50649999999999995</v>
      </c>
      <c r="AF45" s="1059">
        <f>_xlfn.XLOOKUP(E45,Table1[PO],Table1[المنفذ % التراكمي],0)</f>
        <v>0.53890000000000005</v>
      </c>
      <c r="AG45" s="1058">
        <f t="shared" si="1"/>
        <v>3.2400000000000095E-2</v>
      </c>
      <c r="AH45" s="1076">
        <f>_xlfn.XLOOKUP(E45,Table1[PO],Table1[تاريخ دخول المشروع التعثر بالمدة المنقضية],0)</f>
        <v>47104.25</v>
      </c>
      <c r="AI45" s="1041">
        <v>46502</v>
      </c>
      <c r="AJ45" s="1080">
        <v>46693</v>
      </c>
      <c r="AK45" s="1041">
        <v>46645</v>
      </c>
      <c r="AL45" s="1080">
        <v>46706</v>
      </c>
      <c r="AM45" s="1058">
        <f>_xlfn.XLOOKUP(Table4[[#This Row],[PO]],Table1[PO],Table1[نسبة المخطط التراكمي حتى 31 أكتوبر 2026],0)</f>
        <v>0.50874486379180095</v>
      </c>
      <c r="AN45" s="1058">
        <f>_xlfn.XLOOKUP(Table4[[#This Row],[PO]],Table1[PO],Table1[نسبة الانجاز التراكمي المطلوب للإنتظام],0)</f>
        <v>0.40974486379180097</v>
      </c>
      <c r="AO45" s="1060">
        <f>_xlfn.XLOOKUP(Table4[[#This Row],[PO]],Table1[PO],Table1[النسبة المطلوب زيادتها في أكتوبر 2026 للإنتظام],0)</f>
        <v>0</v>
      </c>
      <c r="AP45" s="1058">
        <f>_xlfn.XLOOKUP(Table4[[#This Row],[PO]],Table1[PO],Table1[نسبة الانجاز التراكمي المطلوب لتجنب التعثر],0)</f>
        <v>0.25974486379180095</v>
      </c>
      <c r="AQ45" s="1061">
        <f>_xlfn.XLOOKUP(Table4[[#This Row],[PO]],Table1[PO],Table1[النسبة المطلوب زيادتها في أكتوبر 2026 لتجنب / الخروج من التعثر],0)</f>
        <v>0</v>
      </c>
      <c r="AR45" s="1058">
        <f>_xlfn.XLOOKUP(E45,Table1[PO],Table1[نسبة المدة المنقضية %],0)</f>
        <v>0.70337233310392289</v>
      </c>
      <c r="AS45" s="1058">
        <f>Table4[[#This Row],[المخطط % التراكمي]]-Table4[[#This Row],[نسبة المدة المنقضية %]]</f>
        <v>-0.19687233310392294</v>
      </c>
      <c r="AT45" s="1085" t="s">
        <v>517</v>
      </c>
      <c r="AU45" s="1085" t="s">
        <v>633</v>
      </c>
      <c r="AV45" s="1095" t="s">
        <v>633</v>
      </c>
      <c r="AW45" s="1089" t="s">
        <v>647</v>
      </c>
      <c r="AX45" s="1065" t="s">
        <v>633</v>
      </c>
      <c r="AY45" s="1089"/>
      <c r="AZ45" s="1092" t="s">
        <v>633</v>
      </c>
      <c r="BA45" s="496"/>
      <c r="BB45" s="667" t="s">
        <v>801</v>
      </c>
      <c r="BC45" s="845" t="s">
        <v>633</v>
      </c>
      <c r="BE45" s="667" t="s">
        <v>801</v>
      </c>
      <c r="BF45" s="845" t="s">
        <v>633</v>
      </c>
      <c r="BG45" s="667" t="s">
        <v>633</v>
      </c>
      <c r="BH45" s="845" t="s">
        <v>633</v>
      </c>
      <c r="BI45" s="974"/>
      <c r="BJ45" s="1002"/>
      <c r="BK45" s="974"/>
    </row>
    <row r="46" spans="1:63" s="55" customFormat="1" ht="182.4" customHeight="1">
      <c r="A46" s="1030">
        <f>SUBTOTAL(3,$E$3:E46)</f>
        <v>44</v>
      </c>
      <c r="B46" s="1031">
        <v>10136</v>
      </c>
      <c r="C46" s="1031" t="s">
        <v>228</v>
      </c>
      <c r="D46" s="1031">
        <v>2</v>
      </c>
      <c r="E46" s="1031">
        <v>901230191</v>
      </c>
      <c r="F46" s="1032" t="str">
        <f>_xlfn.XLOOKUP(Table4[[#This Row],[PO]],Table1[PO],Table1[مدير البرنامج],0)</f>
        <v>عبدالله المغذوي</v>
      </c>
      <c r="G46" s="1032" t="str">
        <f>_xlfn.XLOOKUP(Table4[[#This Row],[PO]],Table1[PO],Table1[مدير المشروع],0)</f>
        <v>أحمد السيد</v>
      </c>
      <c r="H46" s="1032" t="str">
        <f>_xlfn.XLOOKUP(Table4[[#This Row],[PO]],Table1[PO],Table1[اسم المشروع],0)</f>
        <v xml:space="preserve">تنفيذ خطوط فرعية وتوصيلات منزلية للصرف الصحي مع اعادة تأهيل محطة الضخ بينبع </v>
      </c>
      <c r="I46" s="1032" t="s">
        <v>11</v>
      </c>
      <c r="J46" s="1032" t="s">
        <v>384</v>
      </c>
      <c r="K46" s="1032" t="str">
        <f>_xlfn.XLOOKUP(Table4[[#This Row],[PO]],Table1[PO],Table1[الإستشاري],0)</f>
        <v>فيوتشر</v>
      </c>
      <c r="L46" s="1031" t="str">
        <f>_xlfn.XLOOKUP(Table4[[#This Row],[PO]],Table1[PO],Table1[تصنيف المشروع],0)</f>
        <v>Coastal</v>
      </c>
      <c r="M46" s="1031" t="s">
        <v>338</v>
      </c>
      <c r="N46" s="1034">
        <f>_xlfn.XLOOKUP(Table4[[#This Row],[PO]],Table1[PO],Table1[مدة التوقف عن العمل بالشهور],0)</f>
        <v>3</v>
      </c>
      <c r="O46" s="1031" t="str">
        <f>_xlfn.XLOOKUP(E46,Table1[PO],Table1[حالة المشروع],0)</f>
        <v>متأخر</v>
      </c>
      <c r="P46" s="1035">
        <f>_xlfn.XLOOKUP(E46,Table1[PO],Table1[بداية المشروع التعاقدية],0)</f>
        <v>45237</v>
      </c>
      <c r="Q46" s="1035">
        <f>_xlfn.XLOOKUP(E46,Table1[PO],Table1[نهاية المشروع المعدلة PMO LIVE],0)</f>
        <v>46430</v>
      </c>
      <c r="R46" s="1036">
        <f>_xlfn.XLOOKUP(Table4[[#This Row],[PO]],Table1[PO],Table1[قيمة المشروع بالضريبة],0)/1000000</f>
        <v>48.3797134</v>
      </c>
      <c r="S46" s="1036">
        <f>Table4[[#This Row],[قيمة المشروع بالضريبة]]*Table4[[#This Row],[المنفذ % التراكمي]]</f>
        <v>26.004095952499998</v>
      </c>
      <c r="T46" s="1036">
        <f>Table4[[#This Row],[قيمة المشروع بالضريبة]]*Table4[[#This Row],[المخطط % التراكمي]]</f>
        <v>33.246539048480003</v>
      </c>
      <c r="U46" s="1036">
        <v>1498977.4696000032</v>
      </c>
      <c r="V46" s="1036">
        <v>0</v>
      </c>
      <c r="W46" s="1037">
        <v>0</v>
      </c>
      <c r="X46" s="1036">
        <v>23946451.840000004</v>
      </c>
      <c r="Y46" s="1037">
        <v>29</v>
      </c>
      <c r="Z46" s="1036">
        <v>23946451.84</v>
      </c>
      <c r="AA46" s="1037">
        <v>29</v>
      </c>
      <c r="AB46" s="1038">
        <f>_xlfn.XLOOKUP(Table4[[#This Row],[PO]],Table1[PO],Table1[نسبة الإيقاف%],0)</f>
        <v>0.24160000000000001</v>
      </c>
      <c r="AC46" s="1038">
        <f>_xlfn.XLOOKUP(Table4[[#This Row],[PO]],Table1[PO],Table1[المنفذ % - الإسبوع السابق],0)</f>
        <v>0.53600000000000003</v>
      </c>
      <c r="AD46" s="1038" t="str">
        <f>_xlfn.XLOOKUP(Table4[[#This Row],[PO]],Table1[PO],Table1[موقف تقديم الخطة التصحيحية],0)</f>
        <v>✔️</v>
      </c>
      <c r="AE46" s="1039">
        <f>_xlfn.XLOOKUP(E46,Table1[PO],Table1[المخطط % التراكمي],0)</f>
        <v>0.68720000000000003</v>
      </c>
      <c r="AF46" s="1039">
        <f>_xlfn.XLOOKUP(E46,Table1[PO],Table1[المنفذ % التراكمي],0)</f>
        <v>0.53749999999999998</v>
      </c>
      <c r="AG46" s="1038">
        <f t="shared" si="1"/>
        <v>-0.14970000000000006</v>
      </c>
      <c r="AH46" s="1040">
        <f>_xlfn.XLOOKUP(E46,Table1[PO],Table1[تاريخ دخول المشروع التعثر بالمدة المنقضية],0)</f>
        <v>46728.25</v>
      </c>
      <c r="AI46" s="1041" t="s">
        <v>100</v>
      </c>
      <c r="AJ46" s="1080">
        <v>46422</v>
      </c>
      <c r="AK46" s="1041" t="s">
        <v>100</v>
      </c>
      <c r="AL46" s="1080">
        <v>46423</v>
      </c>
      <c r="AM46" s="1038">
        <f>_xlfn.XLOOKUP(Table4[[#This Row],[PO]],Table1[PO],Table1[نسبة المخطط التراكمي حتى 31 أكتوبر 2026],0)</f>
        <v>0.6959943869779105</v>
      </c>
      <c r="AN46" s="1038">
        <f>_xlfn.XLOOKUP(Table4[[#This Row],[PO]],Table1[PO],Table1[نسبة الانجاز التراكمي المطلوب للإنتظام],0)</f>
        <v>0.59699438697791052</v>
      </c>
      <c r="AO46" s="1069">
        <f>_xlfn.XLOOKUP(Table4[[#This Row],[PO]],Table1[PO],Table1[النسبة المطلوب زيادتها في أكتوبر 2026 للإنتظام],0)</f>
        <v>5.9494386977910541E-2</v>
      </c>
      <c r="AP46" s="1038">
        <f>_xlfn.XLOOKUP(Table4[[#This Row],[PO]],Table1[PO],Table1[نسبة الانجاز التراكمي المطلوب لتجنب التعثر],0)</f>
        <v>0.4469943869779105</v>
      </c>
      <c r="AQ46" s="1070">
        <f>_xlfn.XLOOKUP(Table4[[#This Row],[PO]],Table1[PO],Table1[النسبة المطلوب زيادتها في أكتوبر 2026 لتجنب / الخروج من التعثر],0)</f>
        <v>-9.0505613022089482E-2</v>
      </c>
      <c r="AR46" s="1038">
        <f>_xlfn.XLOOKUP(E46,Table1[PO],Table1[نسبة المدة المنقضية %],0)</f>
        <v>0.89941324392288347</v>
      </c>
      <c r="AS46" s="1038">
        <f>Table4[[#This Row],[المخطط % التراكمي]]-Table4[[#This Row],[نسبة المدة المنقضية %]]</f>
        <v>-0.21221324392288343</v>
      </c>
      <c r="AT46" s="1043" t="s">
        <v>517</v>
      </c>
      <c r="AU46" s="1043" t="s">
        <v>1035</v>
      </c>
      <c r="AV46" s="1099" t="s">
        <v>849</v>
      </c>
      <c r="AW46" s="1074" t="s">
        <v>959</v>
      </c>
      <c r="AX46" s="1074" t="s">
        <v>848</v>
      </c>
      <c r="AY46" s="1049"/>
      <c r="AZ46" s="1094" t="s">
        <v>1026</v>
      </c>
      <c r="BA46" s="496"/>
      <c r="BB46" s="666" t="s">
        <v>770</v>
      </c>
      <c r="BC46" s="846" t="s">
        <v>791</v>
      </c>
      <c r="BE46" s="666" t="s">
        <v>848</v>
      </c>
      <c r="BF46" s="846" t="s">
        <v>866</v>
      </c>
      <c r="BG46" s="666" t="s">
        <v>848</v>
      </c>
      <c r="BH46" s="845" t="s">
        <v>888</v>
      </c>
      <c r="BI46" s="974"/>
      <c r="BJ46" s="1002"/>
      <c r="BK46" s="974"/>
    </row>
    <row r="47" spans="1:63" ht="60">
      <c r="A47" s="1051">
        <f>SUBTOTAL(3,$E$3:E47)</f>
        <v>45</v>
      </c>
      <c r="B47" s="1052">
        <v>10129</v>
      </c>
      <c r="C47" s="1052" t="s">
        <v>229</v>
      </c>
      <c r="D47" s="1052"/>
      <c r="E47" s="1052">
        <v>901230177</v>
      </c>
      <c r="F47" s="1053" t="str">
        <f>_xlfn.XLOOKUP(Table4[[#This Row],[PO]],Table1[PO],Table1[مدير البرنامج],0)</f>
        <v>عادل الحيسوني</v>
      </c>
      <c r="G47" s="1053" t="str">
        <f>_xlfn.XLOOKUP(Table4[[#This Row],[PO]],Table1[PO],Table1[مدير المشروع],0)</f>
        <v xml:space="preserve">سلطان البركانى </v>
      </c>
      <c r="H47" s="1053" t="str">
        <f>_xlfn.XLOOKUP(Table4[[#This Row],[PO]],Table1[PO],Table1[اسم المشروع],0)</f>
        <v xml:space="preserve">مشروع تنفيذ شبكات الصرف الصحي باحياء الجرف بالمدينة المنورة </v>
      </c>
      <c r="I47" s="1053" t="s">
        <v>15</v>
      </c>
      <c r="J47" s="1053" t="s">
        <v>384</v>
      </c>
      <c r="K47" s="1053" t="str">
        <f>_xlfn.XLOOKUP(Table4[[#This Row],[PO]],Table1[PO],Table1[الإستشاري],0)</f>
        <v>فيوتشر</v>
      </c>
      <c r="L47" s="1052" t="str">
        <f>_xlfn.XLOOKUP(Table4[[#This Row],[PO]],Table1[PO],Table1[تصنيف المشروع],0)</f>
        <v>WW</v>
      </c>
      <c r="M47" s="1052" t="s">
        <v>339</v>
      </c>
      <c r="N47" s="1054">
        <f>_xlfn.XLOOKUP(Table4[[#This Row],[PO]],Table1[PO],Table1[مدة التوقف عن العمل بالشهور],0)</f>
        <v>9</v>
      </c>
      <c r="O47" s="1107" t="str">
        <f>_xlfn.XLOOKUP(E47,Table1[PO],Table1[حالة المشروع],0)</f>
        <v>منتظم</v>
      </c>
      <c r="P47" s="1055">
        <f>_xlfn.XLOOKUP(E47,Table1[PO],Table1[بداية المشروع التعاقدية],0)</f>
        <v>45224</v>
      </c>
      <c r="Q47" s="1055">
        <f>_xlfn.XLOOKUP(E47,Table1[PO],Table1[نهاية المشروع المعدلة PMO LIVE],0)</f>
        <v>46730</v>
      </c>
      <c r="R47" s="1056">
        <f>_xlfn.XLOOKUP(Table4[[#This Row],[PO]],Table1[PO],Table1[قيمة المشروع بالضريبة],0)/1000000</f>
        <v>78.223592249999996</v>
      </c>
      <c r="S47" s="1056">
        <f>Table4[[#This Row],[قيمة المشروع بالضريبة]]*Table4[[#This Row],[المنفذ % التراكمي]]</f>
        <v>17.600308256249999</v>
      </c>
      <c r="T47" s="1056">
        <f>Table4[[#This Row],[قيمة المشروع بالضريبة]]*Table4[[#This Row],[المخطط % التراكمي]]</f>
        <v>23.584413063374999</v>
      </c>
      <c r="U47" s="1056">
        <v>2541224.2402173877</v>
      </c>
      <c r="V47" s="1056">
        <v>3129.4900000020862</v>
      </c>
      <c r="W47" s="1057">
        <v>0</v>
      </c>
      <c r="X47" s="1056">
        <v>14674770.890000001</v>
      </c>
      <c r="Y47" s="1057">
        <v>26</v>
      </c>
      <c r="Z47" s="1056">
        <v>14677900.380000003</v>
      </c>
      <c r="AA47" s="1057">
        <v>26</v>
      </c>
      <c r="AB47" s="1058">
        <f>_xlfn.XLOOKUP(Table4[[#This Row],[PO]],Table1[PO],Table1[نسبة الإيقاف%],0)</f>
        <v>0.18</v>
      </c>
      <c r="AC47" s="1058">
        <f>_xlfn.XLOOKUP(Table4[[#This Row],[PO]],Table1[PO],Table1[المنفذ % - الإسبوع السابق],0)</f>
        <v>0.22500000000000001</v>
      </c>
      <c r="AD47" s="1058" t="str">
        <f>_xlfn.XLOOKUP(Table4[[#This Row],[PO]],Table1[PO],Table1[موقف تقديم الخطة التصحيحية],0)</f>
        <v>✔️</v>
      </c>
      <c r="AE47" s="1104">
        <f>_xlfn.XLOOKUP(E47,Table1[PO],Table1[المخطط % التراكمي],0)</f>
        <v>0.30149999999999999</v>
      </c>
      <c r="AF47" s="1104">
        <f>_xlfn.XLOOKUP(E47,Table1[PO],Table1[المنفذ % التراكمي],0)</f>
        <v>0.22500000000000001</v>
      </c>
      <c r="AG47" s="1058">
        <f t="shared" si="1"/>
        <v>-7.6499999999999985E-2</v>
      </c>
      <c r="AH47" s="1076">
        <f>_xlfn.XLOOKUP(E47,Table1[PO],Table1[تاريخ دخول المشروع التعثر بالمدة المنقضية],0)</f>
        <v>47106.5</v>
      </c>
      <c r="AI47" s="1041">
        <v>46389</v>
      </c>
      <c r="AJ47" s="1080">
        <v>46479</v>
      </c>
      <c r="AK47" s="1041">
        <v>46392</v>
      </c>
      <c r="AL47" s="1080">
        <v>46482</v>
      </c>
      <c r="AM47" s="1058">
        <f>_xlfn.XLOOKUP(Table4[[#This Row],[PO]],Table1[PO],Table1[نسبة المخطط التراكمي حتى 31 أكتوبر 2026],0)</f>
        <v>0.30563448478659211</v>
      </c>
      <c r="AN47" s="1058">
        <f>_xlfn.XLOOKUP(Table4[[#This Row],[PO]],Table1[PO],Table1[نسبة الانجاز التراكمي المطلوب للإنتظام],0)</f>
        <v>0.2066344847865921</v>
      </c>
      <c r="AO47" s="1060">
        <f>_xlfn.XLOOKUP(Table4[[#This Row],[PO]],Table1[PO],Table1[النسبة المطلوب زيادتها في أكتوبر 2026 للإنتظام],0)</f>
        <v>0</v>
      </c>
      <c r="AP47" s="1058">
        <f>_xlfn.XLOOKUP(Table4[[#This Row],[PO]],Table1[PO],Table1[نسبة الانجاز التراكمي المطلوب لتجنب التعثر],0)</f>
        <v>5.663448478659211E-2</v>
      </c>
      <c r="AQ47" s="1061">
        <f>_xlfn.XLOOKUP(Table4[[#This Row],[PO]],Table1[PO],Table1[النسبة المطلوب زيادتها في أكتوبر 2026 لتجنب / الخروج من التعثر],0)</f>
        <v>0</v>
      </c>
      <c r="AR47" s="1058">
        <f>_xlfn.XLOOKUP(E47,Table1[PO],Table1[نسبة المدة المنقضية %],0)</f>
        <v>0.7211155378486056</v>
      </c>
      <c r="AS47" s="1058">
        <f>Table4[[#This Row],[المخطط % التراكمي]]-Table4[[#This Row],[نسبة المدة المنقضية %]]</f>
        <v>-0.41961553784860561</v>
      </c>
      <c r="AT47" s="1085" t="s">
        <v>517</v>
      </c>
      <c r="AU47" s="1085" t="s">
        <v>633</v>
      </c>
      <c r="AV47" s="1095" t="s">
        <v>633</v>
      </c>
      <c r="AW47" s="1089" t="s">
        <v>969</v>
      </c>
      <c r="AX47" s="1065" t="s">
        <v>633</v>
      </c>
      <c r="AY47" s="1090"/>
      <c r="AZ47" s="1092" t="s">
        <v>633</v>
      </c>
      <c r="BA47" s="496"/>
      <c r="BB47" s="667" t="s">
        <v>797</v>
      </c>
      <c r="BC47" s="845" t="s">
        <v>633</v>
      </c>
      <c r="BE47" s="667" t="s">
        <v>797</v>
      </c>
      <c r="BF47" s="845" t="s">
        <v>633</v>
      </c>
      <c r="BG47" s="667" t="s">
        <v>633</v>
      </c>
      <c r="BH47" s="845" t="s">
        <v>633</v>
      </c>
      <c r="BI47" s="974"/>
      <c r="BJ47" s="1002"/>
      <c r="BK47" s="974"/>
    </row>
    <row r="48" spans="1:63" ht="109.8" customHeight="1">
      <c r="A48" s="1108">
        <f>SUBTOTAL(3,$E$3:E48)</f>
        <v>46</v>
      </c>
      <c r="B48" s="1077">
        <v>10137</v>
      </c>
      <c r="C48" s="1077" t="s">
        <v>212</v>
      </c>
      <c r="D48" s="1077">
        <v>2</v>
      </c>
      <c r="E48" s="1031">
        <v>901230176</v>
      </c>
      <c r="F48" s="1032" t="str">
        <f>_xlfn.XLOOKUP(Table4[[#This Row],[PO]],Table1[PO],Table1[مدير البرنامج],0)</f>
        <v>عادل الحيسوني</v>
      </c>
      <c r="G48" s="1032" t="str">
        <f>_xlfn.XLOOKUP(Table4[[#This Row],[PO]],Table1[PO],Table1[مدير المشروع],0)</f>
        <v>زيد المغذوي</v>
      </c>
      <c r="H48" s="1032" t="str">
        <f>_xlfn.XLOOKUP(Table4[[#This Row],[PO]],Table1[PO],Table1[اسم المشروع],0)</f>
        <v xml:space="preserve">تنفيذ شبكات الصرف الصحي بمخططات الرانوناء واحياء جنوب المدينة (المرحلة الأولى) </v>
      </c>
      <c r="I48" s="1032" t="s">
        <v>14</v>
      </c>
      <c r="J48" s="1032" t="s">
        <v>384</v>
      </c>
      <c r="K48" s="1032" t="str">
        <f>_xlfn.XLOOKUP(Table4[[#This Row],[PO]],Table1[PO],Table1[الإستشاري],0)</f>
        <v>فيوتشر</v>
      </c>
      <c r="L48" s="1031" t="str">
        <f>_xlfn.XLOOKUP(Table4[[#This Row],[PO]],Table1[PO],Table1[تصنيف المشروع],0)</f>
        <v>WW</v>
      </c>
      <c r="M48" s="1031" t="s">
        <v>339</v>
      </c>
      <c r="N48" s="1034">
        <f>_xlfn.XLOOKUP(Table4[[#This Row],[PO]],Table1[PO],Table1[مدة التوقف عن العمل بالشهور],0)</f>
        <v>0</v>
      </c>
      <c r="O48" s="1031" t="str">
        <f>_xlfn.XLOOKUP(E48,Table1[PO],Table1[حالة المشروع],0)</f>
        <v>متأخر</v>
      </c>
      <c r="P48" s="1035">
        <f>_xlfn.XLOOKUP(E48,Table1[PO],Table1[بداية المشروع التعاقدية],0)</f>
        <v>45249</v>
      </c>
      <c r="Q48" s="1035">
        <f>_xlfn.XLOOKUP(E48,Table1[PO],Table1[نهاية المشروع المعدلة PMO LIVE],0)</f>
        <v>46379</v>
      </c>
      <c r="R48" s="1036">
        <f>_xlfn.XLOOKUP(Table4[[#This Row],[PO]],Table1[PO],Table1[قيمة المشروع بالضريبة],0)/1000000</f>
        <v>37.84142842</v>
      </c>
      <c r="S48" s="1036">
        <f>Table4[[#This Row],[قيمة المشروع بالضريبة]]*Table4[[#This Row],[المنفذ % التراكمي]]</f>
        <v>21.183631629515997</v>
      </c>
      <c r="T48" s="1036">
        <f>Table4[[#This Row],[قيمة المشروع بالضريبة]]*Table4[[#This Row],[المخطط % التراكمي]]</f>
        <v>28.131317887427997</v>
      </c>
      <c r="U48" s="1036">
        <v>758629.62341382727</v>
      </c>
      <c r="V48" s="1036">
        <v>233167.16000000015</v>
      </c>
      <c r="W48" s="1037">
        <v>2</v>
      </c>
      <c r="X48" s="1036">
        <v>19941811.259999998</v>
      </c>
      <c r="Y48" s="1037">
        <v>24</v>
      </c>
      <c r="Z48" s="1036">
        <v>20174978.419999998</v>
      </c>
      <c r="AA48" s="1037">
        <v>26</v>
      </c>
      <c r="AB48" s="1038">
        <f>_xlfn.XLOOKUP(Table4[[#This Row],[PO]],Table1[PO],Table1[نسبة الإيقاف%],0)</f>
        <v>1.1599999999999999E-2</v>
      </c>
      <c r="AC48" s="1038">
        <f>_xlfn.XLOOKUP(Table4[[#This Row],[PO]],Table1[PO],Table1[المنفذ % - الإسبوع السابق],0)</f>
        <v>0.55920000000000003</v>
      </c>
      <c r="AD48" s="1038" t="str">
        <f>_xlfn.XLOOKUP(Table4[[#This Row],[PO]],Table1[PO],Table1[موقف تقديم الخطة التصحيحية],0)</f>
        <v>✔️</v>
      </c>
      <c r="AE48" s="1039">
        <f>_xlfn.XLOOKUP(E48,Table1[PO],Table1[المخطط % التراكمي],0)</f>
        <v>0.74339999999999995</v>
      </c>
      <c r="AF48" s="1039">
        <f>_xlfn.XLOOKUP(E48,Table1[PO],Table1[المنفذ % التراكمي],0)</f>
        <v>0.55979999999999996</v>
      </c>
      <c r="AG48" s="1038">
        <f t="shared" si="1"/>
        <v>-0.18359999999999999</v>
      </c>
      <c r="AH48" s="1040">
        <f>_xlfn.XLOOKUP(E48,Table1[PO],Table1[تاريخ دخول المشروع التعثر بالمدة المنقضية],0)</f>
        <v>46661.5</v>
      </c>
      <c r="AI48" s="1100" t="s">
        <v>100</v>
      </c>
      <c r="AJ48" s="1080">
        <v>46328</v>
      </c>
      <c r="AK48" s="1100" t="s">
        <v>100</v>
      </c>
      <c r="AL48" s="1080">
        <v>46331</v>
      </c>
      <c r="AM48" s="1038">
        <f>_xlfn.XLOOKUP(Table4[[#This Row],[PO]],Table1[PO],Table1[نسبة المخطط التراكمي حتى 31 أكتوبر 2026],0)</f>
        <v>0.80262937197552331</v>
      </c>
      <c r="AN48" s="1038">
        <f>_xlfn.XLOOKUP(Table4[[#This Row],[PO]],Table1[PO],Table1[نسبة الانجاز التراكمي المطلوب للإنتظام],0)</f>
        <v>0.70362937197552333</v>
      </c>
      <c r="AO48" s="1069">
        <f>_xlfn.XLOOKUP(Table4[[#This Row],[PO]],Table1[PO],Table1[النسبة المطلوب زيادتها في أكتوبر 2026 للإنتظام],0)</f>
        <v>0.14382937197552337</v>
      </c>
      <c r="AP48" s="1038">
        <f>_xlfn.XLOOKUP(Table4[[#This Row],[PO]],Table1[PO],Table1[نسبة الانجاز التراكمي المطلوب لتجنب التعثر],0)</f>
        <v>0.55362937197552331</v>
      </c>
      <c r="AQ48" s="1070">
        <f>_xlfn.XLOOKUP(Table4[[#This Row],[PO]],Table1[PO],Table1[النسبة المطلوب زيادتها في أكتوبر 2026 لتجنب / الخروج من التعثر],0)</f>
        <v>0</v>
      </c>
      <c r="AR48" s="1038">
        <f>_xlfn.XLOOKUP(E48,Table1[PO],Table1[نسبة المدة المنقضية %],0)</f>
        <v>0.93893805309734513</v>
      </c>
      <c r="AS48" s="1038">
        <f>Table4[[#This Row],[المخطط % التراكمي]]-Table4[[#This Row],[نسبة المدة المنقضية %]]</f>
        <v>-0.19553805309734518</v>
      </c>
      <c r="AT48" s="1043" t="s">
        <v>517</v>
      </c>
      <c r="AU48" s="1043" t="s">
        <v>1035</v>
      </c>
      <c r="AV48" s="1093" t="s">
        <v>1000</v>
      </c>
      <c r="AW48" s="1027" t="s">
        <v>979</v>
      </c>
      <c r="AX48" s="1074" t="s">
        <v>1027</v>
      </c>
      <c r="AY48" s="1049"/>
      <c r="AZ48" s="1094" t="s">
        <v>1028</v>
      </c>
      <c r="BA48" s="496"/>
      <c r="BB48" s="666" t="s">
        <v>526</v>
      </c>
      <c r="BC48" s="846" t="s">
        <v>633</v>
      </c>
      <c r="BE48" s="666" t="s">
        <v>851</v>
      </c>
      <c r="BF48" s="846" t="s">
        <v>633</v>
      </c>
      <c r="BG48" s="666" t="s">
        <v>910</v>
      </c>
      <c r="BH48" s="846" t="s">
        <v>633</v>
      </c>
      <c r="BI48" s="974"/>
      <c r="BJ48" s="1002"/>
      <c r="BK48" s="974"/>
    </row>
    <row r="49" spans="1:63" ht="60">
      <c r="A49" s="1051">
        <f>SUBTOTAL(3,$E$3:E49)</f>
        <v>47</v>
      </c>
      <c r="B49" s="1052">
        <v>10128</v>
      </c>
      <c r="C49" s="1052" t="s">
        <v>208</v>
      </c>
      <c r="D49" s="1052"/>
      <c r="E49" s="1052">
        <v>901230173</v>
      </c>
      <c r="F49" s="1053" t="str">
        <f>_xlfn.XLOOKUP(Table4[[#This Row],[PO]],Table1[PO],Table1[مدير البرنامج],0)</f>
        <v>عادل الحيسوني</v>
      </c>
      <c r="G49" s="1053" t="str">
        <f>_xlfn.XLOOKUP(Table4[[#This Row],[PO]],Table1[PO],Table1[مدير المشروع],0)</f>
        <v>بدر المحمدي</v>
      </c>
      <c r="H49" s="1053" t="str">
        <f>_xlfn.XLOOKUP(Table4[[#This Row],[PO]],Table1[PO],Table1[اسم المشروع],0)</f>
        <v xml:space="preserve">عقد تنفيذ شبكات الصرف الصحي بمحافظات منطقة المدينة المنورة الخطوط الرئيسية </v>
      </c>
      <c r="I49" s="1053" t="s">
        <v>12</v>
      </c>
      <c r="J49" s="1053" t="s">
        <v>384</v>
      </c>
      <c r="K49" s="1053" t="str">
        <f>_xlfn.XLOOKUP(Table4[[#This Row],[PO]],Table1[PO],Table1[الإستشاري],0)</f>
        <v>فيوتشر</v>
      </c>
      <c r="L49" s="1052" t="str">
        <f>_xlfn.XLOOKUP(Table4[[#This Row],[PO]],Table1[PO],Table1[تصنيف المشروع],0)</f>
        <v>WW</v>
      </c>
      <c r="M49" s="1052" t="s">
        <v>339</v>
      </c>
      <c r="N49" s="1054">
        <f>_xlfn.XLOOKUP(Table4[[#This Row],[PO]],Table1[PO],Table1[مدة التوقف عن العمل بالشهور],0)</f>
        <v>0</v>
      </c>
      <c r="O49" s="1101" t="str">
        <f>_xlfn.XLOOKUP(E49,Table1[PO],Table1[حالة المشروع],0)</f>
        <v>منتظم</v>
      </c>
      <c r="P49" s="1055">
        <f>_xlfn.XLOOKUP(E49,Table1[PO],Table1[بداية المشروع التعاقدية],0)</f>
        <v>45215</v>
      </c>
      <c r="Q49" s="1055">
        <f>_xlfn.XLOOKUP(E49,Table1[PO],Table1[نهاية المشروع المعدلة PMO LIVE],0)</f>
        <v>46311</v>
      </c>
      <c r="R49" s="1056">
        <f>_xlfn.XLOOKUP(Table4[[#This Row],[PO]],Table1[PO],Table1[قيمة المشروع بالضريبة],0)/1000000</f>
        <v>44.274999999999999</v>
      </c>
      <c r="S49" s="1056">
        <f>Table4[[#This Row],[قيمة المشروع بالضريبة]]*Table4[[#This Row],[المنفذ % التراكمي]]</f>
        <v>43.017589999999998</v>
      </c>
      <c r="T49" s="1056">
        <f>Table4[[#This Row],[قيمة المشروع بالضريبة]]*Table4[[#This Row],[المخطط % التراكمي]]</f>
        <v>44.274999999999999</v>
      </c>
      <c r="U49" s="1056">
        <v>3471607.9826086909</v>
      </c>
      <c r="V49" s="1056">
        <v>0</v>
      </c>
      <c r="W49" s="1057">
        <v>0</v>
      </c>
      <c r="X49" s="1056">
        <v>38719743.319999993</v>
      </c>
      <c r="Y49" s="1057">
        <v>26</v>
      </c>
      <c r="Z49" s="1056">
        <v>38719743.32</v>
      </c>
      <c r="AA49" s="1057">
        <v>26</v>
      </c>
      <c r="AB49" s="1058">
        <f>_xlfn.XLOOKUP(Table4[[#This Row],[PO]],Table1[PO],Table1[نسبة الإيقاف%],0)</f>
        <v>0</v>
      </c>
      <c r="AC49" s="1058">
        <f>_xlfn.XLOOKUP(Table4[[#This Row],[PO]],Table1[PO],Table1[المنفذ % - الإسبوع السابق],0)</f>
        <v>0.97160000000000002</v>
      </c>
      <c r="AD49" s="1058" t="str">
        <f>_xlfn.XLOOKUP(Table4[[#This Row],[PO]],Table1[PO],Table1[موقف تقديم الخطة التصحيحية],0)</f>
        <v>➖</v>
      </c>
      <c r="AE49" s="1059">
        <f>_xlfn.XLOOKUP(E49,Table1[PO],Table1[المخطط % التراكمي],0)</f>
        <v>1</v>
      </c>
      <c r="AF49" s="1059">
        <f>_xlfn.XLOOKUP(E49,Table1[PO],Table1[المنفذ % التراكمي],0)</f>
        <v>0.97160000000000002</v>
      </c>
      <c r="AG49" s="1058">
        <f t="shared" si="1"/>
        <v>-2.8399999999999981E-2</v>
      </c>
      <c r="AH49" s="1040">
        <f>_xlfn.XLOOKUP(E49,Table1[PO],Table1[تاريخ دخول المشروع التعثر بالمدة المنقضية],0)</f>
        <v>46585</v>
      </c>
      <c r="AI49" s="1079" t="s">
        <v>666</v>
      </c>
      <c r="AJ49" s="1042" t="s">
        <v>667</v>
      </c>
      <c r="AK49" s="1041" t="s">
        <v>666</v>
      </c>
      <c r="AL49" s="1042" t="s">
        <v>667</v>
      </c>
      <c r="AM49" s="1058">
        <f>_xlfn.XLOOKUP(Table4[[#This Row],[PO]],Table1[PO],Table1[نسبة المخطط التراكمي حتى 31 أكتوبر 2026],0)</f>
        <v>1.0000000000000002</v>
      </c>
      <c r="AN49" s="1058">
        <f>_xlfn.XLOOKUP(Table4[[#This Row],[PO]],Table1[PO],Table1[نسبة الانجاز التراكمي المطلوب للإنتظام],0)</f>
        <v>0.90100000000000025</v>
      </c>
      <c r="AO49" s="1060">
        <f>_xlfn.XLOOKUP(Table4[[#This Row],[PO]],Table1[PO],Table1[النسبة المطلوب زيادتها في أكتوبر 2026 للإنتظام],0)</f>
        <v>0</v>
      </c>
      <c r="AP49" s="1058">
        <f>_xlfn.XLOOKUP(Table4[[#This Row],[PO]],Table1[PO],Table1[نسبة الانجاز التراكمي المطلوب لتجنب التعثر],0)</f>
        <v>0.75100000000000022</v>
      </c>
      <c r="AQ49" s="1061">
        <f>_xlfn.XLOOKUP(Table4[[#This Row],[PO]],Table1[PO],Table1[النسبة المطلوب زيادتها في أكتوبر 2026 لتجنب / الخروج من التعثر],0)</f>
        <v>0</v>
      </c>
      <c r="AR49" s="1058">
        <f>_xlfn.XLOOKUP(E49,Table1[PO],Table1[نسبة المدة المنقضية %],0)</f>
        <v>0.99908759124087587</v>
      </c>
      <c r="AS49" s="1058">
        <f>Table4[[#This Row],[المخطط % التراكمي]]-Table4[[#This Row],[نسبة المدة المنقضية %]]</f>
        <v>9.1240875912412811E-4</v>
      </c>
      <c r="AT49" s="1085" t="s">
        <v>517</v>
      </c>
      <c r="AU49" s="1085" t="s">
        <v>633</v>
      </c>
      <c r="AV49" s="1095" t="s">
        <v>760</v>
      </c>
      <c r="AW49" s="1064" t="s">
        <v>970</v>
      </c>
      <c r="AX49" s="1065" t="s">
        <v>760</v>
      </c>
      <c r="AY49" s="1090"/>
      <c r="AZ49" s="1091" t="s">
        <v>896</v>
      </c>
      <c r="BA49" s="496"/>
      <c r="BB49" s="667" t="s">
        <v>760</v>
      </c>
      <c r="BC49" s="844" t="s">
        <v>809</v>
      </c>
      <c r="BE49" s="667" t="s">
        <v>760</v>
      </c>
      <c r="BF49" s="844" t="s">
        <v>855</v>
      </c>
      <c r="BG49" s="667" t="s">
        <v>760</v>
      </c>
      <c r="BH49" s="844" t="s">
        <v>896</v>
      </c>
      <c r="BI49" s="974"/>
      <c r="BJ49" s="1002"/>
      <c r="BK49" s="974"/>
    </row>
    <row r="50" spans="1:63" ht="58.2" customHeight="1">
      <c r="A50" s="1030">
        <f>SUBTOTAL(3,$E$3:E50)</f>
        <v>48</v>
      </c>
      <c r="B50" s="1031">
        <v>10101</v>
      </c>
      <c r="C50" s="1031" t="s">
        <v>230</v>
      </c>
      <c r="D50" s="1031"/>
      <c r="E50" s="1031">
        <v>901230145</v>
      </c>
      <c r="F50" s="1032" t="str">
        <f>_xlfn.XLOOKUP(Table4[[#This Row],[PO]],Table1[PO],Table1[مدير البرنامج],0)</f>
        <v xml:space="preserve">عبدالله المغذوي </v>
      </c>
      <c r="G50" s="1032" t="str">
        <f>_xlfn.XLOOKUP(Table4[[#This Row],[PO]],Table1[PO],Table1[مدير المشروع],0)</f>
        <v>عبدالله أورقنجي</v>
      </c>
      <c r="H50" s="1032" t="str">
        <f>_xlfn.XLOOKUP(Table4[[#This Row],[PO]],Table1[PO],Table1[اسم المشروع],0)</f>
        <v xml:space="preserve">تنفيذ شبكات وخطوط مياه بالعوينة والعاقول بالمدينة المنورة </v>
      </c>
      <c r="I50" s="1032" t="s">
        <v>173</v>
      </c>
      <c r="J50" s="1032" t="s">
        <v>384</v>
      </c>
      <c r="K50" s="1032" t="str">
        <f>_xlfn.XLOOKUP(Table4[[#This Row],[PO]],Table1[PO],Table1[الإستشاري],0)</f>
        <v>فيوتشر</v>
      </c>
      <c r="L50" s="1031" t="str">
        <f>_xlfn.XLOOKUP(Table4[[#This Row],[PO]],Table1[PO],Table1[تصنيف المشروع],0)</f>
        <v>Water 2</v>
      </c>
      <c r="M50" s="1031" t="s">
        <v>339</v>
      </c>
      <c r="N50" s="1034">
        <f>_xlfn.XLOOKUP(Table4[[#This Row],[PO]],Table1[PO],Table1[مدة التوقف عن العمل بالشهور],0)</f>
        <v>0</v>
      </c>
      <c r="O50" s="1031" t="str">
        <f>_xlfn.XLOOKUP(E50,Table1[PO],Table1[حالة المشروع],0)</f>
        <v>منتظم</v>
      </c>
      <c r="P50" s="1035">
        <f>_xlfn.XLOOKUP(E50,Table1[PO],Table1[بداية المشروع التعاقدية],0)</f>
        <v>45190</v>
      </c>
      <c r="Q50" s="1035">
        <f>_xlfn.XLOOKUP(E50,Table1[PO],Table1[نهاية المشروع المعدلة PMO LIVE],0)</f>
        <v>46706</v>
      </c>
      <c r="R50" s="1036">
        <f>_xlfn.XLOOKUP(Table4[[#This Row],[PO]],Table1[PO],Table1[قيمة المشروع بالضريبة],0)/1000000</f>
        <v>56.750066600000004</v>
      </c>
      <c r="S50" s="1036">
        <f>Table4[[#This Row],[قيمة المشروع بالضريبة]]*Table4[[#This Row],[المنفذ % التراكمي]]</f>
        <v>28.681483659640001</v>
      </c>
      <c r="T50" s="1036">
        <f>Table4[[#This Row],[قيمة المشروع بالضريبة]]*Table4[[#This Row],[المخطط % التراكمي]]</f>
        <v>28.760933752880003</v>
      </c>
      <c r="U50" s="1036">
        <v>1717018.04631304</v>
      </c>
      <c r="V50" s="1036">
        <v>463576.6099999994</v>
      </c>
      <c r="W50" s="1037">
        <v>2</v>
      </c>
      <c r="X50" s="1036">
        <v>25999311.010000002</v>
      </c>
      <c r="Y50" s="1037">
        <v>30</v>
      </c>
      <c r="Z50" s="1036">
        <v>26462887.620000001</v>
      </c>
      <c r="AA50" s="1037">
        <v>32</v>
      </c>
      <c r="AB50" s="1038">
        <f>_xlfn.XLOOKUP(Table4[[#This Row],[PO]],Table1[PO],Table1[نسبة الإيقاف%],0)</f>
        <v>0</v>
      </c>
      <c r="AC50" s="1038">
        <f>_xlfn.XLOOKUP(Table4[[#This Row],[PO]],Table1[PO],Table1[المنفذ % - الإسبوع السابق],0)</f>
        <v>0.50480000000000003</v>
      </c>
      <c r="AD50" s="1038" t="str">
        <f>_xlfn.XLOOKUP(Table4[[#This Row],[PO]],Table1[PO],Table1[موقف تقديم الخطة التصحيحية],0)</f>
        <v>➖</v>
      </c>
      <c r="AE50" s="1039">
        <f>_xlfn.XLOOKUP(E50,Table1[PO],Table1[المخطط % التراكمي],0)</f>
        <v>0.50680000000000003</v>
      </c>
      <c r="AF50" s="1039">
        <f>_xlfn.XLOOKUP(E50,Table1[PO],Table1[المنفذ % التراكمي],0)</f>
        <v>0.50539999999999996</v>
      </c>
      <c r="AG50" s="1038">
        <f t="shared" si="1"/>
        <v>-1.4000000000000679E-3</v>
      </c>
      <c r="AH50" s="1068">
        <f>_xlfn.XLOOKUP(E50,Table1[PO],Table1[تاريخ دخول المشروع التعثر بالمدة المنقضية],0)</f>
        <v>47085</v>
      </c>
      <c r="AI50" s="1041">
        <v>46497</v>
      </c>
      <c r="AJ50" s="1080">
        <v>46619</v>
      </c>
      <c r="AK50" s="1041">
        <v>46527</v>
      </c>
      <c r="AL50" s="1080">
        <v>46690</v>
      </c>
      <c r="AM50" s="1038">
        <f>_xlfn.XLOOKUP(Table4[[#This Row],[PO]],Table1[PO],Table1[نسبة المخطط التراكمي حتى 31 أكتوبر 2026],0)</f>
        <v>0.50848077172395434</v>
      </c>
      <c r="AN50" s="1038">
        <f>_xlfn.XLOOKUP(Table4[[#This Row],[PO]],Table1[PO],Table1[نسبة الانجاز التراكمي المطلوب للإنتظام],0)</f>
        <v>0.40948077172395436</v>
      </c>
      <c r="AO50" s="1069">
        <f>_xlfn.XLOOKUP(Table4[[#This Row],[PO]],Table1[PO],Table1[النسبة المطلوب زيادتها في أكتوبر 2026 للإنتظام],0)</f>
        <v>0</v>
      </c>
      <c r="AP50" s="1038">
        <f>_xlfn.XLOOKUP(Table4[[#This Row],[PO]],Table1[PO],Table1[نسبة الانجاز التراكمي المطلوب لتجنب التعثر],0)</f>
        <v>0.25948077172395434</v>
      </c>
      <c r="AQ50" s="1070">
        <f>_xlfn.XLOOKUP(Table4[[#This Row],[PO]],Table1[PO],Table1[النسبة المطلوب زيادتها في أكتوبر 2026 لتجنب / الخروج من التعثر],0)</f>
        <v>0</v>
      </c>
      <c r="AR50" s="1038">
        <f>_xlfn.XLOOKUP(E50,Table1[PO],Table1[نسبة المدة المنقضية %],0)</f>
        <v>0.73878627968337729</v>
      </c>
      <c r="AS50" s="1038">
        <f>Table4[[#This Row],[المخطط % التراكمي]]-Table4[[#This Row],[نسبة المدة المنقضية %]]</f>
        <v>-0.23198627968337726</v>
      </c>
      <c r="AT50" s="1043" t="s">
        <v>517</v>
      </c>
      <c r="AU50" s="1043" t="s">
        <v>633</v>
      </c>
      <c r="AV50" s="1099" t="s">
        <v>633</v>
      </c>
      <c r="AW50" s="1047" t="s">
        <v>647</v>
      </c>
      <c r="AX50" s="1074" t="s">
        <v>633</v>
      </c>
      <c r="AY50" s="1049"/>
      <c r="AZ50" s="1094" t="s">
        <v>633</v>
      </c>
      <c r="BA50" s="496"/>
      <c r="BB50" s="666" t="s">
        <v>771</v>
      </c>
      <c r="BC50" s="846" t="s">
        <v>792</v>
      </c>
      <c r="BE50" s="666" t="s">
        <v>771</v>
      </c>
      <c r="BF50" s="846" t="s">
        <v>834</v>
      </c>
      <c r="BG50" s="666" t="s">
        <v>771</v>
      </c>
      <c r="BH50" s="984" t="s">
        <v>633</v>
      </c>
      <c r="BI50" s="974"/>
      <c r="BJ50" s="1002"/>
      <c r="BK50" s="974"/>
    </row>
    <row r="51" spans="1:63" ht="75">
      <c r="A51" s="1051">
        <f>SUBTOTAL(3,$E$3:E51)</f>
        <v>49</v>
      </c>
      <c r="B51" s="1052" t="s">
        <v>696</v>
      </c>
      <c r="C51" s="1052" t="s">
        <v>713</v>
      </c>
      <c r="D51" s="1052"/>
      <c r="E51" s="1052">
        <v>601240064</v>
      </c>
      <c r="F51" s="1053" t="s">
        <v>476</v>
      </c>
      <c r="G51" s="1053" t="s">
        <v>730</v>
      </c>
      <c r="H51" s="1053" t="s">
        <v>497</v>
      </c>
      <c r="I51" s="1053" t="s">
        <v>475</v>
      </c>
      <c r="J51" s="1053" t="s">
        <v>469</v>
      </c>
      <c r="K51" s="1053" t="s">
        <v>111</v>
      </c>
      <c r="L51" s="1052" t="s">
        <v>694</v>
      </c>
      <c r="M51" s="1052" t="s">
        <v>339</v>
      </c>
      <c r="N51" s="1054">
        <v>0</v>
      </c>
      <c r="O51" s="1052" t="s">
        <v>78</v>
      </c>
      <c r="P51" s="1055">
        <v>45453</v>
      </c>
      <c r="Q51" s="1055">
        <v>47058</v>
      </c>
      <c r="R51" s="1056">
        <v>39.499049999999997</v>
      </c>
      <c r="S51" s="1056">
        <f>Table4[[#This Row],[قيمة المشروع بالضريبة]]*Table4[[#This Row],[المنفذ % التراكمي]]</f>
        <v>18.687000555000001</v>
      </c>
      <c r="T51" s="1056">
        <f>Table4[[#This Row],[قيمة المشروع بالضريبة]]*Table4[[#This Row],[المخطط % التراكمي]]</f>
        <v>18.568503404999998</v>
      </c>
      <c r="U51" s="1056">
        <v>899272.647826083</v>
      </c>
      <c r="V51" s="1056">
        <v>363472.46000000089</v>
      </c>
      <c r="W51" s="1057">
        <v>2</v>
      </c>
      <c r="X51" s="1056">
        <v>17115568.73</v>
      </c>
      <c r="Y51" s="1057">
        <v>19</v>
      </c>
      <c r="Z51" s="1056">
        <v>17479041.190000001</v>
      </c>
      <c r="AA51" s="1057">
        <v>21</v>
      </c>
      <c r="AB51" s="1058">
        <v>0</v>
      </c>
      <c r="AC51" s="1058">
        <v>0.47249999999999998</v>
      </c>
      <c r="AD51" s="1058" t="s">
        <v>122</v>
      </c>
      <c r="AE51" s="1059">
        <v>0.47010000000000002</v>
      </c>
      <c r="AF51" s="1059">
        <v>0.47310000000000002</v>
      </c>
      <c r="AG51" s="1058">
        <f>Table4[[#This Row],[المنفذ % التراكمي]]-Table4[[#This Row],[المخطط % التراكمي]]</f>
        <v>3.0000000000000027E-3</v>
      </c>
      <c r="AH51" s="1076">
        <v>47459.25</v>
      </c>
      <c r="AI51" s="1041">
        <v>46627</v>
      </c>
      <c r="AJ51" s="1042">
        <v>46771</v>
      </c>
      <c r="AK51" s="1041">
        <v>46607</v>
      </c>
      <c r="AL51" s="1042">
        <v>46780</v>
      </c>
      <c r="AM51" s="1085">
        <v>0.47420000000000001</v>
      </c>
      <c r="AN51" s="1085">
        <f>Table4[[#This Row],[نسبة المخطط التراكمي حتى 31 اكتوبر 2026]]-9.9%</f>
        <v>0.37519999999999998</v>
      </c>
      <c r="AO51" s="1086">
        <v>0</v>
      </c>
      <c r="AP51" s="1059">
        <f>Table4[[#This Row],[نسبة المخطط التراكمي حتى 31 اكتوبر 2026]]-24.9%</f>
        <v>0.22520000000000001</v>
      </c>
      <c r="AQ51" s="1109">
        <v>0</v>
      </c>
      <c r="AR51" s="1058">
        <v>0.53271028037383172</v>
      </c>
      <c r="AS51" s="1058">
        <f>Table4[[#This Row],[المخطط % التراكمي]]-Table4[[#This Row],[نسبة المدة المنقضية %]]</f>
        <v>-6.2610280373831706E-2</v>
      </c>
      <c r="AT51" s="1085" t="s">
        <v>517</v>
      </c>
      <c r="AU51" s="1085" t="s">
        <v>633</v>
      </c>
      <c r="AV51" s="1095" t="s">
        <v>633</v>
      </c>
      <c r="AW51" s="1110" t="s">
        <v>647</v>
      </c>
      <c r="AX51" s="1111" t="s">
        <v>633</v>
      </c>
      <c r="AY51" s="1112"/>
      <c r="AZ51" s="1067" t="s">
        <v>633</v>
      </c>
      <c r="BB51" s="815" t="s">
        <v>526</v>
      </c>
      <c r="BC51" s="849" t="s">
        <v>633</v>
      </c>
      <c r="BE51" s="814" t="s">
        <v>526</v>
      </c>
      <c r="BF51" s="841" t="s">
        <v>633</v>
      </c>
      <c r="BG51" s="814" t="s">
        <v>526</v>
      </c>
      <c r="BH51" s="841" t="s">
        <v>633</v>
      </c>
      <c r="BI51" s="974"/>
      <c r="BJ51" s="1002"/>
      <c r="BK51" s="974"/>
    </row>
    <row r="52" spans="1:63" ht="64.2" customHeight="1">
      <c r="A52" s="1030">
        <f>SUBTOTAL(3,$E$3:E52)</f>
        <v>50</v>
      </c>
      <c r="B52" s="1031" t="s">
        <v>697</v>
      </c>
      <c r="C52" s="1031" t="s">
        <v>714</v>
      </c>
      <c r="D52" s="1031"/>
      <c r="E52" s="1031">
        <v>601240116</v>
      </c>
      <c r="F52" s="1032" t="s">
        <v>476</v>
      </c>
      <c r="G52" s="1032" t="s">
        <v>479</v>
      </c>
      <c r="H52" s="1032" t="s">
        <v>488</v>
      </c>
      <c r="I52" s="1032" t="s">
        <v>489</v>
      </c>
      <c r="J52" s="1032" t="s">
        <v>469</v>
      </c>
      <c r="K52" s="1032" t="s">
        <v>123</v>
      </c>
      <c r="L52" s="1031" t="s">
        <v>694</v>
      </c>
      <c r="M52" s="1031" t="s">
        <v>338</v>
      </c>
      <c r="N52" s="1034">
        <v>0</v>
      </c>
      <c r="O52" s="1031" t="s">
        <v>78</v>
      </c>
      <c r="P52" s="1035">
        <v>45505</v>
      </c>
      <c r="Q52" s="1035">
        <v>46809</v>
      </c>
      <c r="R52" s="1036">
        <v>12.4743835</v>
      </c>
      <c r="S52" s="1036">
        <f>Table4[[#This Row],[قيمة المشروع بالضريبة]]*Table4[[#This Row],[المنفذ % التراكمي]]</f>
        <v>5.3702220967500001</v>
      </c>
      <c r="T52" s="1036">
        <f>Table4[[#This Row],[قيمة المشروع بالضريبة]]*Table4[[#This Row],[المخطط % التراكمي]]</f>
        <v>4.7689568120499999</v>
      </c>
      <c r="U52" s="1036">
        <v>-63680.829478261061</v>
      </c>
      <c r="V52" s="1036">
        <v>428427.60999999847</v>
      </c>
      <c r="W52" s="1037">
        <v>3</v>
      </c>
      <c r="X52" s="1036">
        <v>4841633.5100000007</v>
      </c>
      <c r="Y52" s="1037">
        <v>20</v>
      </c>
      <c r="Z52" s="1036">
        <v>5270061.1199999992</v>
      </c>
      <c r="AA52" s="1037">
        <v>23</v>
      </c>
      <c r="AB52" s="1038">
        <v>0.5</v>
      </c>
      <c r="AC52" s="1038">
        <v>0.4304</v>
      </c>
      <c r="AD52" s="1038" t="s">
        <v>122</v>
      </c>
      <c r="AE52" s="1039">
        <v>0.38229999999999997</v>
      </c>
      <c r="AF52" s="1039">
        <v>0.43049999999999999</v>
      </c>
      <c r="AG52" s="1038">
        <f>Table4[[#This Row],[المنفذ % التراكمي]]-Table4[[#This Row],[المخطط % التراكمي]]</f>
        <v>4.8200000000000021E-2</v>
      </c>
      <c r="AH52" s="1068">
        <v>47045</v>
      </c>
      <c r="AI52" s="1041">
        <v>46622</v>
      </c>
      <c r="AJ52" s="1042">
        <v>46720</v>
      </c>
      <c r="AK52" s="1041">
        <v>46694</v>
      </c>
      <c r="AL52" s="1042">
        <v>46713</v>
      </c>
      <c r="AM52" s="1043">
        <v>0.38479999999999998</v>
      </c>
      <c r="AN52" s="1043">
        <f>Table4[[#This Row],[نسبة المخطط التراكمي حتى 31 اكتوبر 2026]]-9.9%</f>
        <v>0.28579999999999994</v>
      </c>
      <c r="AO52" s="1044">
        <v>0</v>
      </c>
      <c r="AP52" s="1039">
        <f>Table4[[#This Row],[نسبة المخطط التراكمي حتى 31 اكتوبر 2026]]-24.9%</f>
        <v>0.13579999999999998</v>
      </c>
      <c r="AQ52" s="1113">
        <v>0</v>
      </c>
      <c r="AR52" s="1038">
        <v>0.65097402597402598</v>
      </c>
      <c r="AS52" s="1038">
        <f>Table4[[#This Row],[المخطط % التراكمي]]-Table4[[#This Row],[نسبة المدة المنقضية %]]</f>
        <v>-0.26867402597402601</v>
      </c>
      <c r="AT52" s="1043" t="s">
        <v>517</v>
      </c>
      <c r="AU52" s="1043" t="s">
        <v>633</v>
      </c>
      <c r="AV52" s="1099" t="s">
        <v>633</v>
      </c>
      <c r="AW52" s="1114" t="s">
        <v>647</v>
      </c>
      <c r="AX52" s="1115" t="s">
        <v>633</v>
      </c>
      <c r="AY52" s="1116"/>
      <c r="AZ52" s="1094" t="s">
        <v>633</v>
      </c>
      <c r="BB52" s="688" t="s">
        <v>764</v>
      </c>
      <c r="BC52" s="846" t="s">
        <v>795</v>
      </c>
      <c r="BE52" s="813" t="s">
        <v>764</v>
      </c>
      <c r="BF52" s="846" t="s">
        <v>864</v>
      </c>
      <c r="BG52" s="813" t="s">
        <v>764</v>
      </c>
      <c r="BH52" s="845" t="s">
        <v>899</v>
      </c>
      <c r="BI52" s="974"/>
      <c r="BJ52" s="1002"/>
      <c r="BK52" s="974"/>
    </row>
    <row r="53" spans="1:63" ht="45">
      <c r="A53" s="1051">
        <f>SUBTOTAL(3,$E$3:E53)</f>
        <v>51</v>
      </c>
      <c r="B53" s="1052" t="s">
        <v>698</v>
      </c>
      <c r="C53" s="1052" t="s">
        <v>715</v>
      </c>
      <c r="D53" s="1052"/>
      <c r="E53" s="1052">
        <v>601240142</v>
      </c>
      <c r="F53" s="1053" t="s">
        <v>476</v>
      </c>
      <c r="G53" s="1053" t="s">
        <v>479</v>
      </c>
      <c r="H53" s="1053" t="s">
        <v>477</v>
      </c>
      <c r="I53" s="1053" t="s">
        <v>478</v>
      </c>
      <c r="J53" s="1053" t="s">
        <v>469</v>
      </c>
      <c r="K53" s="1053" t="s">
        <v>123</v>
      </c>
      <c r="L53" s="1052" t="s">
        <v>694</v>
      </c>
      <c r="M53" s="1052" t="s">
        <v>339</v>
      </c>
      <c r="N53" s="1054">
        <v>0</v>
      </c>
      <c r="O53" s="1052" t="s">
        <v>78</v>
      </c>
      <c r="P53" s="1055">
        <v>45614</v>
      </c>
      <c r="Q53" s="1055">
        <v>46763</v>
      </c>
      <c r="R53" s="1056">
        <v>51.427999999999997</v>
      </c>
      <c r="S53" s="1056">
        <f>Table4[[#This Row],[قيمة المشروع بالضريبة]]*Table4[[#This Row],[المنفذ % التراكمي]]</f>
        <v>28.372827599999997</v>
      </c>
      <c r="T53" s="1056">
        <f>Table4[[#This Row],[قيمة المشروع بالضريبة]]*Table4[[#This Row],[المخطط % التراكمي]]</f>
        <v>25.636858</v>
      </c>
      <c r="U53" s="1056">
        <v>79641.452173911035</v>
      </c>
      <c r="V53" s="1056">
        <v>5332549.1999999993</v>
      </c>
      <c r="W53" s="1057">
        <v>2</v>
      </c>
      <c r="X53" s="1056">
        <v>22665836.73</v>
      </c>
      <c r="Y53" s="1057">
        <v>16</v>
      </c>
      <c r="Z53" s="1056">
        <v>27998385.93</v>
      </c>
      <c r="AA53" s="1057">
        <v>18</v>
      </c>
      <c r="AB53" s="1058">
        <v>0</v>
      </c>
      <c r="AC53" s="1058">
        <v>0.55169999999999997</v>
      </c>
      <c r="AD53" s="1058" t="s">
        <v>122</v>
      </c>
      <c r="AE53" s="1059">
        <v>0.4985</v>
      </c>
      <c r="AF53" s="1059">
        <v>0.55169999999999997</v>
      </c>
      <c r="AG53" s="1058">
        <f>Table4[[#This Row],[المنفذ % التراكمي]]-Table4[[#This Row],[المخطط % التراكمي]]</f>
        <v>5.319999999999997E-2</v>
      </c>
      <c r="AH53" s="1076">
        <v>47050.25</v>
      </c>
      <c r="AI53" s="1041">
        <v>46409</v>
      </c>
      <c r="AJ53" s="1042">
        <v>46615</v>
      </c>
      <c r="AK53" s="1041">
        <v>46566</v>
      </c>
      <c r="AL53" s="1042">
        <v>46662</v>
      </c>
      <c r="AM53" s="1085">
        <v>0.50890000000000002</v>
      </c>
      <c r="AN53" s="1085">
        <f>Table4[[#This Row],[نسبة المخطط التراكمي حتى 31 اكتوبر 2026]]-9.9%</f>
        <v>0.40990000000000004</v>
      </c>
      <c r="AO53" s="1086">
        <v>0</v>
      </c>
      <c r="AP53" s="1059">
        <f>Table4[[#This Row],[نسبة المخطط التراكمي حتى 31 اكتوبر 2026]]-24.9%</f>
        <v>0.25990000000000002</v>
      </c>
      <c r="AQ53" s="1109">
        <v>0</v>
      </c>
      <c r="AR53" s="1117">
        <v>0.60313315926892952</v>
      </c>
      <c r="AS53" s="1117">
        <f>Table4[[#This Row],[المخطط % التراكمي]]-Table4[[#This Row],[نسبة المدة المنقضية %]]</f>
        <v>-0.10463315926892952</v>
      </c>
      <c r="AT53" s="1085" t="s">
        <v>517</v>
      </c>
      <c r="AU53" s="1085" t="s">
        <v>633</v>
      </c>
      <c r="AV53" s="1095" t="s">
        <v>633</v>
      </c>
      <c r="AW53" s="1110" t="s">
        <v>647</v>
      </c>
      <c r="AX53" s="1111" t="s">
        <v>633</v>
      </c>
      <c r="AY53" s="1112"/>
      <c r="AZ53" s="1067" t="s">
        <v>633</v>
      </c>
      <c r="BB53" s="815" t="s">
        <v>526</v>
      </c>
      <c r="BC53" s="849" t="s">
        <v>633</v>
      </c>
      <c r="BE53" s="814" t="s">
        <v>526</v>
      </c>
      <c r="BF53" s="841" t="s">
        <v>633</v>
      </c>
      <c r="BG53" s="814" t="s">
        <v>526</v>
      </c>
      <c r="BH53" s="841" t="s">
        <v>633</v>
      </c>
      <c r="BI53" s="974"/>
      <c r="BJ53" s="1002"/>
      <c r="BK53" s="974"/>
    </row>
    <row r="54" spans="1:63" ht="57.6">
      <c r="A54" s="1030">
        <f>SUBTOTAL(3,$E$3:E54)</f>
        <v>52</v>
      </c>
      <c r="B54" s="1031" t="s">
        <v>699</v>
      </c>
      <c r="C54" s="1031" t="s">
        <v>716</v>
      </c>
      <c r="D54" s="1031"/>
      <c r="E54" s="1031">
        <v>601240159</v>
      </c>
      <c r="F54" s="1032" t="s">
        <v>476</v>
      </c>
      <c r="G54" s="1032" t="s">
        <v>730</v>
      </c>
      <c r="H54" s="1032" t="s">
        <v>474</v>
      </c>
      <c r="I54" s="1032" t="s">
        <v>475</v>
      </c>
      <c r="J54" s="1032" t="s">
        <v>469</v>
      </c>
      <c r="K54" s="1032" t="s">
        <v>111</v>
      </c>
      <c r="L54" s="1031" t="s">
        <v>694</v>
      </c>
      <c r="M54" s="1031" t="s">
        <v>339</v>
      </c>
      <c r="N54" s="1034">
        <v>0</v>
      </c>
      <c r="O54" s="1031" t="s">
        <v>78</v>
      </c>
      <c r="P54" s="1035">
        <v>45698</v>
      </c>
      <c r="Q54" s="1035">
        <v>46839</v>
      </c>
      <c r="R54" s="1036">
        <v>26.374445000000001</v>
      </c>
      <c r="S54" s="1036">
        <f>Table4[[#This Row],[قيمة المشروع بالضريبة]]*Table4[[#This Row],[المنفذ % التراكمي]]</f>
        <v>8.4530096225000015</v>
      </c>
      <c r="T54" s="1036">
        <f>Table4[[#This Row],[قيمة المشروع بالضريبة]]*Table4[[#This Row],[المخطط % التراكمي]]</f>
        <v>7.8015608310000006</v>
      </c>
      <c r="U54" s="1036">
        <v>6782.950434781611</v>
      </c>
      <c r="V54" s="1036">
        <v>452189.20000000019</v>
      </c>
      <c r="W54" s="1037">
        <v>2</v>
      </c>
      <c r="X54" s="1036">
        <v>7172774.79</v>
      </c>
      <c r="Y54" s="1037">
        <v>14</v>
      </c>
      <c r="Z54" s="1036">
        <v>7624963.9900000002</v>
      </c>
      <c r="AA54" s="1037">
        <v>16</v>
      </c>
      <c r="AB54" s="1038">
        <v>0</v>
      </c>
      <c r="AC54" s="1038">
        <v>0.32050000000000001</v>
      </c>
      <c r="AD54" s="1038" t="s">
        <v>122</v>
      </c>
      <c r="AE54" s="1039">
        <v>0.29580000000000001</v>
      </c>
      <c r="AF54" s="1039">
        <v>0.32050000000000001</v>
      </c>
      <c r="AG54" s="1038">
        <f>Table4[[#This Row],[المنفذ % التراكمي]]-Table4[[#This Row],[المخطط % التراكمي]]</f>
        <v>2.47E-2</v>
      </c>
      <c r="AH54" s="1068">
        <v>47223</v>
      </c>
      <c r="AI54" s="1041">
        <v>46598</v>
      </c>
      <c r="AJ54" s="1042">
        <v>46668</v>
      </c>
      <c r="AK54" s="1041">
        <v>46517</v>
      </c>
      <c r="AL54" s="1042">
        <v>46975</v>
      </c>
      <c r="AM54" s="1043">
        <v>0.29930000000000001</v>
      </c>
      <c r="AN54" s="1043">
        <f>Table4[[#This Row],[نسبة المخطط التراكمي حتى 31 اكتوبر 2026]]-9.9%</f>
        <v>0.20030000000000001</v>
      </c>
      <c r="AO54" s="1044">
        <v>0</v>
      </c>
      <c r="AP54" s="1039">
        <f>Table4[[#This Row],[نسبة المخطط التراكمي حتى 31 اكتوبر 2026]]-24.9%</f>
        <v>5.0300000000000011E-2</v>
      </c>
      <c r="AQ54" s="1113">
        <v>0</v>
      </c>
      <c r="AR54" s="1118">
        <v>0.5</v>
      </c>
      <c r="AS54" s="1118">
        <f>Table4[[#This Row],[المخطط % التراكمي]]-Table4[[#This Row],[نسبة المدة المنقضية %]]</f>
        <v>-0.20419999999999999</v>
      </c>
      <c r="AT54" s="1043" t="s">
        <v>517</v>
      </c>
      <c r="AU54" s="1043" t="s">
        <v>633</v>
      </c>
      <c r="AV54" s="1099" t="s">
        <v>633</v>
      </c>
      <c r="AW54" s="1114" t="s">
        <v>647</v>
      </c>
      <c r="AX54" s="1115" t="s">
        <v>633</v>
      </c>
      <c r="AY54" s="1119"/>
      <c r="AZ54" s="1075" t="s">
        <v>633</v>
      </c>
      <c r="BB54" s="812" t="s">
        <v>769</v>
      </c>
      <c r="BC54" s="848" t="s">
        <v>812</v>
      </c>
      <c r="BE54" s="813" t="s">
        <v>526</v>
      </c>
      <c r="BF54" s="842" t="s">
        <v>633</v>
      </c>
      <c r="BG54" s="813" t="s">
        <v>526</v>
      </c>
      <c r="BH54" s="842" t="s">
        <v>633</v>
      </c>
      <c r="BI54" s="974"/>
      <c r="BJ54" s="1002"/>
      <c r="BK54" s="974"/>
    </row>
    <row r="55" spans="1:63" ht="57.6">
      <c r="A55" s="1051">
        <f>SUBTOTAL(3,$E$3:E55)</f>
        <v>53</v>
      </c>
      <c r="B55" s="1052" t="s">
        <v>700</v>
      </c>
      <c r="C55" s="1052" t="s">
        <v>717</v>
      </c>
      <c r="D55" s="1052"/>
      <c r="E55" s="1052">
        <v>601240160</v>
      </c>
      <c r="F55" s="1053" t="s">
        <v>470</v>
      </c>
      <c r="G55" s="1053" t="s">
        <v>471</v>
      </c>
      <c r="H55" s="1053" t="s">
        <v>504</v>
      </c>
      <c r="I55" s="1053" t="s">
        <v>655</v>
      </c>
      <c r="J55" s="1053" t="s">
        <v>469</v>
      </c>
      <c r="K55" s="1053" t="s">
        <v>123</v>
      </c>
      <c r="L55" s="1052" t="s">
        <v>321</v>
      </c>
      <c r="M55" s="1052" t="s">
        <v>339</v>
      </c>
      <c r="N55" s="1054">
        <v>0</v>
      </c>
      <c r="O55" s="1052" t="s">
        <v>77</v>
      </c>
      <c r="P55" s="1055">
        <v>45581</v>
      </c>
      <c r="Q55" s="1055">
        <v>47111</v>
      </c>
      <c r="R55" s="1056">
        <v>37.878652850000002</v>
      </c>
      <c r="S55" s="1056">
        <f>Table4[[#This Row],[قيمة المشروع بالضريبة]]*Table4[[#This Row],[المنفذ % التراكمي]]</f>
        <v>11.416625968990001</v>
      </c>
      <c r="T55" s="1056">
        <f>Table4[[#This Row],[قيمة المشروع بالضريبة]]*Table4[[#This Row],[المخطط % التراكمي]]</f>
        <v>12.960134714000047</v>
      </c>
      <c r="U55" s="1056">
        <v>662182.82782173902</v>
      </c>
      <c r="V55" s="1056">
        <v>394070.52999999933</v>
      </c>
      <c r="W55" s="1057">
        <v>2</v>
      </c>
      <c r="X55" s="1056">
        <v>10234530.130000001</v>
      </c>
      <c r="Y55" s="1057">
        <v>15</v>
      </c>
      <c r="Z55" s="1056">
        <v>10628600.66</v>
      </c>
      <c r="AA55" s="1057">
        <v>17</v>
      </c>
      <c r="AB55" s="1058">
        <v>0</v>
      </c>
      <c r="AC55" s="1058">
        <v>0.3014</v>
      </c>
      <c r="AD55" s="1058" t="s">
        <v>122</v>
      </c>
      <c r="AE55" s="1059">
        <v>0.34214877612787242</v>
      </c>
      <c r="AF55" s="1059">
        <v>0.3014</v>
      </c>
      <c r="AG55" s="1058">
        <f>Table4[[#This Row],[المنفذ % التراكمي]]-Table4[[#This Row],[المخطط % التراكمي]]</f>
        <v>-4.0748776127872421E-2</v>
      </c>
      <c r="AH55" s="1076">
        <v>47493.5</v>
      </c>
      <c r="AI55" s="1041">
        <v>46505</v>
      </c>
      <c r="AJ55" s="1042">
        <v>46668</v>
      </c>
      <c r="AK55" s="1041">
        <v>46525</v>
      </c>
      <c r="AL55" s="1042">
        <v>46675</v>
      </c>
      <c r="AM55" s="1085">
        <v>0.34849999999999998</v>
      </c>
      <c r="AN55" s="1085">
        <f>Table4[[#This Row],[نسبة المخطط التراكمي حتى 31 اكتوبر 2026]]-9.9%</f>
        <v>0.24949999999999997</v>
      </c>
      <c r="AO55" s="1086">
        <v>0</v>
      </c>
      <c r="AP55" s="1059">
        <f>Table4[[#This Row],[نسبة المخطط التراكمي حتى 31 اكتوبر 2026]]-24.9%</f>
        <v>9.9499999999999977E-2</v>
      </c>
      <c r="AQ55" s="1109">
        <v>0</v>
      </c>
      <c r="AR55" s="1117">
        <v>0.47450980392156861</v>
      </c>
      <c r="AS55" s="1117">
        <f>Table4[[#This Row],[المخطط % التراكمي]]-Table4[[#This Row],[نسبة المدة المنقضية %]]</f>
        <v>-0.13236102779369618</v>
      </c>
      <c r="AT55" s="1085" t="s">
        <v>517</v>
      </c>
      <c r="AU55" s="1085" t="s">
        <v>633</v>
      </c>
      <c r="AV55" s="1095" t="s">
        <v>746</v>
      </c>
      <c r="AW55" s="1065" t="s">
        <v>980</v>
      </c>
      <c r="AX55" s="1111" t="s">
        <v>746</v>
      </c>
      <c r="AY55" s="1112"/>
      <c r="AZ55" s="1092" t="s">
        <v>1003</v>
      </c>
      <c r="BB55" s="815" t="s">
        <v>769</v>
      </c>
      <c r="BC55" s="849" t="s">
        <v>749</v>
      </c>
      <c r="BE55" s="814" t="s">
        <v>769</v>
      </c>
      <c r="BF55" s="845" t="s">
        <v>854</v>
      </c>
      <c r="BG55" s="814" t="s">
        <v>769</v>
      </c>
      <c r="BH55" s="845" t="s">
        <v>897</v>
      </c>
      <c r="BI55" s="974"/>
      <c r="BJ55" s="1002"/>
      <c r="BK55" s="974"/>
    </row>
    <row r="56" spans="1:63" ht="57.6">
      <c r="A56" s="1030">
        <f>SUBTOTAL(3,$E$3:E56)</f>
        <v>54</v>
      </c>
      <c r="B56" s="1031" t="s">
        <v>701</v>
      </c>
      <c r="C56" s="1031" t="s">
        <v>718</v>
      </c>
      <c r="D56" s="1031"/>
      <c r="E56" s="1031">
        <v>601240171</v>
      </c>
      <c r="F56" s="1032" t="s">
        <v>470</v>
      </c>
      <c r="G56" s="1032" t="s">
        <v>471</v>
      </c>
      <c r="H56" s="1032" t="s">
        <v>506</v>
      </c>
      <c r="I56" s="1032" t="s">
        <v>507</v>
      </c>
      <c r="J56" s="1032" t="s">
        <v>469</v>
      </c>
      <c r="K56" s="1032" t="s">
        <v>123</v>
      </c>
      <c r="L56" s="1031" t="s">
        <v>321</v>
      </c>
      <c r="M56" s="1031" t="s">
        <v>338</v>
      </c>
      <c r="N56" s="1034">
        <v>0</v>
      </c>
      <c r="O56" s="1031" t="s">
        <v>78</v>
      </c>
      <c r="P56" s="1035">
        <v>45578</v>
      </c>
      <c r="Q56" s="1035">
        <v>46718</v>
      </c>
      <c r="R56" s="1036">
        <v>47.358200090000004</v>
      </c>
      <c r="S56" s="1036">
        <f>Table4[[#This Row],[قيمة المشروع بالضريبة]]*Table4[[#This Row],[المنفذ % التراكمي]]</f>
        <v>34.675674105898004</v>
      </c>
      <c r="T56" s="1036">
        <f>Table4[[#This Row],[قيمة المشروع بالضريبة]]*Table4[[#This Row],[المخطط % التراكمي]]</f>
        <v>34.329959245241</v>
      </c>
      <c r="U56" s="1036">
        <v>-245327.37560347468</v>
      </c>
      <c r="V56" s="1036">
        <v>4319053.629999999</v>
      </c>
      <c r="W56" s="1037">
        <v>4</v>
      </c>
      <c r="X56" s="1036">
        <v>30250409.720000003</v>
      </c>
      <c r="Y56" s="1037">
        <v>16</v>
      </c>
      <c r="Z56" s="1036">
        <v>34569463.350000001</v>
      </c>
      <c r="AA56" s="1037">
        <v>20</v>
      </c>
      <c r="AB56" s="1038">
        <v>0</v>
      </c>
      <c r="AC56" s="1038">
        <v>0.73160000000000003</v>
      </c>
      <c r="AD56" s="1038" t="s">
        <v>122</v>
      </c>
      <c r="AE56" s="1039">
        <v>0.72489999999999999</v>
      </c>
      <c r="AF56" s="1039">
        <v>0.73219999999999996</v>
      </c>
      <c r="AG56" s="1038">
        <f>Table4[[#This Row],[المنفذ % التراكمي]]-Table4[[#This Row],[المخطط % التراكمي]]</f>
        <v>7.2999999999999732E-3</v>
      </c>
      <c r="AH56" s="1068">
        <v>47334.25</v>
      </c>
      <c r="AI56" s="1041">
        <v>46582</v>
      </c>
      <c r="AJ56" s="1042">
        <v>46663</v>
      </c>
      <c r="AK56" s="1041" t="s">
        <v>666</v>
      </c>
      <c r="AL56" s="1042" t="s">
        <v>667</v>
      </c>
      <c r="AM56" s="1043">
        <v>0.72560000000000002</v>
      </c>
      <c r="AN56" s="1043">
        <f>Table4[[#This Row],[نسبة المخطط التراكمي حتى 31 اكتوبر 2026]]-9.9%</f>
        <v>0.62660000000000005</v>
      </c>
      <c r="AO56" s="1044">
        <v>0</v>
      </c>
      <c r="AP56" s="1039">
        <f>Table4[[#This Row],[نسبة المخطط التراكمي حتى 31 اكتوبر 2026]]-24.9%</f>
        <v>0.47660000000000002</v>
      </c>
      <c r="AQ56" s="1113">
        <v>0</v>
      </c>
      <c r="AR56" s="1118">
        <v>0.51886120996441276</v>
      </c>
      <c r="AS56" s="1118">
        <f>Table4[[#This Row],[المخطط % التراكمي]]-Table4[[#This Row],[نسبة المدة المنقضية %]]</f>
        <v>0.20603879003558723</v>
      </c>
      <c r="AT56" s="1043" t="s">
        <v>517</v>
      </c>
      <c r="AU56" s="1043" t="s">
        <v>633</v>
      </c>
      <c r="AV56" s="1099" t="s">
        <v>633</v>
      </c>
      <c r="AW56" s="1114" t="s">
        <v>647</v>
      </c>
      <c r="AX56" s="1115" t="s">
        <v>633</v>
      </c>
      <c r="AY56" s="1116"/>
      <c r="AZ56" s="1075" t="s">
        <v>633</v>
      </c>
      <c r="BB56" s="812" t="s">
        <v>769</v>
      </c>
      <c r="BC56" s="848" t="s">
        <v>811</v>
      </c>
      <c r="BE56" s="813" t="s">
        <v>526</v>
      </c>
      <c r="BF56" s="842" t="s">
        <v>633</v>
      </c>
      <c r="BG56" s="813" t="s">
        <v>526</v>
      </c>
      <c r="BH56" s="842" t="s">
        <v>633</v>
      </c>
      <c r="BI56" s="974"/>
      <c r="BJ56" s="1002"/>
      <c r="BK56" s="974"/>
    </row>
    <row r="57" spans="1:63" ht="45">
      <c r="A57" s="1051">
        <f>SUBTOTAL(3,$E$3:E57)</f>
        <v>55</v>
      </c>
      <c r="B57" s="1052" t="s">
        <v>702</v>
      </c>
      <c r="C57" s="1052" t="s">
        <v>719</v>
      </c>
      <c r="D57" s="1052"/>
      <c r="E57" s="1052">
        <v>601240224</v>
      </c>
      <c r="F57" s="1053" t="s">
        <v>476</v>
      </c>
      <c r="G57" s="1053" t="s">
        <v>479</v>
      </c>
      <c r="H57" s="1053" t="s">
        <v>480</v>
      </c>
      <c r="I57" s="1053" t="s">
        <v>481</v>
      </c>
      <c r="J57" s="1053" t="s">
        <v>469</v>
      </c>
      <c r="K57" s="1053" t="s">
        <v>123</v>
      </c>
      <c r="L57" s="1052" t="s">
        <v>694</v>
      </c>
      <c r="M57" s="1052" t="s">
        <v>339</v>
      </c>
      <c r="N57" s="1054">
        <v>0</v>
      </c>
      <c r="O57" s="1052" t="s">
        <v>77</v>
      </c>
      <c r="P57" s="1055">
        <v>45725</v>
      </c>
      <c r="Q57" s="1055">
        <v>46471</v>
      </c>
      <c r="R57" s="1056">
        <v>14.7585259</v>
      </c>
      <c r="S57" s="1056">
        <f>Table4[[#This Row],[قيمة المشروع بالضريبة]]*Table4[[#This Row],[المنفذ % التراكمي]]</f>
        <v>8.3872702689700009</v>
      </c>
      <c r="T57" s="1056">
        <f>Table4[[#This Row],[قيمة المشروع بالضريبة]]*Table4[[#This Row],[المخطط % التراكمي]]</f>
        <v>8.7916538786300009</v>
      </c>
      <c r="U57" s="1056">
        <v>-20826.684491305612</v>
      </c>
      <c r="V57" s="1056">
        <v>209570.96000000183</v>
      </c>
      <c r="W57" s="1057">
        <v>1</v>
      </c>
      <c r="X57" s="1056">
        <v>8005361.5999999996</v>
      </c>
      <c r="Y57" s="1057">
        <v>16</v>
      </c>
      <c r="Z57" s="1056">
        <v>8214932.5600000015</v>
      </c>
      <c r="AA57" s="1057">
        <v>17</v>
      </c>
      <c r="AB57" s="1058">
        <v>0.24</v>
      </c>
      <c r="AC57" s="1058">
        <v>0.56830000000000003</v>
      </c>
      <c r="AD57" s="1058" t="s">
        <v>122</v>
      </c>
      <c r="AE57" s="1059">
        <v>0.59570000000000001</v>
      </c>
      <c r="AF57" s="1059">
        <v>0.56830000000000003</v>
      </c>
      <c r="AG57" s="1058">
        <f>Table4[[#This Row],[المنفذ % التراكمي]]-Table4[[#This Row],[المخطط % التراكمي]]</f>
        <v>-2.739999999999998E-2</v>
      </c>
      <c r="AH57" s="1076">
        <v>46657.5</v>
      </c>
      <c r="AI57" s="1041">
        <v>46366</v>
      </c>
      <c r="AJ57" s="1042">
        <v>46453</v>
      </c>
      <c r="AK57" s="1041">
        <v>46460</v>
      </c>
      <c r="AL57" s="1042">
        <v>46468</v>
      </c>
      <c r="AM57" s="1085">
        <v>0.61299999999999999</v>
      </c>
      <c r="AN57" s="1085">
        <f>Table4[[#This Row],[نسبة المخطط التراكمي حتى 31 اكتوبر 2026]]-9.9%</f>
        <v>0.51400000000000001</v>
      </c>
      <c r="AO57" s="1086">
        <v>0</v>
      </c>
      <c r="AP57" s="1059">
        <f>Table4[[#This Row],[نسبة المخطط التراكمي حتى 31 اكتوبر 2026]]-24.9%</f>
        <v>0.36399999999999999</v>
      </c>
      <c r="AQ57" s="1109">
        <v>0</v>
      </c>
      <c r="AR57" s="1120">
        <v>0.78016085790884715</v>
      </c>
      <c r="AS57" s="1120">
        <f>Table4[[#This Row],[المخطط % التراكمي]]-Table4[[#This Row],[نسبة المدة المنقضية %]]</f>
        <v>-0.18446085790884714</v>
      </c>
      <c r="AT57" s="1085" t="s">
        <v>517</v>
      </c>
      <c r="AU57" s="1085" t="s">
        <v>633</v>
      </c>
      <c r="AV57" s="1095" t="s">
        <v>633</v>
      </c>
      <c r="AW57" s="1065" t="s">
        <v>647</v>
      </c>
      <c r="AX57" s="1111" t="s">
        <v>633</v>
      </c>
      <c r="AY57" s="1112"/>
      <c r="AZ57" s="1092" t="s">
        <v>633</v>
      </c>
      <c r="BB57" s="814" t="s">
        <v>526</v>
      </c>
      <c r="BC57" s="849" t="s">
        <v>633</v>
      </c>
      <c r="BE57" s="814" t="s">
        <v>526</v>
      </c>
      <c r="BF57" s="845" t="s">
        <v>633</v>
      </c>
      <c r="BG57" s="814" t="s">
        <v>526</v>
      </c>
      <c r="BH57" s="845" t="s">
        <v>633</v>
      </c>
      <c r="BI57" s="974"/>
      <c r="BJ57" s="1002"/>
      <c r="BK57" s="974"/>
    </row>
    <row r="58" spans="1:63" ht="109.2" customHeight="1">
      <c r="A58" s="1030">
        <f>SUBTOTAL(3,$E$3:E58)</f>
        <v>56</v>
      </c>
      <c r="B58" s="1031" t="s">
        <v>703</v>
      </c>
      <c r="C58" s="1031" t="s">
        <v>720</v>
      </c>
      <c r="D58" s="1031"/>
      <c r="E58" s="1031">
        <v>601240239</v>
      </c>
      <c r="F58" s="1032" t="s">
        <v>470</v>
      </c>
      <c r="G58" s="1032" t="s">
        <v>501</v>
      </c>
      <c r="H58" s="1032" t="s">
        <v>472</v>
      </c>
      <c r="I58" s="1032" t="s">
        <v>473</v>
      </c>
      <c r="J58" s="1032" t="s">
        <v>469</v>
      </c>
      <c r="K58" s="1032" t="s">
        <v>123</v>
      </c>
      <c r="L58" s="1031" t="s">
        <v>321</v>
      </c>
      <c r="M58" s="1031" t="s">
        <v>339</v>
      </c>
      <c r="N58" s="1034">
        <v>0</v>
      </c>
      <c r="O58" s="1031" t="s">
        <v>77</v>
      </c>
      <c r="P58" s="1035">
        <v>45753</v>
      </c>
      <c r="Q58" s="1035">
        <v>46847</v>
      </c>
      <c r="R58" s="1036">
        <v>21.863995500000001</v>
      </c>
      <c r="S58" s="1036">
        <f>Table4[[#This Row],[قيمة المشروع بالضريبة]]*Table4[[#This Row],[المنفذ % التراكمي]]</f>
        <v>5.0724469560000003</v>
      </c>
      <c r="T58" s="1036">
        <f>Table4[[#This Row],[قيمة المشروع بالضريبة]]*Table4[[#This Row],[المخطط % التراكمي]]</f>
        <v>5.6758932317999999</v>
      </c>
      <c r="U58" s="1036">
        <v>209913.43743478274</v>
      </c>
      <c r="V58" s="1036">
        <v>334932</v>
      </c>
      <c r="W58" s="1037">
        <v>3</v>
      </c>
      <c r="X58" s="1036">
        <v>4170340.9699999997</v>
      </c>
      <c r="Y58" s="1037">
        <v>11</v>
      </c>
      <c r="Z58" s="1036">
        <v>4505272.97</v>
      </c>
      <c r="AA58" s="1037">
        <v>14</v>
      </c>
      <c r="AB58" s="1038">
        <v>0</v>
      </c>
      <c r="AC58" s="1038">
        <v>0.23</v>
      </c>
      <c r="AD58" s="1038" t="s">
        <v>122</v>
      </c>
      <c r="AE58" s="1039">
        <v>0.2596</v>
      </c>
      <c r="AF58" s="1039">
        <v>0.23200000000000001</v>
      </c>
      <c r="AG58" s="1038">
        <f>Table4[[#This Row],[المنفذ % التراكمي]]-Table4[[#This Row],[المخطط % التراكمي]]</f>
        <v>-2.7599999999999986E-2</v>
      </c>
      <c r="AH58" s="1068">
        <v>47120.5</v>
      </c>
      <c r="AI58" s="1041">
        <v>46410</v>
      </c>
      <c r="AJ58" s="1042">
        <v>46606</v>
      </c>
      <c r="AK58" s="1041">
        <v>46530</v>
      </c>
      <c r="AL58" s="1042">
        <v>46629</v>
      </c>
      <c r="AM58" s="1043">
        <v>0.26400000000000001</v>
      </c>
      <c r="AN58" s="1043">
        <f>Table4[[#This Row],[نسبة المخطط التراكمي حتى 31 اكتوبر 2026]]-9.9%</f>
        <v>0.16500000000000001</v>
      </c>
      <c r="AO58" s="1044">
        <v>0</v>
      </c>
      <c r="AP58" s="1039">
        <f>Table4[[#This Row],[نسبة المخطط التراكمي حتى 31 اكتوبر 2026]]-24.9%</f>
        <v>1.5000000000000013E-2</v>
      </c>
      <c r="AQ58" s="1113">
        <v>0</v>
      </c>
      <c r="AR58" s="1039">
        <v>0.50639853747714803</v>
      </c>
      <c r="AS58" s="1039">
        <f>Table4[[#This Row],[المخطط % التراكمي]]-Table4[[#This Row],[نسبة المدة المنقضية %]]</f>
        <v>-0.24679853747714803</v>
      </c>
      <c r="AT58" s="1043" t="s">
        <v>517</v>
      </c>
      <c r="AU58" s="1043" t="s">
        <v>633</v>
      </c>
      <c r="AV58" s="1099" t="s">
        <v>633</v>
      </c>
      <c r="AW58" s="1114" t="s">
        <v>1018</v>
      </c>
      <c r="AX58" s="1121" t="s">
        <v>633</v>
      </c>
      <c r="AY58" s="1119"/>
      <c r="AZ58" s="1122" t="s">
        <v>633</v>
      </c>
      <c r="BB58" s="813" t="s">
        <v>526</v>
      </c>
      <c r="BC58" s="846" t="s">
        <v>633</v>
      </c>
      <c r="BE58" s="688" t="s">
        <v>526</v>
      </c>
      <c r="BF58" s="848" t="s">
        <v>633</v>
      </c>
      <c r="BG58" s="688" t="s">
        <v>526</v>
      </c>
      <c r="BH58" s="848" t="s">
        <v>633</v>
      </c>
      <c r="BI58" s="974"/>
      <c r="BJ58" s="1002"/>
      <c r="BK58" s="974"/>
    </row>
    <row r="59" spans="1:63" ht="121.2" customHeight="1">
      <c r="A59" s="1051">
        <f>SUBTOTAL(3,$E$3:E59)</f>
        <v>57</v>
      </c>
      <c r="B59" s="1052" t="s">
        <v>704</v>
      </c>
      <c r="C59" s="1052" t="s">
        <v>721</v>
      </c>
      <c r="D59" s="1052"/>
      <c r="E59" s="1052">
        <v>601250001</v>
      </c>
      <c r="F59" s="1053" t="s">
        <v>476</v>
      </c>
      <c r="G59" s="1053" t="s">
        <v>492</v>
      </c>
      <c r="H59" s="1053" t="s">
        <v>490</v>
      </c>
      <c r="I59" s="1053" t="s">
        <v>491</v>
      </c>
      <c r="J59" s="1053" t="s">
        <v>469</v>
      </c>
      <c r="K59" s="1053" t="s">
        <v>123</v>
      </c>
      <c r="L59" s="1052" t="s">
        <v>694</v>
      </c>
      <c r="M59" s="1052" t="s">
        <v>338</v>
      </c>
      <c r="N59" s="1054">
        <v>0</v>
      </c>
      <c r="O59" s="1052" t="s">
        <v>78</v>
      </c>
      <c r="P59" s="1055">
        <v>45761</v>
      </c>
      <c r="Q59" s="1055">
        <v>47179</v>
      </c>
      <c r="R59" s="1056">
        <v>23.655694350000001</v>
      </c>
      <c r="S59" s="1056">
        <f>Table4[[#This Row],[قيمة المشروع بالضريبة]]*Table4[[#This Row],[المنفذ % التراكمي]]</f>
        <v>4.2012513165600005</v>
      </c>
      <c r="T59" s="1056">
        <f>Table4[[#This Row],[قيمة المشروع بالضريبة]]*Table4[[#This Row],[المخطط % التراكمي]]</f>
        <v>3.6840933560000058</v>
      </c>
      <c r="U59" s="1056">
        <v>494455.71786521655</v>
      </c>
      <c r="V59" s="1056">
        <v>115134.93000000017</v>
      </c>
      <c r="W59" s="1057">
        <v>1</v>
      </c>
      <c r="X59" s="1056">
        <v>3354268.02</v>
      </c>
      <c r="Y59" s="1057">
        <v>10</v>
      </c>
      <c r="Z59" s="1056">
        <v>3469402.95</v>
      </c>
      <c r="AA59" s="1057">
        <v>11</v>
      </c>
      <c r="AB59" s="1058">
        <v>0</v>
      </c>
      <c r="AC59" s="1058">
        <v>0.17760000000000001</v>
      </c>
      <c r="AD59" s="1058" t="s">
        <v>122</v>
      </c>
      <c r="AE59" s="1059">
        <v>0.15573811960417072</v>
      </c>
      <c r="AF59" s="1059">
        <v>0.17760000000000001</v>
      </c>
      <c r="AG59" s="1058">
        <f>Table4[[#This Row],[المنفذ % التراكمي]]-Table4[[#This Row],[المخطط % التراكمي]]</f>
        <v>2.1861880395829286E-2</v>
      </c>
      <c r="AH59" s="1076">
        <v>47533.5</v>
      </c>
      <c r="AI59" s="1041">
        <v>46668</v>
      </c>
      <c r="AJ59" s="1042">
        <v>46842</v>
      </c>
      <c r="AK59" s="1041">
        <v>46786</v>
      </c>
      <c r="AL59" s="1042">
        <v>46866</v>
      </c>
      <c r="AM59" s="1085">
        <v>0.15620000000000001</v>
      </c>
      <c r="AN59" s="1085">
        <f>Table4[[#This Row],[نسبة المخطط التراكمي حتى 31 اكتوبر 2026]]-9.9%</f>
        <v>5.7200000000000001E-2</v>
      </c>
      <c r="AO59" s="1086">
        <v>0</v>
      </c>
      <c r="AP59" s="1059">
        <f>Table4[[#This Row],[نسبة المخطط التراكمي حتى 31 اكتوبر 2026]]-24.9%</f>
        <v>-9.2799999999999994E-2</v>
      </c>
      <c r="AQ59" s="1109">
        <v>0</v>
      </c>
      <c r="AR59" s="1120">
        <v>0.38504936530324402</v>
      </c>
      <c r="AS59" s="1120">
        <f>Table4[[#This Row],[المخطط % التراكمي]]-Table4[[#This Row],[نسبة المدة المنقضية %]]</f>
        <v>-0.2293112456990733</v>
      </c>
      <c r="AT59" s="1085" t="s">
        <v>517</v>
      </c>
      <c r="AU59" s="1085" t="s">
        <v>1034</v>
      </c>
      <c r="AV59" s="1095" t="s">
        <v>747</v>
      </c>
      <c r="AW59" s="1110" t="s">
        <v>647</v>
      </c>
      <c r="AX59" s="1111" t="s">
        <v>739</v>
      </c>
      <c r="AY59" s="1112"/>
      <c r="AZ59" s="1092" t="s">
        <v>1015</v>
      </c>
      <c r="BB59" s="814" t="s">
        <v>739</v>
      </c>
      <c r="BC59" s="845" t="s">
        <v>794</v>
      </c>
      <c r="BE59" s="814" t="s">
        <v>739</v>
      </c>
      <c r="BF59" s="845" t="s">
        <v>835</v>
      </c>
      <c r="BG59" s="814" t="s">
        <v>739</v>
      </c>
      <c r="BH59" s="845" t="s">
        <v>889</v>
      </c>
      <c r="BI59" s="974"/>
      <c r="BJ59" s="1002"/>
      <c r="BK59" s="974"/>
    </row>
    <row r="60" spans="1:63" ht="115.2">
      <c r="A60" s="1030">
        <f>SUBTOTAL(3,$E$3:E60)</f>
        <v>58</v>
      </c>
      <c r="B60" s="1031" t="s">
        <v>705</v>
      </c>
      <c r="C60" s="1031" t="s">
        <v>722</v>
      </c>
      <c r="D60" s="1031"/>
      <c r="E60" s="1031">
        <v>601250007</v>
      </c>
      <c r="F60" s="1032" t="s">
        <v>470</v>
      </c>
      <c r="G60" s="1032" t="s">
        <v>471</v>
      </c>
      <c r="H60" s="1032" t="s">
        <v>451</v>
      </c>
      <c r="I60" s="1032" t="s">
        <v>450</v>
      </c>
      <c r="J60" s="1032" t="s">
        <v>469</v>
      </c>
      <c r="K60" s="1032" t="s">
        <v>123</v>
      </c>
      <c r="L60" s="1031" t="s">
        <v>321</v>
      </c>
      <c r="M60" s="1031" t="s">
        <v>339</v>
      </c>
      <c r="N60" s="1034">
        <v>0</v>
      </c>
      <c r="O60" s="1031" t="s">
        <v>78</v>
      </c>
      <c r="P60" s="1035">
        <v>45726</v>
      </c>
      <c r="Q60" s="1035">
        <v>46820</v>
      </c>
      <c r="R60" s="1036">
        <v>18.198750459999999</v>
      </c>
      <c r="S60" s="1036">
        <f>Table4[[#This Row],[قيمة المشروع بالضريبة]]*Table4[[#This Row],[المنفذ % التراكمي]]</f>
        <v>6.6243451674399996</v>
      </c>
      <c r="T60" s="1036">
        <f>Table4[[#This Row],[قيمة المشروع بالضريبة]]*Table4[[#This Row],[المخطط % التراكمي]]</f>
        <v>6.6207054173479998</v>
      </c>
      <c r="U60" s="1036">
        <v>512886.4126608707</v>
      </c>
      <c r="V60" s="1036">
        <v>0</v>
      </c>
      <c r="W60" s="1037">
        <v>0</v>
      </c>
      <c r="X60" s="1036">
        <v>5524960.7800000012</v>
      </c>
      <c r="Y60" s="1037">
        <v>12</v>
      </c>
      <c r="Z60" s="1036">
        <v>5524960.7799999993</v>
      </c>
      <c r="AA60" s="1037">
        <v>12</v>
      </c>
      <c r="AB60" s="1038">
        <v>0</v>
      </c>
      <c r="AC60" s="1038">
        <v>0.36120000000000002</v>
      </c>
      <c r="AD60" s="1038" t="s">
        <v>122</v>
      </c>
      <c r="AE60" s="1039">
        <v>0.36380000000000001</v>
      </c>
      <c r="AF60" s="1039">
        <v>0.36399999999999999</v>
      </c>
      <c r="AG60" s="1038">
        <f>Table4[[#This Row],[المنفذ % التراكمي]]-Table4[[#This Row],[المخطط % التراكمي]]</f>
        <v>1.9999999999997797E-4</v>
      </c>
      <c r="AH60" s="1068">
        <v>47093.5</v>
      </c>
      <c r="AI60" s="1041">
        <v>46435</v>
      </c>
      <c r="AJ60" s="1042">
        <v>46610</v>
      </c>
      <c r="AK60" s="1041">
        <v>46660</v>
      </c>
      <c r="AL60" s="1042">
        <v>46745</v>
      </c>
      <c r="AM60" s="1043">
        <v>0.37369999999999998</v>
      </c>
      <c r="AN60" s="1043">
        <f>Table4[[#This Row],[نسبة المخطط التراكمي حتى 31 اكتوبر 2026]]-9.9%</f>
        <v>0.27469999999999994</v>
      </c>
      <c r="AO60" s="1044">
        <v>0</v>
      </c>
      <c r="AP60" s="1039">
        <f>Table4[[#This Row],[نسبة المخطط التراكمي حتى 31 اكتوبر 2026]]-24.9%</f>
        <v>0.12469999999999998</v>
      </c>
      <c r="AQ60" s="1113">
        <v>0</v>
      </c>
      <c r="AR60" s="1123">
        <v>0.53107861060329065</v>
      </c>
      <c r="AS60" s="1123">
        <f>Table4[[#This Row],[المخطط % التراكمي]]-Table4[[#This Row],[نسبة المدة المنقضية %]]</f>
        <v>-0.16727861060329063</v>
      </c>
      <c r="AT60" s="1043" t="s">
        <v>517</v>
      </c>
      <c r="AU60" s="1043" t="s">
        <v>1035</v>
      </c>
      <c r="AV60" s="1099" t="s">
        <v>748</v>
      </c>
      <c r="AW60" s="1114" t="s">
        <v>647</v>
      </c>
      <c r="AX60" s="1115" t="s">
        <v>748</v>
      </c>
      <c r="AY60" s="1124"/>
      <c r="AZ60" s="1094" t="s">
        <v>993</v>
      </c>
      <c r="BB60" s="688" t="s">
        <v>772</v>
      </c>
      <c r="BC60" s="848" t="s">
        <v>793</v>
      </c>
      <c r="BE60" s="813" t="s">
        <v>748</v>
      </c>
      <c r="BF60" s="846" t="s">
        <v>836</v>
      </c>
      <c r="BG60" s="813" t="s">
        <v>748</v>
      </c>
      <c r="BH60" s="846" t="s">
        <v>890</v>
      </c>
      <c r="BI60" s="974"/>
      <c r="BJ60" s="1002"/>
      <c r="BK60" s="974"/>
    </row>
    <row r="61" spans="1:63" ht="45">
      <c r="A61" s="1051">
        <f>SUBTOTAL(3,$E$3:E61)</f>
        <v>59</v>
      </c>
      <c r="B61" s="1052" t="s">
        <v>706</v>
      </c>
      <c r="C61" s="1052" t="s">
        <v>723</v>
      </c>
      <c r="D61" s="1052"/>
      <c r="E61" s="1052">
        <v>601250072</v>
      </c>
      <c r="F61" s="1053" t="s">
        <v>470</v>
      </c>
      <c r="G61" s="1053" t="s">
        <v>731</v>
      </c>
      <c r="H61" s="1053" t="s">
        <v>486</v>
      </c>
      <c r="I61" s="1053" t="s">
        <v>487</v>
      </c>
      <c r="J61" s="1053" t="s">
        <v>469</v>
      </c>
      <c r="K61" s="1053" t="s">
        <v>123</v>
      </c>
      <c r="L61" s="1052" t="s">
        <v>321</v>
      </c>
      <c r="M61" s="1052" t="s">
        <v>339</v>
      </c>
      <c r="N61" s="1054">
        <v>0</v>
      </c>
      <c r="O61" s="1052" t="s">
        <v>78</v>
      </c>
      <c r="P61" s="1055">
        <v>45823</v>
      </c>
      <c r="Q61" s="1055">
        <v>47210</v>
      </c>
      <c r="R61" s="1056">
        <v>19.030257500000001</v>
      </c>
      <c r="S61" s="1056">
        <f>Table4[[#This Row],[قيمة المشروع بالضريبة]]*Table4[[#This Row],[المنفذ % التراكمي]]</f>
        <v>5.5568351900000001</v>
      </c>
      <c r="T61" s="1056">
        <f>Table4[[#This Row],[قيمة المشروع بالضريبة]]*Table4[[#This Row],[المخطط % التراكمي]]</f>
        <v>2.9192415005000005</v>
      </c>
      <c r="U61" s="1056">
        <v>-341412.03913043533</v>
      </c>
      <c r="V61" s="1056">
        <v>2522649.0699999994</v>
      </c>
      <c r="W61" s="1057">
        <v>4</v>
      </c>
      <c r="X61" s="1056">
        <v>2627539.1500000004</v>
      </c>
      <c r="Y61" s="1057">
        <v>8</v>
      </c>
      <c r="Z61" s="1056">
        <v>5150188.22</v>
      </c>
      <c r="AA61" s="1057">
        <v>12</v>
      </c>
      <c r="AB61" s="1058">
        <v>0</v>
      </c>
      <c r="AC61" s="1058">
        <v>0.28199999999999997</v>
      </c>
      <c r="AD61" s="1058" t="s">
        <v>122</v>
      </c>
      <c r="AE61" s="1059">
        <v>0.15340000000000001</v>
      </c>
      <c r="AF61" s="1059">
        <v>0.29199999999999998</v>
      </c>
      <c r="AG61" s="1058">
        <f>Table4[[#This Row],[المنفذ % التراكمي]]-Table4[[#This Row],[المخطط % التراكمي]]</f>
        <v>0.13859999999999997</v>
      </c>
      <c r="AH61" s="1076">
        <v>47556.75</v>
      </c>
      <c r="AI61" s="1041">
        <v>46540</v>
      </c>
      <c r="AJ61" s="1042">
        <v>46724</v>
      </c>
      <c r="AK61" s="1041" t="s">
        <v>666</v>
      </c>
      <c r="AL61" s="1042" t="s">
        <v>667</v>
      </c>
      <c r="AM61" s="1085">
        <v>0.15429999999999999</v>
      </c>
      <c r="AN61" s="1085">
        <f>Table4[[#This Row],[نسبة المخطط التراكمي حتى 31 اكتوبر 2026]]-9.9%</f>
        <v>5.5299999999999988E-2</v>
      </c>
      <c r="AO61" s="1086">
        <v>0</v>
      </c>
      <c r="AP61" s="1059">
        <f>Table4[[#This Row],[نسبة المخطط التراكمي حتى 31 اكتوبر 2026]]-24.9%</f>
        <v>-9.4700000000000006E-2</v>
      </c>
      <c r="AQ61" s="1109">
        <v>0</v>
      </c>
      <c r="AR61" s="1120">
        <v>0.34895457822638787</v>
      </c>
      <c r="AS61" s="1120">
        <f>Table4[[#This Row],[المخطط % التراكمي]]-Table4[[#This Row],[نسبة المدة المنقضية %]]</f>
        <v>-0.19555457822638786</v>
      </c>
      <c r="AT61" s="1085" t="s">
        <v>517</v>
      </c>
      <c r="AU61" s="1085" t="s">
        <v>633</v>
      </c>
      <c r="AV61" s="1095" t="s">
        <v>633</v>
      </c>
      <c r="AW61" s="1125" t="s">
        <v>647</v>
      </c>
      <c r="AX61" s="1111" t="s">
        <v>633</v>
      </c>
      <c r="AY61" s="1112"/>
      <c r="AZ61" s="1126" t="s">
        <v>633</v>
      </c>
      <c r="BB61" s="814" t="s">
        <v>810</v>
      </c>
      <c r="BC61" s="845" t="s">
        <v>633</v>
      </c>
      <c r="BE61" s="814" t="s">
        <v>810</v>
      </c>
      <c r="BF61" s="849" t="s">
        <v>633</v>
      </c>
      <c r="BG61" s="814" t="s">
        <v>633</v>
      </c>
      <c r="BH61" s="849" t="s">
        <v>633</v>
      </c>
      <c r="BI61" s="974"/>
      <c r="BJ61" s="1002"/>
      <c r="BK61" s="974"/>
    </row>
    <row r="62" spans="1:63" ht="90">
      <c r="A62" s="1030">
        <f>SUBTOTAL(3,$E$3:E62)</f>
        <v>60</v>
      </c>
      <c r="B62" s="1031" t="s">
        <v>707</v>
      </c>
      <c r="C62" s="1031" t="s">
        <v>724</v>
      </c>
      <c r="D62" s="1031"/>
      <c r="E62" s="1031">
        <v>601250095</v>
      </c>
      <c r="F62" s="1032" t="s">
        <v>470</v>
      </c>
      <c r="G62" s="1032" t="s">
        <v>731</v>
      </c>
      <c r="H62" s="1032" t="s">
        <v>484</v>
      </c>
      <c r="I62" s="1032" t="s">
        <v>485</v>
      </c>
      <c r="J62" s="1032" t="s">
        <v>469</v>
      </c>
      <c r="K62" s="1032" t="s">
        <v>123</v>
      </c>
      <c r="L62" s="1031" t="s">
        <v>321</v>
      </c>
      <c r="M62" s="1031" t="s">
        <v>339</v>
      </c>
      <c r="N62" s="1034">
        <v>0</v>
      </c>
      <c r="O62" s="1031" t="s">
        <v>77</v>
      </c>
      <c r="P62" s="1035">
        <v>45866</v>
      </c>
      <c r="Q62" s="1035">
        <v>47268</v>
      </c>
      <c r="R62" s="1036">
        <v>43.339563090000006</v>
      </c>
      <c r="S62" s="1036">
        <f>Table4[[#This Row],[قيمة المشروع بالضريبة]]*Table4[[#This Row],[المنفذ % التراكمي]]</f>
        <v>0.17335825236000002</v>
      </c>
      <c r="T62" s="1036">
        <f>Table4[[#This Row],[قيمة المشروع بالضريبة]]*Table4[[#This Row],[المخطط % التراكمي]]</f>
        <v>0.46373332506300002</v>
      </c>
      <c r="U62" s="1036">
        <v>150746.3064</v>
      </c>
      <c r="V62" s="1036">
        <v>0</v>
      </c>
      <c r="W62" s="1037">
        <v>0</v>
      </c>
      <c r="X62" s="1036">
        <v>0</v>
      </c>
      <c r="Y62" s="1037">
        <v>0</v>
      </c>
      <c r="Z62" s="1036">
        <v>0</v>
      </c>
      <c r="AA62" s="1037">
        <v>0</v>
      </c>
      <c r="AB62" s="1038">
        <v>0.19189999999999999</v>
      </c>
      <c r="AC62" s="1038">
        <v>4.0000000000000001E-3</v>
      </c>
      <c r="AD62" s="1038" t="s">
        <v>122</v>
      </c>
      <c r="AE62" s="1039">
        <v>1.0699999999999999E-2</v>
      </c>
      <c r="AF62" s="1039">
        <v>4.0000000000000001E-3</v>
      </c>
      <c r="AG62" s="1038">
        <f>Table4[[#This Row],[المنفذ % التراكمي]]-Table4[[#This Row],[المخطط % التراكمي]]</f>
        <v>-6.6999999999999994E-3</v>
      </c>
      <c r="AH62" s="1068">
        <v>47618.5</v>
      </c>
      <c r="AI62" s="1041">
        <v>46530</v>
      </c>
      <c r="AJ62" s="1042">
        <v>46740</v>
      </c>
      <c r="AK62" s="1041">
        <v>46530</v>
      </c>
      <c r="AL62" s="1042">
        <v>46740</v>
      </c>
      <c r="AM62" s="1043">
        <v>1.54E-2</v>
      </c>
      <c r="AN62" s="1043">
        <f>Table4[[#This Row],[نسبة المخطط التراكمي حتى 31 اكتوبر 2026]]-9.9%</f>
        <v>-8.3600000000000008E-2</v>
      </c>
      <c r="AO62" s="1044">
        <v>0</v>
      </c>
      <c r="AP62" s="1039">
        <f>Table4[[#This Row],[نسبة المخطط التراكمي حتى 31 اكتوبر 2026]]-24.9%</f>
        <v>-0.2336</v>
      </c>
      <c r="AQ62" s="1113">
        <v>0</v>
      </c>
      <c r="AR62" s="1038">
        <v>0.31455064194008558</v>
      </c>
      <c r="AS62" s="1038">
        <f>Table4[[#This Row],[المخطط % التراكمي]]-Table4[[#This Row],[نسبة المدة المنقضية %]]</f>
        <v>-0.3038506419400856</v>
      </c>
      <c r="AT62" s="1043" t="s">
        <v>517</v>
      </c>
      <c r="AU62" s="1043" t="s">
        <v>633</v>
      </c>
      <c r="AV62" s="1099" t="s">
        <v>633</v>
      </c>
      <c r="AW62" s="1114" t="s">
        <v>981</v>
      </c>
      <c r="AX62" s="1127" t="s">
        <v>633</v>
      </c>
      <c r="AY62" s="1119"/>
      <c r="AZ62" s="1122" t="s">
        <v>633</v>
      </c>
      <c r="BB62" s="813" t="s">
        <v>597</v>
      </c>
      <c r="BC62" s="852" t="s">
        <v>633</v>
      </c>
      <c r="BD62" s="852"/>
      <c r="BE62" s="812" t="s">
        <v>597</v>
      </c>
      <c r="BF62" s="848" t="s">
        <v>633</v>
      </c>
      <c r="BG62" s="812" t="s">
        <v>597</v>
      </c>
      <c r="BH62" s="848" t="s">
        <v>633</v>
      </c>
      <c r="BI62" s="974"/>
      <c r="BJ62" s="1002"/>
      <c r="BK62" s="974"/>
    </row>
    <row r="63" spans="1:63" ht="45">
      <c r="A63" s="1051">
        <f>SUBTOTAL(3,$E$3:E63)</f>
        <v>61</v>
      </c>
      <c r="B63" s="1052" t="s">
        <v>708</v>
      </c>
      <c r="C63" s="1052" t="s">
        <v>725</v>
      </c>
      <c r="D63" s="1052"/>
      <c r="E63" s="1052">
        <v>601250132</v>
      </c>
      <c r="F63" s="1053" t="s">
        <v>732</v>
      </c>
      <c r="G63" s="1053" t="s">
        <v>732</v>
      </c>
      <c r="H63" s="1053" t="s">
        <v>482</v>
      </c>
      <c r="I63" s="1053" t="s">
        <v>594</v>
      </c>
      <c r="J63" s="1053" t="s">
        <v>469</v>
      </c>
      <c r="K63" s="1053" t="s">
        <v>123</v>
      </c>
      <c r="L63" s="1052" t="s">
        <v>321</v>
      </c>
      <c r="M63" s="1052" t="s">
        <v>339</v>
      </c>
      <c r="N63" s="1054">
        <v>0</v>
      </c>
      <c r="O63" s="1052" t="s">
        <v>77</v>
      </c>
      <c r="P63" s="1055">
        <v>45937</v>
      </c>
      <c r="Q63" s="1055">
        <v>46957</v>
      </c>
      <c r="R63" s="1056">
        <v>13.7728646</v>
      </c>
      <c r="S63" s="1056">
        <f>Table4[[#This Row],[قيمة المشروع بالضريبة]]*Table4[[#This Row],[المنفذ % التراكمي]]</f>
        <v>0.36084905251999999</v>
      </c>
      <c r="T63" s="1056">
        <f>Table4[[#This Row],[قيمة المشروع بالضريبة]]*Table4[[#This Row],[المخطط % التراكمي]]</f>
        <v>0.57570574027999999</v>
      </c>
      <c r="U63" s="1056">
        <v>137.46478260868753</v>
      </c>
      <c r="V63" s="1056">
        <v>103138.4</v>
      </c>
      <c r="W63" s="1057">
        <v>2</v>
      </c>
      <c r="X63" s="1056">
        <v>0</v>
      </c>
      <c r="Y63" s="1057">
        <v>0</v>
      </c>
      <c r="Z63" s="1056">
        <v>103138.4</v>
      </c>
      <c r="AA63" s="1057">
        <v>2</v>
      </c>
      <c r="AB63" s="1058">
        <v>0</v>
      </c>
      <c r="AC63" s="1058">
        <v>2.5999999999999999E-2</v>
      </c>
      <c r="AD63" s="1058" t="s">
        <v>122</v>
      </c>
      <c r="AE63" s="1059">
        <v>4.1799999999999997E-2</v>
      </c>
      <c r="AF63" s="1059">
        <v>2.6200000000000001E-2</v>
      </c>
      <c r="AG63" s="1058">
        <f>Table4[[#This Row],[المنفذ % التراكمي]]-Table4[[#This Row],[المخطط % التراكمي]]</f>
        <v>-1.5599999999999996E-2</v>
      </c>
      <c r="AH63" s="1076">
        <v>47212</v>
      </c>
      <c r="AI63" s="1041">
        <v>46507</v>
      </c>
      <c r="AJ63" s="1042">
        <v>46683</v>
      </c>
      <c r="AK63" s="1041">
        <v>46580</v>
      </c>
      <c r="AL63" s="1042">
        <v>46707</v>
      </c>
      <c r="AM63" s="1085">
        <v>4.4900000000000002E-2</v>
      </c>
      <c r="AN63" s="1085">
        <f>Table4[[#This Row],[نسبة المخطط التراكمي حتى 31 اكتوبر 2026]]-9.9%</f>
        <v>-5.4100000000000002E-2</v>
      </c>
      <c r="AO63" s="1086">
        <v>0</v>
      </c>
      <c r="AP63" s="1059">
        <f>Table4[[#This Row],[نسبة المخطط التراكمي حتى 31 اكتوبر 2026]]-24.9%</f>
        <v>-0.2041</v>
      </c>
      <c r="AQ63" s="1109">
        <v>0</v>
      </c>
      <c r="AR63" s="1058">
        <v>0.36274509803921567</v>
      </c>
      <c r="AS63" s="1058">
        <f>Table4[[#This Row],[المخطط % التراكمي]]-Table4[[#This Row],[نسبة المدة المنقضية %]]</f>
        <v>-0.32094509803921567</v>
      </c>
      <c r="AT63" s="1085" t="s">
        <v>517</v>
      </c>
      <c r="AU63" s="1085" t="s">
        <v>633</v>
      </c>
      <c r="AV63" s="1095" t="s">
        <v>633</v>
      </c>
      <c r="AW63" s="1089" t="s">
        <v>1019</v>
      </c>
      <c r="AX63" s="1128" t="s">
        <v>633</v>
      </c>
      <c r="AY63" s="1129"/>
      <c r="AZ63" s="1126" t="s">
        <v>633</v>
      </c>
      <c r="BB63" s="814" t="s">
        <v>597</v>
      </c>
      <c r="BC63" s="845" t="s">
        <v>633</v>
      </c>
      <c r="BE63" s="815" t="s">
        <v>597</v>
      </c>
      <c r="BF63" s="849" t="s">
        <v>633</v>
      </c>
      <c r="BG63" s="815" t="s">
        <v>597</v>
      </c>
      <c r="BH63" s="849" t="s">
        <v>633</v>
      </c>
      <c r="BI63" s="974"/>
      <c r="BJ63" s="1002"/>
      <c r="BK63" s="974"/>
    </row>
    <row r="64" spans="1:63" ht="45">
      <c r="A64" s="1051">
        <f>SUBTOTAL(3,$E$3:E64)</f>
        <v>62</v>
      </c>
      <c r="B64" s="1031" t="s">
        <v>709</v>
      </c>
      <c r="C64" s="1031" t="s">
        <v>726</v>
      </c>
      <c r="D64" s="1031"/>
      <c r="E64" s="1052">
        <v>601250143</v>
      </c>
      <c r="F64" s="1032" t="s">
        <v>476</v>
      </c>
      <c r="G64" s="1032" t="s">
        <v>479</v>
      </c>
      <c r="H64" s="1053" t="s">
        <v>510</v>
      </c>
      <c r="I64" s="1053" t="s">
        <v>511</v>
      </c>
      <c r="J64" s="1053" t="s">
        <v>469</v>
      </c>
      <c r="K64" s="1053" t="s">
        <v>123</v>
      </c>
      <c r="L64" s="1052" t="s">
        <v>694</v>
      </c>
      <c r="M64" s="1052" t="s">
        <v>339</v>
      </c>
      <c r="N64" s="1054">
        <v>0</v>
      </c>
      <c r="O64" s="1052" t="s">
        <v>78</v>
      </c>
      <c r="P64" s="1055">
        <v>45998</v>
      </c>
      <c r="Q64" s="1055">
        <v>46955</v>
      </c>
      <c r="R64" s="1036">
        <v>46.497039200000003</v>
      </c>
      <c r="S64" s="1036">
        <f>Table4[[#This Row],[قيمة المشروع بالضريبة]]*Table4[[#This Row],[المنفذ % التراكمي]]</f>
        <v>1.8831300876000001</v>
      </c>
      <c r="T64" s="1036">
        <f>Table4[[#This Row],[قيمة المشروع بالضريبة]]*Table4[[#This Row],[المخطط % التراكمي]]</f>
        <v>1.83198334448</v>
      </c>
      <c r="U64" s="1036">
        <v>179538.91617391305</v>
      </c>
      <c r="V64" s="1036">
        <v>1327932.54</v>
      </c>
      <c r="W64" s="1037">
        <v>2</v>
      </c>
      <c r="X64" s="1036">
        <v>0</v>
      </c>
      <c r="Y64" s="1037">
        <v>0</v>
      </c>
      <c r="Z64" s="1036">
        <v>1327932.54</v>
      </c>
      <c r="AA64" s="1037">
        <v>2</v>
      </c>
      <c r="AB64" s="1038">
        <v>0</v>
      </c>
      <c r="AC64" s="1038">
        <v>3.8300000000000001E-2</v>
      </c>
      <c r="AD64" s="1038" t="s">
        <v>122</v>
      </c>
      <c r="AE64" s="1059">
        <v>3.9399999999999998E-2</v>
      </c>
      <c r="AF64" s="1059">
        <v>4.0500000000000001E-2</v>
      </c>
      <c r="AG64" s="1058">
        <f>Table4[[#This Row],[المنفذ % التراكمي]]-Table4[[#This Row],[المخطط % التراكمي]]</f>
        <v>1.1000000000000038E-3</v>
      </c>
      <c r="AH64" s="1076">
        <v>47194.25</v>
      </c>
      <c r="AI64" s="1041">
        <v>46420</v>
      </c>
      <c r="AJ64" s="1042">
        <v>46593</v>
      </c>
      <c r="AK64" s="1041">
        <v>46522</v>
      </c>
      <c r="AL64" s="1042">
        <v>46655</v>
      </c>
      <c r="AM64" s="1043">
        <v>4.53E-2</v>
      </c>
      <c r="AN64" s="1043">
        <f>Table4[[#This Row],[نسبة المخطط التراكمي حتى 31 اكتوبر 2026]]-9.9%</f>
        <v>-5.3700000000000005E-2</v>
      </c>
      <c r="AO64" s="1044">
        <v>0</v>
      </c>
      <c r="AP64" s="1039">
        <f>Table4[[#This Row],[نسبة المخطط التراكمي حتى 31 اكتوبر 2026]]-24.9%</f>
        <v>-0.20369999999999999</v>
      </c>
      <c r="AQ64" s="1113">
        <v>0</v>
      </c>
      <c r="AR64" s="1038">
        <v>0.32288401253918497</v>
      </c>
      <c r="AS64" s="1038">
        <f>Table4[[#This Row],[المخطط % التراكمي]]-Table4[[#This Row],[نسبة المدة المنقضية %]]</f>
        <v>-0.28348401253918498</v>
      </c>
      <c r="AT64" s="1043" t="s">
        <v>517</v>
      </c>
      <c r="AU64" s="1043" t="s">
        <v>633</v>
      </c>
      <c r="AV64" s="1099" t="s">
        <v>633</v>
      </c>
      <c r="AW64" s="1114" t="s">
        <v>647</v>
      </c>
      <c r="AX64" s="1127" t="s">
        <v>633</v>
      </c>
      <c r="AY64" s="1119"/>
      <c r="AZ64" s="1122" t="s">
        <v>633</v>
      </c>
      <c r="BB64" s="813" t="s">
        <v>597</v>
      </c>
      <c r="BC64" s="852" t="s">
        <v>633</v>
      </c>
      <c r="BD64" s="855"/>
      <c r="BE64" s="812" t="s">
        <v>597</v>
      </c>
      <c r="BF64" s="848" t="s">
        <v>633</v>
      </c>
      <c r="BG64" s="812" t="s">
        <v>597</v>
      </c>
      <c r="BH64" s="848" t="s">
        <v>633</v>
      </c>
      <c r="BI64" s="974"/>
      <c r="BJ64" s="1002"/>
      <c r="BK64" s="974"/>
    </row>
    <row r="65" spans="1:63" ht="45">
      <c r="A65" s="1051">
        <f>SUBTOTAL(3,$E$3:E65)</f>
        <v>63</v>
      </c>
      <c r="B65" s="1052" t="s">
        <v>710</v>
      </c>
      <c r="C65" s="1052" t="s">
        <v>727</v>
      </c>
      <c r="D65" s="1052"/>
      <c r="E65" s="1052">
        <v>601250165</v>
      </c>
      <c r="F65" s="1053" t="s">
        <v>476</v>
      </c>
      <c r="G65" s="1053" t="s">
        <v>733</v>
      </c>
      <c r="H65" s="1053" t="s">
        <v>592</v>
      </c>
      <c r="I65" s="1053" t="s">
        <v>595</v>
      </c>
      <c r="J65" s="1053" t="s">
        <v>469</v>
      </c>
      <c r="K65" s="1053" t="s">
        <v>123</v>
      </c>
      <c r="L65" s="1052" t="s">
        <v>694</v>
      </c>
      <c r="M65" s="1052" t="s">
        <v>338</v>
      </c>
      <c r="N65" s="1054">
        <v>0</v>
      </c>
      <c r="O65" s="1052" t="s">
        <v>78</v>
      </c>
      <c r="P65" s="1055">
        <v>46021</v>
      </c>
      <c r="Q65" s="1055">
        <v>46979</v>
      </c>
      <c r="R65" s="1056">
        <v>42.908569999999997</v>
      </c>
      <c r="S65" s="1056">
        <f>Table4[[#This Row],[قيمة المشروع بالضريبة]]*Table4[[#This Row],[المنفذ % التراكمي]]</f>
        <v>2.7418576229999996</v>
      </c>
      <c r="T65" s="1056">
        <f>Table4[[#This Row],[قيمة المشروع بالضريبة]]*Table4[[#This Row],[المخطط % التراكمي]]</f>
        <v>2.3857164919999998</v>
      </c>
      <c r="U65" s="1056">
        <v>991.08086956525221</v>
      </c>
      <c r="V65" s="1056">
        <v>541289.64999999991</v>
      </c>
      <c r="W65" s="1057">
        <v>1</v>
      </c>
      <c r="X65" s="1056">
        <v>1469982.54</v>
      </c>
      <c r="Y65" s="1057">
        <v>5</v>
      </c>
      <c r="Z65" s="1056">
        <v>2011272.19</v>
      </c>
      <c r="AA65" s="1057">
        <v>6</v>
      </c>
      <c r="AB65" s="1058">
        <v>0</v>
      </c>
      <c r="AC65" s="1058">
        <v>5.9299999999999999E-2</v>
      </c>
      <c r="AD65" s="1058" t="s">
        <v>122</v>
      </c>
      <c r="AE65" s="1059">
        <v>5.5599999999999997E-2</v>
      </c>
      <c r="AF65" s="1059">
        <v>6.3899999999999998E-2</v>
      </c>
      <c r="AG65" s="1058">
        <f>Table4[[#This Row],[المنفذ % التراكمي]]-Table4[[#This Row],[المخطط % التراكمي]]</f>
        <v>8.3000000000000018E-3</v>
      </c>
      <c r="AH65" s="1076">
        <v>47218.5</v>
      </c>
      <c r="AI65" s="1041">
        <v>46484</v>
      </c>
      <c r="AJ65" s="1042">
        <v>46653</v>
      </c>
      <c r="AK65" s="1041">
        <v>46645</v>
      </c>
      <c r="AL65" s="1042">
        <v>46775</v>
      </c>
      <c r="AM65" s="1085">
        <v>6.0699999999999997E-2</v>
      </c>
      <c r="AN65" s="1085">
        <f>Table4[[#This Row],[نسبة المخطط التراكمي حتى 31 اكتوبر 2026]]-9.9%</f>
        <v>-3.8300000000000008E-2</v>
      </c>
      <c r="AO65" s="1086">
        <v>0</v>
      </c>
      <c r="AP65" s="1059">
        <f>Table4[[#This Row],[نسبة المخطط التراكمي حتى 31 اكتوبر 2026]]-24.9%</f>
        <v>-0.1883</v>
      </c>
      <c r="AQ65" s="1109">
        <v>0</v>
      </c>
      <c r="AR65" s="1058">
        <v>0.29853862212943633</v>
      </c>
      <c r="AS65" s="1058">
        <f>Table4[[#This Row],[المخطط % التراكمي]]-Table4[[#This Row],[نسبة المدة المنقضية %]]</f>
        <v>-0.24293862212943634</v>
      </c>
      <c r="AT65" s="1085" t="s">
        <v>517</v>
      </c>
      <c r="AU65" s="1085" t="s">
        <v>633</v>
      </c>
      <c r="AV65" s="1095" t="s">
        <v>633</v>
      </c>
      <c r="AW65" s="1110" t="s">
        <v>647</v>
      </c>
      <c r="AX65" s="1128" t="s">
        <v>633</v>
      </c>
      <c r="AY65" s="1129"/>
      <c r="AZ65" s="1126" t="s">
        <v>633</v>
      </c>
      <c r="BB65" s="814" t="s">
        <v>597</v>
      </c>
      <c r="BC65" s="841" t="s">
        <v>633</v>
      </c>
      <c r="BE65" s="815" t="s">
        <v>597</v>
      </c>
      <c r="BF65" s="849" t="s">
        <v>633</v>
      </c>
      <c r="BG65" s="815" t="s">
        <v>597</v>
      </c>
      <c r="BH65" s="849" t="s">
        <v>633</v>
      </c>
      <c r="BI65" s="974"/>
      <c r="BJ65" s="1002"/>
      <c r="BK65" s="974"/>
    </row>
    <row r="66" spans="1:63" ht="45">
      <c r="A66" s="1030">
        <f>SUBTOTAL(3,$E$3:E66)</f>
        <v>64</v>
      </c>
      <c r="B66" s="1031" t="s">
        <v>711</v>
      </c>
      <c r="C66" s="1031" t="s">
        <v>728</v>
      </c>
      <c r="D66" s="1031">
        <v>4</v>
      </c>
      <c r="E66" s="1031">
        <v>601250198</v>
      </c>
      <c r="F66" s="1032" t="s">
        <v>470</v>
      </c>
      <c r="G66" s="1032" t="s">
        <v>471</v>
      </c>
      <c r="H66" s="1032" t="s">
        <v>582</v>
      </c>
      <c r="I66" s="1032" t="s">
        <v>583</v>
      </c>
      <c r="J66" s="1032" t="s">
        <v>469</v>
      </c>
      <c r="K66" s="1032" t="s">
        <v>123</v>
      </c>
      <c r="L66" s="1031" t="s">
        <v>321</v>
      </c>
      <c r="M66" s="1031" t="s">
        <v>339</v>
      </c>
      <c r="N66" s="1034">
        <v>2</v>
      </c>
      <c r="O66" s="1031" t="s">
        <v>77</v>
      </c>
      <c r="P66" s="1035">
        <v>46014</v>
      </c>
      <c r="Q66" s="1035">
        <v>46743</v>
      </c>
      <c r="R66" s="1036">
        <v>33.339954030000001</v>
      </c>
      <c r="S66" s="1036">
        <f>Table4[[#This Row],[قيمة المشروع بالضريبة]]*Table4[[#This Row],[المنفذ % التراكمي]]</f>
        <v>6.6679908060000006E-3</v>
      </c>
      <c r="T66" s="1036">
        <f>Table4[[#This Row],[قيمة المشروع بالضريبة]]*Table4[[#This Row],[المخطط % التراكمي]]</f>
        <v>1.9437193199489999</v>
      </c>
      <c r="U66" s="1036">
        <v>0</v>
      </c>
      <c r="V66" s="1036">
        <v>0</v>
      </c>
      <c r="W66" s="1037">
        <v>0</v>
      </c>
      <c r="X66" s="1036">
        <v>0</v>
      </c>
      <c r="Y66" s="1037">
        <v>0</v>
      </c>
      <c r="Z66" s="1036">
        <v>0</v>
      </c>
      <c r="AA66" s="1037">
        <v>0</v>
      </c>
      <c r="AB66" s="1038">
        <v>0.49</v>
      </c>
      <c r="AC66" s="1038">
        <v>0</v>
      </c>
      <c r="AD66" s="1130" t="s">
        <v>122</v>
      </c>
      <c r="AE66" s="1039">
        <v>5.8299999999999998E-2</v>
      </c>
      <c r="AF66" s="1039">
        <v>2.0000000000000001E-4</v>
      </c>
      <c r="AG66" s="1038">
        <f>Table4[[#This Row],[المنفذ % التراكمي]]-Table4[[#This Row],[المخطط % التراكمي]]</f>
        <v>-5.8099999999999999E-2</v>
      </c>
      <c r="AH66" s="1068">
        <v>46925.25</v>
      </c>
      <c r="AI66" s="1041">
        <v>46726</v>
      </c>
      <c r="AJ66" s="1042">
        <v>46512</v>
      </c>
      <c r="AK66" s="1041">
        <v>46361</v>
      </c>
      <c r="AL66" s="1042">
        <v>46512</v>
      </c>
      <c r="AM66" s="1043">
        <v>6.2600000000000003E-2</v>
      </c>
      <c r="AN66" s="1043">
        <f>Table4[[#This Row],[نسبة المخطط التراكمي حتى 31 اكتوبر 2026]]-9.9%</f>
        <v>-3.6400000000000002E-2</v>
      </c>
      <c r="AO66" s="1044">
        <v>0</v>
      </c>
      <c r="AP66" s="1039">
        <f>Table4[[#This Row],[نسبة المخطط التراكمي حتى 31 اكتوبر 2026]]-24.9%</f>
        <v>-0.18640000000000001</v>
      </c>
      <c r="AQ66" s="1113">
        <v>0</v>
      </c>
      <c r="AR66" s="1038">
        <v>0.40192043895747598</v>
      </c>
      <c r="AS66" s="1038">
        <f>Table4[[#This Row],[المخطط % التراكمي]]-Table4[[#This Row],[نسبة المدة المنقضية %]]</f>
        <v>-0.34362043895747596</v>
      </c>
      <c r="AT66" s="1043" t="s">
        <v>517</v>
      </c>
      <c r="AU66" s="1043" t="s">
        <v>633</v>
      </c>
      <c r="AV66" s="1099" t="s">
        <v>633</v>
      </c>
      <c r="AW66" s="1047" t="s">
        <v>982</v>
      </c>
      <c r="AX66" s="1121" t="s">
        <v>633</v>
      </c>
      <c r="AY66" s="1119"/>
      <c r="AZ66" s="1094" t="s">
        <v>633</v>
      </c>
      <c r="BB66" s="814" t="s">
        <v>597</v>
      </c>
      <c r="BC66" s="846" t="s">
        <v>633</v>
      </c>
      <c r="BE66" s="688" t="s">
        <v>597</v>
      </c>
      <c r="BF66" s="846" t="s">
        <v>633</v>
      </c>
      <c r="BG66" s="688" t="s">
        <v>597</v>
      </c>
      <c r="BH66" s="846" t="s">
        <v>633</v>
      </c>
      <c r="BI66" s="974"/>
      <c r="BJ66" s="1002"/>
      <c r="BK66" s="974"/>
    </row>
    <row r="67" spans="1:63" ht="60.6" thickBot="1">
      <c r="A67" s="1131">
        <f>SUBTOTAL(3,$E$3:E67)</f>
        <v>65</v>
      </c>
      <c r="B67" s="1132" t="s">
        <v>712</v>
      </c>
      <c r="C67" s="1132" t="s">
        <v>729</v>
      </c>
      <c r="D67" s="1132"/>
      <c r="E67" s="1132">
        <v>601250242</v>
      </c>
      <c r="F67" s="1133" t="s">
        <v>476</v>
      </c>
      <c r="G67" s="1133" t="s">
        <v>734</v>
      </c>
      <c r="H67" s="1133" t="s">
        <v>593</v>
      </c>
      <c r="I67" s="1133" t="s">
        <v>596</v>
      </c>
      <c r="J67" s="1133" t="s">
        <v>469</v>
      </c>
      <c r="K67" s="1133" t="s">
        <v>111</v>
      </c>
      <c r="L67" s="1132" t="s">
        <v>694</v>
      </c>
      <c r="M67" s="1132" t="s">
        <v>339</v>
      </c>
      <c r="N67" s="1134">
        <v>0</v>
      </c>
      <c r="O67" s="1132" t="s">
        <v>78</v>
      </c>
      <c r="P67" s="1135">
        <v>46069</v>
      </c>
      <c r="Q67" s="1135">
        <v>47295</v>
      </c>
      <c r="R67" s="1136">
        <v>85.64858104999999</v>
      </c>
      <c r="S67" s="1136">
        <f>Table4[[#This Row],[قيمة المشروع بالضريبة]]*Table4[[#This Row],[المنفذ % التراكمي]]</f>
        <v>3.7771024243049998</v>
      </c>
      <c r="T67" s="1136">
        <f>Table4[[#This Row],[قيمة المشروع بالضريبة]]*Table4[[#This Row],[المخطط % التراكمي]]</f>
        <v>0.6937535065049999</v>
      </c>
      <c r="U67" s="1136">
        <v>8777.9684478263371</v>
      </c>
      <c r="V67" s="1136">
        <v>2413760.1800000002</v>
      </c>
      <c r="W67" s="1137">
        <v>2</v>
      </c>
      <c r="X67" s="1136">
        <v>0</v>
      </c>
      <c r="Y67" s="1137">
        <v>0</v>
      </c>
      <c r="Z67" s="1136">
        <v>2413760.1800000002</v>
      </c>
      <c r="AA67" s="1137">
        <v>2</v>
      </c>
      <c r="AB67" s="1138">
        <v>0</v>
      </c>
      <c r="AC67" s="1138">
        <v>4.0500000000000001E-2</v>
      </c>
      <c r="AD67" s="1138" t="s">
        <v>122</v>
      </c>
      <c r="AE67" s="1139">
        <v>8.0999999999999996E-3</v>
      </c>
      <c r="AF67" s="1139">
        <v>4.41E-2</v>
      </c>
      <c r="AG67" s="1138">
        <f>Table4[[#This Row],[المنفذ % التراكمي]]-Table4[[#This Row],[المخطط % التراكمي]]</f>
        <v>3.6000000000000004E-2</v>
      </c>
      <c r="AH67" s="1140">
        <v>47601.5</v>
      </c>
      <c r="AI67" s="1141">
        <v>46659</v>
      </c>
      <c r="AJ67" s="1142">
        <v>46926</v>
      </c>
      <c r="AK67" s="1041" t="s">
        <v>666</v>
      </c>
      <c r="AL67" s="1042" t="s">
        <v>667</v>
      </c>
      <c r="AM67" s="1143">
        <v>9.7000000000000003E-3</v>
      </c>
      <c r="AN67" s="1143">
        <f>Table4[[#This Row],[نسبة المخطط التراكمي حتى 31 اكتوبر 2026]]-9.9%</f>
        <v>-8.9300000000000004E-2</v>
      </c>
      <c r="AO67" s="1144">
        <v>0</v>
      </c>
      <c r="AP67" s="1139">
        <f>Table4[[#This Row],[نسبة المخطط التراكمي حتى 31 اكتوبر 2026]]-24.9%</f>
        <v>-0.23930000000000001</v>
      </c>
      <c r="AQ67" s="1145">
        <v>0</v>
      </c>
      <c r="AR67" s="1138">
        <v>0.19494290375203915</v>
      </c>
      <c r="AS67" s="1138">
        <f>Table4[[#This Row],[المخطط % التراكمي]]-Table4[[#This Row],[نسبة المدة المنقضية %]]</f>
        <v>-0.18684290375203916</v>
      </c>
      <c r="AT67" s="1143" t="s">
        <v>517</v>
      </c>
      <c r="AU67" s="1143" t="s">
        <v>633</v>
      </c>
      <c r="AV67" s="1146" t="s">
        <v>633</v>
      </c>
      <c r="AW67" s="1147" t="s">
        <v>647</v>
      </c>
      <c r="AX67" s="1148" t="s">
        <v>633</v>
      </c>
      <c r="AY67" s="1149"/>
      <c r="AZ67" s="1150" t="s">
        <v>633</v>
      </c>
      <c r="BB67" s="814" t="s">
        <v>597</v>
      </c>
      <c r="BC67" s="853" t="s">
        <v>633</v>
      </c>
      <c r="BE67" s="919" t="s">
        <v>597</v>
      </c>
      <c r="BF67" s="920" t="s">
        <v>633</v>
      </c>
      <c r="BG67" s="919" t="s">
        <v>597</v>
      </c>
      <c r="BH67" s="920" t="s">
        <v>633</v>
      </c>
      <c r="BI67" s="974"/>
      <c r="BJ67" s="1002"/>
      <c r="BK67" s="974"/>
    </row>
    <row r="68" spans="1:63" ht="45.6" thickTop="1">
      <c r="A68" s="1151">
        <f>SUBTOTAL(3,$E$3:E68)</f>
        <v>66</v>
      </c>
      <c r="B68" s="1152">
        <v>1142</v>
      </c>
      <c r="C68" s="1152" t="s">
        <v>926</v>
      </c>
      <c r="D68" s="1152"/>
      <c r="E68" s="1152">
        <v>901200178</v>
      </c>
      <c r="F68" s="1153" t="s">
        <v>159</v>
      </c>
      <c r="G68" s="1153" t="s">
        <v>947</v>
      </c>
      <c r="H68" s="1153" t="s">
        <v>936</v>
      </c>
      <c r="I68" s="1153" t="s">
        <v>942</v>
      </c>
      <c r="J68" s="1153" t="s">
        <v>384</v>
      </c>
      <c r="K68" s="1153" t="s">
        <v>123</v>
      </c>
      <c r="L68" s="1152" t="s">
        <v>318</v>
      </c>
      <c r="M68" s="1152" t="s">
        <v>339</v>
      </c>
      <c r="N68" s="1152">
        <v>0</v>
      </c>
      <c r="O68" s="1152" t="s">
        <v>385</v>
      </c>
      <c r="P68" s="1154">
        <v>43368</v>
      </c>
      <c r="Q68" s="1154">
        <v>45120</v>
      </c>
      <c r="R68" s="1155">
        <v>59.54912916</v>
      </c>
      <c r="S68" s="1155">
        <f>Table4[[#This Row],[قيمة المشروع بالضريبة]]*Table4[[#This Row],[المنفذ % التراكمي]]</f>
        <v>57.167163993599999</v>
      </c>
      <c r="T68" s="1155">
        <f>Table4[[#This Row],[قيمة المشروع بالضريبة]]*Table4[[#This Row],[المخطط % التراكمي]]</f>
        <v>59.54912916</v>
      </c>
      <c r="U68" s="1155">
        <v>4031114.0780521557</v>
      </c>
      <c r="V68" s="1155">
        <v>0</v>
      </c>
      <c r="W68" s="1156">
        <v>0</v>
      </c>
      <c r="X68" s="1155">
        <v>52531382.800000004</v>
      </c>
      <c r="Y68" s="1156">
        <v>43</v>
      </c>
      <c r="Z68" s="1155">
        <v>52531382.800000012</v>
      </c>
      <c r="AA68" s="1156">
        <v>43</v>
      </c>
      <c r="AB68" s="1157">
        <f>_xlfn.XLOOKUP(Table4[[#This Row],[PO]],Table1[PO],Table1[نسبة الإيقاف%],0)</f>
        <v>0</v>
      </c>
      <c r="AC68" s="1157">
        <v>0.96</v>
      </c>
      <c r="AD68" s="1157" t="s">
        <v>122</v>
      </c>
      <c r="AE68" s="1157">
        <v>1</v>
      </c>
      <c r="AF68" s="1157">
        <v>0.96</v>
      </c>
      <c r="AG68" s="1158">
        <f t="shared" ref="AG68:AG77" si="2">AF68-AE68</f>
        <v>-4.0000000000000036E-2</v>
      </c>
      <c r="AH68" s="1159" t="s">
        <v>385</v>
      </c>
      <c r="AI68" s="1159"/>
      <c r="AJ68" s="1160"/>
      <c r="AK68" s="1159" t="s">
        <v>385</v>
      </c>
      <c r="AL68" s="1160" t="s">
        <v>385</v>
      </c>
      <c r="AM68" s="1161">
        <v>1</v>
      </c>
      <c r="AN68" s="1161"/>
      <c r="AO68" s="1162">
        <v>0</v>
      </c>
      <c r="AP68" s="1157"/>
      <c r="AQ68" s="1163">
        <v>0</v>
      </c>
      <c r="AR68" s="1164">
        <v>1</v>
      </c>
      <c r="AS68" s="1157"/>
      <c r="AT68" s="1165"/>
      <c r="AU68" s="1165" t="s">
        <v>633</v>
      </c>
      <c r="AV68" s="1166" t="s">
        <v>633</v>
      </c>
      <c r="AW68" s="1167" t="s">
        <v>647</v>
      </c>
      <c r="AX68" s="1168" t="s">
        <v>597</v>
      </c>
      <c r="AY68" s="1169"/>
      <c r="AZ68" s="1170" t="s">
        <v>633</v>
      </c>
      <c r="BB68" s="836"/>
      <c r="BC68" s="838"/>
      <c r="BE68" s="836"/>
      <c r="BF68" s="838"/>
      <c r="BG68" s="996" t="s">
        <v>597</v>
      </c>
      <c r="BH68" s="997" t="s">
        <v>633</v>
      </c>
    </row>
    <row r="69" spans="1:63" ht="60">
      <c r="A69" s="1151">
        <f>SUBTOTAL(3,$E$3:E69)</f>
        <v>67</v>
      </c>
      <c r="B69" s="1152">
        <v>10081</v>
      </c>
      <c r="C69" s="1152" t="s">
        <v>927</v>
      </c>
      <c r="D69" s="1152"/>
      <c r="E69" s="1152">
        <v>601230121</v>
      </c>
      <c r="F69" s="1153" t="s">
        <v>476</v>
      </c>
      <c r="G69" s="1153" t="s">
        <v>948</v>
      </c>
      <c r="H69" s="1153" t="s">
        <v>937</v>
      </c>
      <c r="I69" s="1153" t="s">
        <v>10</v>
      </c>
      <c r="J69" s="1153" t="s">
        <v>469</v>
      </c>
      <c r="K69" s="1153" t="s">
        <v>123</v>
      </c>
      <c r="L69" s="1152" t="s">
        <v>694</v>
      </c>
      <c r="M69" s="1152" t="s">
        <v>339</v>
      </c>
      <c r="N69" s="1152">
        <v>0</v>
      </c>
      <c r="O69" s="1152" t="s">
        <v>385</v>
      </c>
      <c r="P69" s="1154">
        <v>45315</v>
      </c>
      <c r="Q69" s="1154">
        <v>46188</v>
      </c>
      <c r="R69" s="1155">
        <v>44.013524600000004</v>
      </c>
      <c r="S69" s="1171">
        <f>Table4[[#This Row],[قيمة المشروع بالضريبة]]*Table4[[#This Row],[المنفذ % التراكمي]]</f>
        <v>43.705429927800004</v>
      </c>
      <c r="T69" s="1171">
        <f>Table4[[#This Row],[قيمة المشروع بالضريبة]]*Table4[[#This Row],[المخطط % التراكمي]]</f>
        <v>44.013524600000004</v>
      </c>
      <c r="U69" s="1155">
        <v>3780664.5228482634</v>
      </c>
      <c r="V69" s="1155">
        <v>0</v>
      </c>
      <c r="W69" s="1156">
        <v>0</v>
      </c>
      <c r="X69" s="1155">
        <v>39357665.730000004</v>
      </c>
      <c r="Y69" s="1156">
        <v>18</v>
      </c>
      <c r="Z69" s="1155">
        <v>39357665.729999997</v>
      </c>
      <c r="AA69" s="1156">
        <v>18</v>
      </c>
      <c r="AB69" s="1157">
        <f>_xlfn.XLOOKUP(Table4[[#This Row],[PO]],Table1[PO],Table1[نسبة الإيقاف%],0)</f>
        <v>0</v>
      </c>
      <c r="AC69" s="1157">
        <v>0.99299999999999999</v>
      </c>
      <c r="AD69" s="1157" t="s">
        <v>122</v>
      </c>
      <c r="AE69" s="1157">
        <v>1</v>
      </c>
      <c r="AF69" s="1157">
        <v>0.99299999999999999</v>
      </c>
      <c r="AG69" s="1158">
        <f t="shared" si="2"/>
        <v>-7.0000000000000062E-3</v>
      </c>
      <c r="AH69" s="1159" t="s">
        <v>385</v>
      </c>
      <c r="AI69" s="1159"/>
      <c r="AJ69" s="1160"/>
      <c r="AK69" s="1159" t="s">
        <v>385</v>
      </c>
      <c r="AL69" s="1160" t="s">
        <v>385</v>
      </c>
      <c r="AM69" s="1161">
        <v>1</v>
      </c>
      <c r="AN69" s="1161"/>
      <c r="AO69" s="1162">
        <v>0</v>
      </c>
      <c r="AP69" s="1157"/>
      <c r="AQ69" s="1163">
        <v>0</v>
      </c>
      <c r="AR69" s="1172">
        <v>1</v>
      </c>
      <c r="AS69" s="1157"/>
      <c r="AT69" s="1165"/>
      <c r="AU69" s="1165" t="s">
        <v>633</v>
      </c>
      <c r="AV69" s="1166" t="s">
        <v>633</v>
      </c>
      <c r="AW69" s="1167" t="s">
        <v>647</v>
      </c>
      <c r="AX69" s="1168" t="s">
        <v>597</v>
      </c>
      <c r="AY69" s="1169"/>
      <c r="AZ69" s="1170" t="s">
        <v>633</v>
      </c>
      <c r="BG69" s="996" t="s">
        <v>597</v>
      </c>
      <c r="BH69" s="997" t="s">
        <v>633</v>
      </c>
    </row>
    <row r="70" spans="1:63" ht="45">
      <c r="A70" s="1151">
        <f>SUBTOTAL(3,$E$3:E70)</f>
        <v>68</v>
      </c>
      <c r="B70" s="1152" t="s">
        <v>918</v>
      </c>
      <c r="C70" s="1152" t="s">
        <v>928</v>
      </c>
      <c r="D70" s="1152"/>
      <c r="E70" s="1152">
        <v>901240008</v>
      </c>
      <c r="F70" s="1153" t="s">
        <v>164</v>
      </c>
      <c r="G70" s="1153" t="s">
        <v>388</v>
      </c>
      <c r="H70" s="1153" t="s">
        <v>938</v>
      </c>
      <c r="I70" s="1153" t="s">
        <v>943</v>
      </c>
      <c r="J70" s="1153" t="s">
        <v>384</v>
      </c>
      <c r="K70" s="1153" t="s">
        <v>123</v>
      </c>
      <c r="L70" s="1152" t="s">
        <v>319</v>
      </c>
      <c r="M70" s="1152" t="s">
        <v>339</v>
      </c>
      <c r="N70" s="1152">
        <v>0</v>
      </c>
      <c r="O70" s="1152" t="s">
        <v>385</v>
      </c>
      <c r="P70" s="1154">
        <v>45421</v>
      </c>
      <c r="Q70" s="1154">
        <v>46037</v>
      </c>
      <c r="R70" s="1155">
        <v>6.2491284599999997</v>
      </c>
      <c r="S70" s="1155">
        <f>Table4[[#This Row],[قيمة المشروع بالضريبة]]*Table4[[#This Row],[المنفذ % التراكمي]]</f>
        <v>5.6017187515439995</v>
      </c>
      <c r="T70" s="1155">
        <f>Table4[[#This Row],[قيمة المشروع بالضريبة]]*Table4[[#This Row],[المخطط % التراكمي]]</f>
        <v>6.2491284599999997</v>
      </c>
      <c r="U70" s="1155">
        <v>32623.655465216376</v>
      </c>
      <c r="V70" s="1155">
        <v>522158.8200000003</v>
      </c>
      <c r="W70" s="1156">
        <v>1</v>
      </c>
      <c r="X70" s="1155">
        <v>5042042.7300000004</v>
      </c>
      <c r="Y70" s="1156">
        <v>16</v>
      </c>
      <c r="Z70" s="1155">
        <v>5564201.5500000007</v>
      </c>
      <c r="AA70" s="1156">
        <v>17</v>
      </c>
      <c r="AB70" s="1157">
        <f>_xlfn.XLOOKUP(Table4[[#This Row],[PO]],Table1[PO],Table1[نسبة الإيقاف%],0)</f>
        <v>0</v>
      </c>
      <c r="AC70" s="1157">
        <v>0.89639999999999997</v>
      </c>
      <c r="AD70" s="1157" t="s">
        <v>122</v>
      </c>
      <c r="AE70" s="1157">
        <v>1</v>
      </c>
      <c r="AF70" s="1157">
        <v>0.89639999999999997</v>
      </c>
      <c r="AG70" s="1158">
        <f t="shared" si="2"/>
        <v>-0.10360000000000003</v>
      </c>
      <c r="AH70" s="1159" t="s">
        <v>385</v>
      </c>
      <c r="AI70" s="1159"/>
      <c r="AJ70" s="1160"/>
      <c r="AK70" s="1159" t="s">
        <v>385</v>
      </c>
      <c r="AL70" s="1160" t="s">
        <v>385</v>
      </c>
      <c r="AM70" s="1161">
        <v>1</v>
      </c>
      <c r="AN70" s="1161"/>
      <c r="AO70" s="1162">
        <v>0</v>
      </c>
      <c r="AP70" s="1157"/>
      <c r="AQ70" s="1163">
        <v>0</v>
      </c>
      <c r="AR70" s="1172">
        <v>1</v>
      </c>
      <c r="AS70" s="1157"/>
      <c r="AT70" s="1165"/>
      <c r="AU70" s="1165" t="s">
        <v>633</v>
      </c>
      <c r="AV70" s="1166" t="s">
        <v>633</v>
      </c>
      <c r="AW70" s="1167" t="s">
        <v>647</v>
      </c>
      <c r="AX70" s="1168" t="s">
        <v>597</v>
      </c>
      <c r="AY70" s="1169"/>
      <c r="AZ70" s="1170" t="s">
        <v>633</v>
      </c>
      <c r="BG70" s="996" t="s">
        <v>597</v>
      </c>
      <c r="BH70" s="997" t="s">
        <v>633</v>
      </c>
    </row>
    <row r="71" spans="1:63" ht="30">
      <c r="A71" s="1151">
        <f>SUBTOTAL(3,$E$3:E71)</f>
        <v>69</v>
      </c>
      <c r="B71" s="1152" t="s">
        <v>919</v>
      </c>
      <c r="C71" s="1152" t="s">
        <v>929</v>
      </c>
      <c r="D71" s="1152"/>
      <c r="E71" s="1152">
        <v>901240023</v>
      </c>
      <c r="F71" s="1153" t="s">
        <v>151</v>
      </c>
      <c r="G71" s="1153" t="s">
        <v>154</v>
      </c>
      <c r="H71" s="1153" t="s">
        <v>939</v>
      </c>
      <c r="I71" s="1153" t="s">
        <v>10</v>
      </c>
      <c r="J71" s="1153" t="s">
        <v>384</v>
      </c>
      <c r="K71" s="1153" t="s">
        <v>123</v>
      </c>
      <c r="L71" s="1152" t="s">
        <v>321</v>
      </c>
      <c r="M71" s="1152" t="s">
        <v>339</v>
      </c>
      <c r="N71" s="1152">
        <v>0</v>
      </c>
      <c r="O71" s="1152" t="s">
        <v>385</v>
      </c>
      <c r="P71" s="1154">
        <v>45441</v>
      </c>
      <c r="Q71" s="1154">
        <v>46079</v>
      </c>
      <c r="R71" s="1155">
        <v>20.939976250000001</v>
      </c>
      <c r="S71" s="1155">
        <f>Table4[[#This Row],[قيمة المشروع بالضريبة]]*Table4[[#This Row],[المنفذ % التراكمي]]</f>
        <v>17.082832624750001</v>
      </c>
      <c r="T71" s="1155">
        <f>Table4[[#This Row],[قيمة المشروع بالضريبة]]*Table4[[#This Row],[المخطط % التراكمي]]</f>
        <v>20.939976250000001</v>
      </c>
      <c r="U71" s="1155">
        <v>1188621.1084782593</v>
      </c>
      <c r="V71" s="1155">
        <v>0</v>
      </c>
      <c r="W71" s="1156">
        <v>0</v>
      </c>
      <c r="X71" s="1155">
        <v>15715918.349999998</v>
      </c>
      <c r="Y71" s="1156">
        <v>14</v>
      </c>
      <c r="Z71" s="1155">
        <v>15715918.35</v>
      </c>
      <c r="AA71" s="1156">
        <v>14</v>
      </c>
      <c r="AB71" s="1157">
        <f>_xlfn.XLOOKUP(Table4[[#This Row],[PO]],Table1[PO],Table1[نسبة الإيقاف%],0)</f>
        <v>0</v>
      </c>
      <c r="AC71" s="1157">
        <v>0.81579999999999997</v>
      </c>
      <c r="AD71" s="1157" t="s">
        <v>122</v>
      </c>
      <c r="AE71" s="1157">
        <v>1</v>
      </c>
      <c r="AF71" s="1157">
        <v>0.81579999999999997</v>
      </c>
      <c r="AG71" s="1158">
        <f t="shared" si="2"/>
        <v>-0.18420000000000003</v>
      </c>
      <c r="AH71" s="1159" t="s">
        <v>385</v>
      </c>
      <c r="AI71" s="1159"/>
      <c r="AJ71" s="1160"/>
      <c r="AK71" s="1159" t="s">
        <v>385</v>
      </c>
      <c r="AL71" s="1160" t="s">
        <v>385</v>
      </c>
      <c r="AM71" s="1161">
        <v>1</v>
      </c>
      <c r="AN71" s="1161"/>
      <c r="AO71" s="1162">
        <v>0</v>
      </c>
      <c r="AP71" s="1157"/>
      <c r="AQ71" s="1163">
        <v>0</v>
      </c>
      <c r="AR71" s="1172">
        <v>1</v>
      </c>
      <c r="AS71" s="1157"/>
      <c r="AT71" s="1165"/>
      <c r="AU71" s="1165" t="s">
        <v>633</v>
      </c>
      <c r="AV71" s="1166" t="s">
        <v>633</v>
      </c>
      <c r="AW71" s="1167" t="s">
        <v>647</v>
      </c>
      <c r="AX71" s="1168" t="s">
        <v>597</v>
      </c>
      <c r="AY71" s="1169"/>
      <c r="AZ71" s="1170" t="s">
        <v>633</v>
      </c>
      <c r="BG71" s="996" t="s">
        <v>597</v>
      </c>
      <c r="BH71" s="997" t="s">
        <v>633</v>
      </c>
    </row>
    <row r="72" spans="1:63" ht="60">
      <c r="A72" s="1151">
        <f>SUBTOTAL(3,$E$3:E72)</f>
        <v>70</v>
      </c>
      <c r="B72" s="1152" t="s">
        <v>920</v>
      </c>
      <c r="C72" s="1152" t="s">
        <v>930</v>
      </c>
      <c r="D72" s="1152"/>
      <c r="E72" s="1152">
        <v>601240010</v>
      </c>
      <c r="F72" s="1153" t="s">
        <v>470</v>
      </c>
      <c r="G72" s="1153" t="s">
        <v>501</v>
      </c>
      <c r="H72" s="1153" t="s">
        <v>495</v>
      </c>
      <c r="I72" s="1153" t="s">
        <v>944</v>
      </c>
      <c r="J72" s="1153" t="s">
        <v>469</v>
      </c>
      <c r="K72" s="1153" t="s">
        <v>123</v>
      </c>
      <c r="L72" s="1152" t="s">
        <v>694</v>
      </c>
      <c r="M72" s="1152" t="s">
        <v>339</v>
      </c>
      <c r="N72" s="1152">
        <v>0</v>
      </c>
      <c r="O72" s="1152" t="s">
        <v>385</v>
      </c>
      <c r="P72" s="1154">
        <v>45433</v>
      </c>
      <c r="Q72" s="1154">
        <v>46034</v>
      </c>
      <c r="R72" s="1155">
        <v>6.2730475700000001</v>
      </c>
      <c r="S72" s="1155">
        <f>Table4[[#This Row],[قيمة المشروع بالضريبة]]*Table4[[#This Row],[المنفذ % التراكمي]]</f>
        <v>5.6520158605700006</v>
      </c>
      <c r="T72" s="1155">
        <f>Table4[[#This Row],[قيمة المشروع بالضريبة]]*Table4[[#This Row],[المخطط % التراكمي]]</f>
        <v>6.2730475700000001</v>
      </c>
      <c r="U72" s="1155">
        <v>424563.20566565078</v>
      </c>
      <c r="V72" s="1155">
        <v>0</v>
      </c>
      <c r="W72" s="1156">
        <v>0</v>
      </c>
      <c r="X72" s="1155">
        <v>5163768.17</v>
      </c>
      <c r="Y72" s="1156">
        <v>8</v>
      </c>
      <c r="Z72" s="1155">
        <v>5163768.17</v>
      </c>
      <c r="AA72" s="1156">
        <v>8</v>
      </c>
      <c r="AB72" s="1157">
        <f>_xlfn.XLOOKUP(Table4[[#This Row],[PO]],Table1[PO],Table1[نسبة الإيقاف%],0)</f>
        <v>0</v>
      </c>
      <c r="AC72" s="1157">
        <v>0.90100000000000002</v>
      </c>
      <c r="AD72" s="1157" t="s">
        <v>122</v>
      </c>
      <c r="AE72" s="1157">
        <v>1</v>
      </c>
      <c r="AF72" s="1157">
        <v>0.90100000000000002</v>
      </c>
      <c r="AG72" s="1158">
        <f t="shared" si="2"/>
        <v>-9.8999999999999977E-2</v>
      </c>
      <c r="AH72" s="1159" t="s">
        <v>385</v>
      </c>
      <c r="AI72" s="1159"/>
      <c r="AJ72" s="1160"/>
      <c r="AK72" s="1159" t="s">
        <v>385</v>
      </c>
      <c r="AL72" s="1160" t="s">
        <v>385</v>
      </c>
      <c r="AM72" s="1161">
        <v>1</v>
      </c>
      <c r="AN72" s="1161"/>
      <c r="AO72" s="1162">
        <v>0</v>
      </c>
      <c r="AP72" s="1157"/>
      <c r="AQ72" s="1163">
        <v>0</v>
      </c>
      <c r="AR72" s="1172">
        <v>1</v>
      </c>
      <c r="AS72" s="1157"/>
      <c r="AT72" s="1165"/>
      <c r="AU72" s="1165" t="s">
        <v>633</v>
      </c>
      <c r="AV72" s="1166" t="s">
        <v>633</v>
      </c>
      <c r="AW72" s="1167" t="s">
        <v>647</v>
      </c>
      <c r="AX72" s="1168" t="s">
        <v>597</v>
      </c>
      <c r="AY72" s="1169"/>
      <c r="AZ72" s="1170" t="s">
        <v>633</v>
      </c>
      <c r="BG72" s="996" t="s">
        <v>597</v>
      </c>
      <c r="BH72" s="997" t="s">
        <v>633</v>
      </c>
    </row>
    <row r="73" spans="1:63" ht="45">
      <c r="A73" s="1151">
        <f>SUBTOTAL(3,$E$3:E73)</f>
        <v>71</v>
      </c>
      <c r="B73" s="1152" t="s">
        <v>921</v>
      </c>
      <c r="C73" s="1152" t="s">
        <v>931</v>
      </c>
      <c r="D73" s="1152"/>
      <c r="E73" s="1152">
        <v>601240087</v>
      </c>
      <c r="F73" s="1153" t="s">
        <v>470</v>
      </c>
      <c r="G73" s="1153" t="s">
        <v>501</v>
      </c>
      <c r="H73" s="1153" t="s">
        <v>940</v>
      </c>
      <c r="I73" s="1153" t="s">
        <v>500</v>
      </c>
      <c r="J73" s="1153" t="s">
        <v>469</v>
      </c>
      <c r="K73" s="1153" t="s">
        <v>123</v>
      </c>
      <c r="L73" s="1152" t="s">
        <v>321</v>
      </c>
      <c r="M73" s="1152" t="s">
        <v>339</v>
      </c>
      <c r="N73" s="1152">
        <v>0</v>
      </c>
      <c r="O73" s="1152" t="s">
        <v>385</v>
      </c>
      <c r="P73" s="1154">
        <v>45469</v>
      </c>
      <c r="Q73" s="1154">
        <v>46082</v>
      </c>
      <c r="R73" s="1155">
        <v>38.115572630000003</v>
      </c>
      <c r="S73" s="1155">
        <f>Table4[[#This Row],[قيمة المشروع بالضريبة]]*Table4[[#This Row],[المنفذ % التراكمي]]</f>
        <v>36.438487434279999</v>
      </c>
      <c r="T73" s="1155">
        <f>Table4[[#This Row],[قيمة المشروع بالضريبة]]*Table4[[#This Row],[المخطط % التراكمي]]</f>
        <v>38.115572630000003</v>
      </c>
      <c r="U73" s="1155">
        <v>5530771.9341565184</v>
      </c>
      <c r="V73" s="1155">
        <v>0</v>
      </c>
      <c r="W73" s="1156">
        <v>0</v>
      </c>
      <c r="X73" s="1155">
        <v>30078099.709999997</v>
      </c>
      <c r="Y73" s="1156">
        <v>17</v>
      </c>
      <c r="Z73" s="1155">
        <v>30078099.709999997</v>
      </c>
      <c r="AA73" s="1156">
        <v>17</v>
      </c>
      <c r="AB73" s="1157">
        <f>_xlfn.XLOOKUP(Table4[[#This Row],[PO]],Table1[PO],Table1[نسبة الإيقاف%],0)</f>
        <v>0</v>
      </c>
      <c r="AC73" s="1157">
        <v>0.95599999999999996</v>
      </c>
      <c r="AD73" s="1157" t="s">
        <v>122</v>
      </c>
      <c r="AE73" s="1157">
        <v>1</v>
      </c>
      <c r="AF73" s="1157">
        <v>0.95599999999999996</v>
      </c>
      <c r="AG73" s="1158">
        <f t="shared" si="2"/>
        <v>-4.4000000000000039E-2</v>
      </c>
      <c r="AH73" s="1159" t="s">
        <v>385</v>
      </c>
      <c r="AI73" s="1159"/>
      <c r="AJ73" s="1160"/>
      <c r="AK73" s="1159" t="s">
        <v>385</v>
      </c>
      <c r="AL73" s="1160" t="s">
        <v>385</v>
      </c>
      <c r="AM73" s="1161">
        <v>1</v>
      </c>
      <c r="AN73" s="1161"/>
      <c r="AO73" s="1162">
        <v>0</v>
      </c>
      <c r="AP73" s="1157"/>
      <c r="AQ73" s="1163">
        <v>0</v>
      </c>
      <c r="AR73" s="1172">
        <v>1</v>
      </c>
      <c r="AS73" s="1157"/>
      <c r="AT73" s="1165"/>
      <c r="AU73" s="1165" t="s">
        <v>633</v>
      </c>
      <c r="AV73" s="1166" t="s">
        <v>633</v>
      </c>
      <c r="AW73" s="1167" t="s">
        <v>647</v>
      </c>
      <c r="AX73" s="1168" t="s">
        <v>597</v>
      </c>
      <c r="AY73" s="1169"/>
      <c r="AZ73" s="1170" t="s">
        <v>633</v>
      </c>
      <c r="BG73" s="996" t="s">
        <v>597</v>
      </c>
      <c r="BH73" s="997" t="s">
        <v>633</v>
      </c>
    </row>
    <row r="74" spans="1:63" ht="30">
      <c r="A74" s="1151">
        <f>SUBTOTAL(3,$E$3:E74)</f>
        <v>72</v>
      </c>
      <c r="B74" s="1152" t="s">
        <v>922</v>
      </c>
      <c r="C74" s="1152" t="s">
        <v>932</v>
      </c>
      <c r="D74" s="1152"/>
      <c r="E74" s="1152">
        <v>601240154</v>
      </c>
      <c r="F74" s="1153" t="s">
        <v>476</v>
      </c>
      <c r="G74" s="1153" t="s">
        <v>492</v>
      </c>
      <c r="H74" s="1153" t="s">
        <v>502</v>
      </c>
      <c r="I74" s="1153" t="s">
        <v>503</v>
      </c>
      <c r="J74" s="1153" t="s">
        <v>469</v>
      </c>
      <c r="K74" s="1153" t="s">
        <v>123</v>
      </c>
      <c r="L74" s="1152" t="s">
        <v>694</v>
      </c>
      <c r="M74" s="1152" t="s">
        <v>339</v>
      </c>
      <c r="N74" s="1152">
        <v>0</v>
      </c>
      <c r="O74" s="1152" t="s">
        <v>385</v>
      </c>
      <c r="P74" s="1154">
        <v>45529</v>
      </c>
      <c r="Q74" s="1154">
        <v>46287</v>
      </c>
      <c r="R74" s="1155">
        <v>5.7234005000000003</v>
      </c>
      <c r="S74" s="1155">
        <f>Table4[[#This Row],[قيمة المشروع بالضريبة]]*Table4[[#This Row],[المنفذ % التراكمي]]</f>
        <v>4.7567181555499998</v>
      </c>
      <c r="T74" s="1155">
        <f>Table4[[#This Row],[قيمة المشروع بالضريبة]]*Table4[[#This Row],[المخطط % التراكمي]]</f>
        <v>5.7234005000000003</v>
      </c>
      <c r="U74" s="1155">
        <v>419810.12656521704</v>
      </c>
      <c r="V74" s="1155">
        <v>0</v>
      </c>
      <c r="W74" s="1156">
        <v>0</v>
      </c>
      <c r="X74" s="1155">
        <v>4273936.51</v>
      </c>
      <c r="Y74" s="1156">
        <v>15</v>
      </c>
      <c r="Z74" s="1155">
        <v>4273936.51</v>
      </c>
      <c r="AA74" s="1156">
        <v>15</v>
      </c>
      <c r="AB74" s="1157">
        <f>_xlfn.XLOOKUP(Table4[[#This Row],[PO]],Table1[PO],Table1[نسبة الإيقاف%],0)</f>
        <v>0</v>
      </c>
      <c r="AC74" s="1157">
        <v>0.83109999999999995</v>
      </c>
      <c r="AD74" s="1157" t="s">
        <v>122</v>
      </c>
      <c r="AE74" s="1157">
        <v>1</v>
      </c>
      <c r="AF74" s="1157">
        <v>0.83109999999999995</v>
      </c>
      <c r="AG74" s="1158">
        <f t="shared" si="2"/>
        <v>-0.16890000000000005</v>
      </c>
      <c r="AH74" s="1159" t="s">
        <v>385</v>
      </c>
      <c r="AI74" s="1159"/>
      <c r="AJ74" s="1160"/>
      <c r="AK74" s="1159" t="s">
        <v>385</v>
      </c>
      <c r="AL74" s="1160" t="s">
        <v>385</v>
      </c>
      <c r="AM74" s="1161">
        <v>1</v>
      </c>
      <c r="AN74" s="1161"/>
      <c r="AO74" s="1162">
        <v>0</v>
      </c>
      <c r="AP74" s="1157"/>
      <c r="AQ74" s="1163">
        <v>0</v>
      </c>
      <c r="AR74" s="1172">
        <v>1</v>
      </c>
      <c r="AS74" s="1157"/>
      <c r="AT74" s="1165"/>
      <c r="AU74" s="1165" t="s">
        <v>633</v>
      </c>
      <c r="AV74" s="1166" t="s">
        <v>633</v>
      </c>
      <c r="AW74" s="1167" t="s">
        <v>647</v>
      </c>
      <c r="AX74" s="1168" t="s">
        <v>597</v>
      </c>
      <c r="AY74" s="1169"/>
      <c r="AZ74" s="1170" t="s">
        <v>633</v>
      </c>
      <c r="BG74" s="996" t="s">
        <v>597</v>
      </c>
      <c r="BH74" s="997" t="s">
        <v>633</v>
      </c>
    </row>
    <row r="75" spans="1:63" ht="45">
      <c r="A75" s="1151">
        <f>SUBTOTAL(3,$E$3:E75)</f>
        <v>73</v>
      </c>
      <c r="B75" s="1152" t="s">
        <v>923</v>
      </c>
      <c r="C75" s="1152" t="s">
        <v>933</v>
      </c>
      <c r="D75" s="1152"/>
      <c r="E75" s="1152">
        <v>901240189</v>
      </c>
      <c r="F75" s="1153" t="s">
        <v>164</v>
      </c>
      <c r="G75" s="1153" t="s">
        <v>264</v>
      </c>
      <c r="H75" s="1153" t="s">
        <v>941</v>
      </c>
      <c r="I75" s="1153" t="s">
        <v>273</v>
      </c>
      <c r="J75" s="1153" t="s">
        <v>384</v>
      </c>
      <c r="K75" s="1153" t="s">
        <v>123</v>
      </c>
      <c r="L75" s="1152" t="s">
        <v>320</v>
      </c>
      <c r="M75" s="1152" t="s">
        <v>339</v>
      </c>
      <c r="N75" s="1152">
        <v>0</v>
      </c>
      <c r="O75" s="1152" t="s">
        <v>385</v>
      </c>
      <c r="P75" s="1154">
        <v>45565</v>
      </c>
      <c r="Q75" s="1154">
        <v>46110</v>
      </c>
      <c r="R75" s="1155">
        <v>11.474043720000001</v>
      </c>
      <c r="S75" s="1155">
        <f>Table4[[#This Row],[قيمة المشروع بالضريبة]]*Table4[[#This Row],[المنفذ % التراكمي]]</f>
        <v>11.474043720000001</v>
      </c>
      <c r="T75" s="1155">
        <f>Table4[[#This Row],[قيمة المشروع بالضريبة]]*Table4[[#This Row],[المخطط % التراكمي]]</f>
        <v>11.474043720000001</v>
      </c>
      <c r="U75" s="1155">
        <v>0</v>
      </c>
      <c r="V75" s="1155">
        <v>0</v>
      </c>
      <c r="W75" s="1156">
        <v>0</v>
      </c>
      <c r="X75" s="1155">
        <v>8918953.5699999984</v>
      </c>
      <c r="Y75" s="1156">
        <v>15</v>
      </c>
      <c r="Z75" s="1155">
        <v>8918953.5699999984</v>
      </c>
      <c r="AA75" s="1156">
        <v>15</v>
      </c>
      <c r="AB75" s="1157">
        <f>_xlfn.XLOOKUP(Table4[[#This Row],[PO]],Table1[PO],Table1[نسبة الإيقاف%],0)</f>
        <v>0</v>
      </c>
      <c r="AC75" s="1157">
        <v>1</v>
      </c>
      <c r="AD75" s="1157" t="s">
        <v>122</v>
      </c>
      <c r="AE75" s="1157">
        <v>1</v>
      </c>
      <c r="AF75" s="1157">
        <v>1</v>
      </c>
      <c r="AG75" s="1158">
        <f t="shared" si="2"/>
        <v>0</v>
      </c>
      <c r="AH75" s="1159" t="s">
        <v>385</v>
      </c>
      <c r="AI75" s="1159"/>
      <c r="AJ75" s="1160"/>
      <c r="AK75" s="1159" t="s">
        <v>385</v>
      </c>
      <c r="AL75" s="1160" t="s">
        <v>385</v>
      </c>
      <c r="AM75" s="1161">
        <v>1</v>
      </c>
      <c r="AN75" s="1161"/>
      <c r="AO75" s="1162">
        <v>0</v>
      </c>
      <c r="AP75" s="1157"/>
      <c r="AQ75" s="1163">
        <v>0</v>
      </c>
      <c r="AR75" s="1172">
        <v>1</v>
      </c>
      <c r="AS75" s="1157"/>
      <c r="AT75" s="1165"/>
      <c r="AU75" s="1165" t="s">
        <v>633</v>
      </c>
      <c r="AV75" s="1166" t="s">
        <v>633</v>
      </c>
      <c r="AW75" s="1167" t="s">
        <v>647</v>
      </c>
      <c r="AX75" s="1168" t="s">
        <v>597</v>
      </c>
      <c r="AY75" s="1169"/>
      <c r="AZ75" s="1170" t="s">
        <v>633</v>
      </c>
      <c r="BG75" s="996" t="s">
        <v>597</v>
      </c>
      <c r="BH75" s="997" t="s">
        <v>633</v>
      </c>
    </row>
    <row r="76" spans="1:63" ht="45">
      <c r="A76" s="1151">
        <f>SUBTOTAL(3,$E$3:E76)</f>
        <v>74</v>
      </c>
      <c r="B76" s="1152" t="s">
        <v>924</v>
      </c>
      <c r="C76" s="1152" t="s">
        <v>934</v>
      </c>
      <c r="D76" s="1152"/>
      <c r="E76" s="1152">
        <v>901240373</v>
      </c>
      <c r="F76" s="1153" t="s">
        <v>151</v>
      </c>
      <c r="G76" s="1153" t="s">
        <v>156</v>
      </c>
      <c r="H76" s="1153" t="s">
        <v>86</v>
      </c>
      <c r="I76" s="1153" t="s">
        <v>90</v>
      </c>
      <c r="J76" s="1153" t="s">
        <v>384</v>
      </c>
      <c r="K76" s="1153" t="s">
        <v>123</v>
      </c>
      <c r="L76" s="1152" t="s">
        <v>321</v>
      </c>
      <c r="M76" s="1152" t="s">
        <v>339</v>
      </c>
      <c r="N76" s="1152">
        <v>0</v>
      </c>
      <c r="O76" s="1152" t="s">
        <v>385</v>
      </c>
      <c r="P76" s="1154">
        <v>45701</v>
      </c>
      <c r="Q76" s="1154">
        <v>46246</v>
      </c>
      <c r="R76" s="1155">
        <v>18.952123019999998</v>
      </c>
      <c r="S76" s="1155">
        <f>Table4[[#This Row],[قيمة المشروع بالضريبة]]*Table4[[#This Row],[المنفذ % التراكمي]]</f>
        <v>15.336057947783999</v>
      </c>
      <c r="T76" s="1155">
        <f>Table4[[#This Row],[قيمة المشروع بالضريبة]]*Table4[[#This Row],[المخطط % التراكمي]]</f>
        <v>18.952123019999998</v>
      </c>
      <c r="U76" s="1155">
        <v>1478873.9688196518</v>
      </c>
      <c r="V76" s="1155">
        <v>0</v>
      </c>
      <c r="W76" s="1156">
        <v>0</v>
      </c>
      <c r="X76" s="1155">
        <v>13635352.880000001</v>
      </c>
      <c r="Y76" s="1156">
        <v>14</v>
      </c>
      <c r="Z76" s="1155">
        <v>13635352.880000001</v>
      </c>
      <c r="AA76" s="1156">
        <v>14</v>
      </c>
      <c r="AB76" s="1157">
        <f>_xlfn.XLOOKUP(Table4[[#This Row],[PO]],Table1[PO],Table1[نسبة الإيقاف%],0)</f>
        <v>0</v>
      </c>
      <c r="AC76" s="1157">
        <v>0.80920000000000003</v>
      </c>
      <c r="AD76" s="1157" t="s">
        <v>122</v>
      </c>
      <c r="AE76" s="1157">
        <v>1</v>
      </c>
      <c r="AF76" s="1157">
        <v>0.80920000000000003</v>
      </c>
      <c r="AG76" s="1158">
        <f t="shared" si="2"/>
        <v>-0.19079999999999997</v>
      </c>
      <c r="AH76" s="1159" t="s">
        <v>385</v>
      </c>
      <c r="AI76" s="1159"/>
      <c r="AJ76" s="1160"/>
      <c r="AK76" s="1159" t="s">
        <v>385</v>
      </c>
      <c r="AL76" s="1160" t="s">
        <v>385</v>
      </c>
      <c r="AM76" s="1161">
        <v>1</v>
      </c>
      <c r="AN76" s="1161"/>
      <c r="AO76" s="1162">
        <v>0</v>
      </c>
      <c r="AP76" s="1157"/>
      <c r="AQ76" s="1163">
        <v>0</v>
      </c>
      <c r="AR76" s="1172">
        <v>1</v>
      </c>
      <c r="AS76" s="1157"/>
      <c r="AT76" s="1165"/>
      <c r="AU76" s="1165" t="s">
        <v>633</v>
      </c>
      <c r="AV76" s="1166" t="s">
        <v>633</v>
      </c>
      <c r="AW76" s="1167" t="s">
        <v>647</v>
      </c>
      <c r="AX76" s="1168" t="s">
        <v>597</v>
      </c>
      <c r="AY76" s="1169"/>
      <c r="AZ76" s="1170" t="s">
        <v>633</v>
      </c>
      <c r="BG76" s="996" t="s">
        <v>597</v>
      </c>
      <c r="BH76" s="997" t="s">
        <v>633</v>
      </c>
    </row>
    <row r="77" spans="1:63" ht="30">
      <c r="A77" s="1173">
        <f>SUBTOTAL(3,$E$3:E77)</f>
        <v>75</v>
      </c>
      <c r="B77" s="1174" t="s">
        <v>925</v>
      </c>
      <c r="C77" s="1174" t="s">
        <v>935</v>
      </c>
      <c r="D77" s="1174"/>
      <c r="E77" s="1174">
        <v>901260125</v>
      </c>
      <c r="F77" s="1175" t="s">
        <v>266</v>
      </c>
      <c r="G77" s="1175" t="s">
        <v>237</v>
      </c>
      <c r="H77" s="1175" t="s">
        <v>520</v>
      </c>
      <c r="I77" s="1175" t="s">
        <v>32</v>
      </c>
      <c r="J77" s="1175" t="s">
        <v>384</v>
      </c>
      <c r="K77" s="1175" t="s">
        <v>123</v>
      </c>
      <c r="L77" s="1174" t="s">
        <v>320</v>
      </c>
      <c r="M77" s="1174" t="s">
        <v>339</v>
      </c>
      <c r="N77" s="1174">
        <v>0</v>
      </c>
      <c r="O77" s="1174" t="s">
        <v>385</v>
      </c>
      <c r="P77" s="1176">
        <v>46110</v>
      </c>
      <c r="Q77" s="1176">
        <v>46201</v>
      </c>
      <c r="R77" s="1177">
        <v>0.29577999999999999</v>
      </c>
      <c r="S77" s="1177">
        <f>Table4[[#This Row],[قيمة المشروع بالضريبة]]*Table4[[#This Row],[المنفذ % التراكمي]]</f>
        <v>0.19273024799999999</v>
      </c>
      <c r="T77" s="1177">
        <f>Table4[[#This Row],[قيمة المشروع بالضريبة]]*Table4[[#This Row],[المخطط % التراكمي]]</f>
        <v>0.29577999999999999</v>
      </c>
      <c r="U77" s="1177">
        <v>72417.652173913055</v>
      </c>
      <c r="V77" s="1177">
        <v>0</v>
      </c>
      <c r="W77" s="1178">
        <v>0</v>
      </c>
      <c r="X77" s="1177">
        <v>192367.34</v>
      </c>
      <c r="Y77" s="1178">
        <v>1</v>
      </c>
      <c r="Z77" s="1177">
        <v>192367.34</v>
      </c>
      <c r="AA77" s="1178">
        <v>1</v>
      </c>
      <c r="AB77" s="1179">
        <f>_xlfn.XLOOKUP(Table4[[#This Row],[PO]],Table1[PO],Table1[نسبة الإيقاف%],0)</f>
        <v>0</v>
      </c>
      <c r="AC77" s="1179">
        <v>0.65159999999999996</v>
      </c>
      <c r="AD77" s="1179" t="s">
        <v>122</v>
      </c>
      <c r="AE77" s="1157">
        <v>1</v>
      </c>
      <c r="AF77" s="1179">
        <v>0.65159999999999996</v>
      </c>
      <c r="AG77" s="1180">
        <f t="shared" si="2"/>
        <v>-0.34840000000000004</v>
      </c>
      <c r="AH77" s="1181" t="s">
        <v>385</v>
      </c>
      <c r="AI77" s="1181"/>
      <c r="AJ77" s="1182"/>
      <c r="AK77" s="1181" t="s">
        <v>385</v>
      </c>
      <c r="AL77" s="1182" t="s">
        <v>385</v>
      </c>
      <c r="AM77" s="1183">
        <v>1</v>
      </c>
      <c r="AN77" s="1183"/>
      <c r="AO77" s="1184">
        <v>0</v>
      </c>
      <c r="AP77" s="1179"/>
      <c r="AQ77" s="1185">
        <v>0</v>
      </c>
      <c r="AR77" s="1172">
        <v>1</v>
      </c>
      <c r="AS77" s="1179"/>
      <c r="AT77" s="1186"/>
      <c r="AU77" s="1186" t="s">
        <v>633</v>
      </c>
      <c r="AV77" s="1187" t="s">
        <v>633</v>
      </c>
      <c r="AW77" s="1188" t="s">
        <v>647</v>
      </c>
      <c r="AX77" s="1189" t="s">
        <v>597</v>
      </c>
      <c r="AY77" s="1190"/>
      <c r="AZ77" s="1191" t="s">
        <v>633</v>
      </c>
      <c r="BG77" s="998" t="s">
        <v>597</v>
      </c>
      <c r="BH77" s="999" t="s">
        <v>633</v>
      </c>
    </row>
    <row r="78" spans="1:63" ht="9.6" customHeight="1">
      <c r="A78" s="1192">
        <f>SUBTOTAL(3,$E$3:E78)</f>
        <v>76</v>
      </c>
      <c r="B78" s="1174" t="s">
        <v>945</v>
      </c>
      <c r="C78" s="1174" t="s">
        <v>946</v>
      </c>
      <c r="D78" s="1174"/>
      <c r="E78" s="1174">
        <v>901240386</v>
      </c>
      <c r="F78" s="1175" t="s">
        <v>159</v>
      </c>
      <c r="G78" s="1175" t="s">
        <v>160</v>
      </c>
      <c r="H78" s="1175" t="s">
        <v>88</v>
      </c>
      <c r="I78" s="1175" t="s">
        <v>29</v>
      </c>
      <c r="J78" s="1175" t="s">
        <v>384</v>
      </c>
      <c r="K78" s="1175" t="s">
        <v>123</v>
      </c>
      <c r="L78" s="1174" t="s">
        <v>318</v>
      </c>
      <c r="M78" s="1174" t="s">
        <v>339</v>
      </c>
      <c r="N78" s="1174">
        <v>0</v>
      </c>
      <c r="O78" s="1174" t="s">
        <v>950</v>
      </c>
      <c r="P78" s="1176">
        <v>45708</v>
      </c>
      <c r="Q78" s="1176">
        <v>46201</v>
      </c>
      <c r="R78" s="1177">
        <v>20.806386499999999</v>
      </c>
      <c r="S78" s="1177">
        <f>Table4[[#This Row],[قيمة المشروع بالضريبة]]*Table4[[#This Row],[المنفذ % التراكمي]]</f>
        <v>3.6910529650999999</v>
      </c>
      <c r="T78" s="1177">
        <f>Table4[[#This Row],[قيمة المشروع بالضريبة]]*Table4[[#This Row],[المخطط % التراكمي]]</f>
        <v>20.806386499999999</v>
      </c>
      <c r="U78" s="1177">
        <v>269143.39573912974</v>
      </c>
      <c r="V78" s="1177">
        <v>0</v>
      </c>
      <c r="W78" s="1178">
        <v>0</v>
      </c>
      <c r="X78" s="1177">
        <v>3381538.0599999996</v>
      </c>
      <c r="Y78" s="1178">
        <v>7</v>
      </c>
      <c r="Z78" s="1177">
        <v>3381538.06</v>
      </c>
      <c r="AA78" s="1178">
        <v>7</v>
      </c>
      <c r="AB78" s="1179">
        <f>_xlfn.XLOOKUP(Table4[[#This Row],[PO]],Table1[PO],Table1[نسبة الإيقاف%],0)</f>
        <v>0</v>
      </c>
      <c r="AC78" s="1179">
        <v>0.1774</v>
      </c>
      <c r="AD78" s="1179" t="s">
        <v>122</v>
      </c>
      <c r="AE78" s="1157">
        <v>1</v>
      </c>
      <c r="AF78" s="1179">
        <v>0.1774</v>
      </c>
      <c r="AG78" s="1180">
        <f>AF78-AE78</f>
        <v>-0.8226</v>
      </c>
      <c r="AH78" s="1181" t="s">
        <v>385</v>
      </c>
      <c r="AI78" s="1181"/>
      <c r="AJ78" s="1182"/>
      <c r="AK78" s="1181" t="s">
        <v>950</v>
      </c>
      <c r="AL78" s="1182" t="s">
        <v>950</v>
      </c>
      <c r="AM78" s="1183">
        <v>1</v>
      </c>
      <c r="AN78" s="1183"/>
      <c r="AO78" s="1184">
        <v>0</v>
      </c>
      <c r="AP78" s="1179"/>
      <c r="AQ78" s="1185">
        <v>0</v>
      </c>
      <c r="AR78" s="1172">
        <v>1</v>
      </c>
      <c r="AS78" s="1179"/>
      <c r="AT78" s="1186"/>
      <c r="AU78" s="1186" t="s">
        <v>633</v>
      </c>
      <c r="AV78" s="1187" t="s">
        <v>633</v>
      </c>
      <c r="AW78" s="1188" t="s">
        <v>647</v>
      </c>
      <c r="AX78" s="1189" t="s">
        <v>597</v>
      </c>
      <c r="AY78" s="1190"/>
      <c r="AZ78" s="1191" t="s">
        <v>633</v>
      </c>
      <c r="BG78" s="998" t="s">
        <v>597</v>
      </c>
      <c r="BH78" s="999" t="s">
        <v>633</v>
      </c>
    </row>
    <row r="79" spans="1:63" ht="19.2">
      <c r="A79" s="819"/>
      <c r="B79" s="819"/>
      <c r="C79" s="819"/>
      <c r="D79" s="819"/>
      <c r="E79" s="819"/>
      <c r="F79" s="819"/>
      <c r="G79" s="819"/>
      <c r="H79" s="820"/>
      <c r="I79" s="820"/>
      <c r="J79" s="820"/>
      <c r="K79" s="820"/>
      <c r="L79" s="819"/>
      <c r="M79" s="819"/>
      <c r="N79" s="973"/>
      <c r="O79" s="819"/>
      <c r="P79" s="821"/>
      <c r="Q79" s="821"/>
      <c r="R79" s="822">
        <f>SUBTOTAL(109,Table4[قيمة المشروع بالضريبة])</f>
        <v>3281.6304972299999</v>
      </c>
      <c r="S79" s="822">
        <f>SUBTOTAL(109,Table4[EV])</f>
        <v>1071.6589116347734</v>
      </c>
      <c r="T79" s="822">
        <f>SUBTOTAL(109,Table4[PV])</f>
        <v>1086.2592752021458</v>
      </c>
      <c r="U79" s="823">
        <f>SUBTOTAL(109,Table4[Gap Between Earned value &amp; Approved invoices Amount])</f>
        <v>64074622.640849248</v>
      </c>
      <c r="V79" s="823">
        <f>SUBTOTAL(109,Table4[Unpaid Invoices Amount])</f>
        <v>65912334.689999998</v>
      </c>
      <c r="W79" s="858">
        <f>SUBTOTAL(109,Table4[No. of Unpaid Invoices])</f>
        <v>84</v>
      </c>
      <c r="X79" s="823">
        <f>SUBTOTAL(109,Table4[Paid Invoices Amount])</f>
        <v>874154971.17000008</v>
      </c>
      <c r="Y79" s="824">
        <f>SUBTOTAL(109,Table4[No. of Paid invoices])</f>
        <v>934</v>
      </c>
      <c r="Z79" s="823">
        <f>SUBTOTAL(109,Table4[Approved Invoices Amount])</f>
        <v>940067305.85999978</v>
      </c>
      <c r="AA79" s="824">
        <f>SUBTOTAL(109,Table4[No. of Approved Invoices])</f>
        <v>1018</v>
      </c>
      <c r="AB79" s="825"/>
      <c r="AC79" s="825"/>
      <c r="AD79" s="825"/>
      <c r="AE79" s="825"/>
      <c r="AF79" s="825"/>
      <c r="AG79" s="825"/>
      <c r="AH79" s="826"/>
      <c r="AI79" s="827"/>
      <c r="AJ79" s="828"/>
      <c r="AK79" s="995"/>
      <c r="AL79" s="1000"/>
      <c r="AM79" s="829"/>
      <c r="AN79" s="829"/>
      <c r="AO79" s="830"/>
      <c r="AP79" s="831"/>
      <c r="AQ79" s="832"/>
      <c r="AR79" s="833"/>
      <c r="AS79" s="834"/>
      <c r="AT79" s="833"/>
      <c r="AU79" s="833"/>
      <c r="AV79" s="971"/>
      <c r="AW79" s="835"/>
      <c r="AX79" s="836"/>
      <c r="AY79" s="837"/>
      <c r="AZ79" s="1022"/>
      <c r="BG79" s="836"/>
      <c r="BH79" s="838"/>
    </row>
    <row r="83" spans="17:17">
      <c r="Q83" s="1006">
        <v>46418</v>
      </c>
    </row>
    <row r="84" spans="17:17">
      <c r="Q84" s="53">
        <f>Q83-Q78</f>
        <v>217</v>
      </c>
    </row>
  </sheetData>
  <mergeCells count="1">
    <mergeCell ref="A1:AZ1"/>
  </mergeCells>
  <phoneticPr fontId="3" type="noConversion"/>
  <conditionalFormatting sqref="E1:E1048576">
    <cfRule type="duplicateValues" dxfId="2" priority="435"/>
  </conditionalFormatting>
  <conditionalFormatting sqref="AE3:AE67">
    <cfRule type="dataBar" priority="537">
      <dataBar>
        <cfvo type="min"/>
        <cfvo type="max"/>
        <color rgb="FF008AEF"/>
      </dataBar>
      <extLst>
        <ext xmlns:x14="http://schemas.microsoft.com/office/spreadsheetml/2009/9/main" uri="{B025F937-C7B1-47D3-B67F-A62EFF666E3E}">
          <x14:id>{2E6283E2-8386-4497-8C7A-115445D45D48}</x14:id>
        </ext>
      </extLst>
    </cfRule>
  </conditionalFormatting>
  <conditionalFormatting sqref="AF3">
    <cfRule type="dataBar" priority="3">
      <dataBar>
        <cfvo type="min"/>
        <cfvo type="max"/>
        <color rgb="FF008AEF"/>
      </dataBar>
      <extLst>
        <ext xmlns:x14="http://schemas.microsoft.com/office/spreadsheetml/2009/9/main" uri="{B025F937-C7B1-47D3-B67F-A62EFF666E3E}">
          <x14:id>{B48BC131-9BE3-4394-A3DD-4F844CBE2BE0}</x14:id>
        </ext>
      </extLst>
    </cfRule>
  </conditionalFormatting>
  <conditionalFormatting sqref="AF35:AF46">
    <cfRule type="dataBar" priority="426">
      <dataBar>
        <cfvo type="min"/>
        <cfvo type="max"/>
        <color rgb="FF63C384"/>
      </dataBar>
      <extLst>
        <ext xmlns:x14="http://schemas.microsoft.com/office/spreadsheetml/2009/9/main" uri="{B025F937-C7B1-47D3-B67F-A62EFF666E3E}">
          <x14:id>{624AAE51-FBBF-442D-8477-037B278F213C}</x14:id>
        </ext>
      </extLst>
    </cfRule>
  </conditionalFormatting>
  <conditionalFormatting sqref="AF4:AG34 AG3">
    <cfRule type="dataBar" priority="539">
      <dataBar>
        <cfvo type="min"/>
        <cfvo type="max"/>
        <color rgb="FF63C384"/>
      </dataBar>
      <extLst>
        <ext xmlns:x14="http://schemas.microsoft.com/office/spreadsheetml/2009/9/main" uri="{B025F937-C7B1-47D3-B67F-A62EFF666E3E}">
          <x14:id>{0FC087EE-3DB8-48C0-A9D1-B14F4C08BC58}</x14:id>
        </ext>
      </extLst>
    </cfRule>
  </conditionalFormatting>
  <conditionalFormatting sqref="AG35:AG46">
    <cfRule type="dataBar" priority="427">
      <dataBar>
        <cfvo type="min"/>
        <cfvo type="max"/>
        <color rgb="FF63C384"/>
      </dataBar>
      <extLst>
        <ext xmlns:x14="http://schemas.microsoft.com/office/spreadsheetml/2009/9/main" uri="{B025F937-C7B1-47D3-B67F-A62EFF666E3E}">
          <x14:id>{34785F9D-E51D-4B14-B64C-3855A12F03C8}</x14:id>
        </ext>
      </extLst>
    </cfRule>
  </conditionalFormatting>
  <printOptions horizontalCentered="1"/>
  <pageMargins left="0.2" right="0.2" top="0.23622047244094499" bottom="0.196850393700787" header="0.196850393700787" footer="0.15748031496063"/>
  <pageSetup paperSize="8" scale="51" orientation="landscape" r:id="rId1"/>
  <headerFooter>
    <oddFooter>&amp;C&amp;P / &amp;N</oddFooter>
  </headerFooter>
  <rowBreaks count="2" manualBreakCount="2">
    <brk id="10" max="49" man="1"/>
    <brk id="37" max="49" man="1"/>
  </rowBreaks>
  <ignoredErrors>
    <ignoredError sqref="AQ3:AQ6 AO49 AQ49 AQ11 AO11 AO21 AO3:AO4 O68:O77" calculatedColumn="1"/>
  </ignoredErrors>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2E6283E2-8386-4497-8C7A-115445D45D48}">
            <x14:dataBar minLength="0" maxLength="100" gradient="0">
              <x14:cfvo type="autoMin"/>
              <x14:cfvo type="autoMax"/>
              <x14:negativeFillColor rgb="FFFF0000"/>
              <x14:axisColor rgb="FF000000"/>
            </x14:dataBar>
          </x14:cfRule>
          <xm:sqref>AE3:AE67</xm:sqref>
        </x14:conditionalFormatting>
        <x14:conditionalFormatting xmlns:xm="http://schemas.microsoft.com/office/excel/2006/main">
          <x14:cfRule type="dataBar" id="{B48BC131-9BE3-4394-A3DD-4F844CBE2BE0}">
            <x14:dataBar minLength="0" maxLength="100" gradient="0">
              <x14:cfvo type="autoMin"/>
              <x14:cfvo type="autoMax"/>
              <x14:negativeFillColor rgb="FFFF0000"/>
              <x14:axisColor rgb="FF000000"/>
            </x14:dataBar>
          </x14:cfRule>
          <xm:sqref>AF3</xm:sqref>
        </x14:conditionalFormatting>
        <x14:conditionalFormatting xmlns:xm="http://schemas.microsoft.com/office/excel/2006/main">
          <x14:cfRule type="dataBar" id="{624AAE51-FBBF-442D-8477-037B278F213C}">
            <x14:dataBar minLength="0" maxLength="100" gradient="0">
              <x14:cfvo type="autoMin"/>
              <x14:cfvo type="autoMax"/>
              <x14:negativeFillColor rgb="FFFF0000"/>
              <x14:axisColor rgb="FF000000"/>
            </x14:dataBar>
          </x14:cfRule>
          <xm:sqref>AF35:AF46</xm:sqref>
        </x14:conditionalFormatting>
        <x14:conditionalFormatting xmlns:xm="http://schemas.microsoft.com/office/excel/2006/main">
          <x14:cfRule type="dataBar" id="{0FC087EE-3DB8-48C0-A9D1-B14F4C08BC58}">
            <x14:dataBar minLength="0" maxLength="100" gradient="0">
              <x14:cfvo type="autoMin"/>
              <x14:cfvo type="autoMax"/>
              <x14:negativeFillColor rgb="FFFF0000"/>
              <x14:axisColor rgb="FF000000"/>
            </x14:dataBar>
          </x14:cfRule>
          <xm:sqref>AF4:AG34 AG3</xm:sqref>
        </x14:conditionalFormatting>
        <x14:conditionalFormatting xmlns:xm="http://schemas.microsoft.com/office/excel/2006/main">
          <x14:cfRule type="dataBar" id="{34785F9D-E51D-4B14-B64C-3855A12F03C8}">
            <x14:dataBar minLength="0" maxLength="100" gradient="0">
              <x14:cfvo type="autoMin"/>
              <x14:cfvo type="autoMax"/>
              <x14:negativeFillColor rgb="FFFF0000"/>
              <x14:axisColor rgb="FF000000"/>
            </x14:dataBar>
          </x14:cfRule>
          <xm:sqref>AG35:AG46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107B-9D5B-49D0-BDDE-27ED53203AAB}">
  <sheetPr>
    <tabColor rgb="FFFFC000"/>
  </sheetPr>
  <dimension ref="A2:M49"/>
  <sheetViews>
    <sheetView zoomScale="85" zoomScaleNormal="85" workbookViewId="0">
      <selection activeCell="H5" sqref="H5"/>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325"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2</v>
      </c>
      <c r="B3" s="111">
        <v>4</v>
      </c>
      <c r="C3" s="111">
        <v>9</v>
      </c>
      <c r="D3" s="111">
        <v>10</v>
      </c>
      <c r="E3" s="111">
        <v>8</v>
      </c>
      <c r="F3" s="111">
        <v>7</v>
      </c>
      <c r="G3" s="111">
        <v>5</v>
      </c>
      <c r="H3" s="111">
        <v>4</v>
      </c>
      <c r="I3" s="111">
        <v>2</v>
      </c>
      <c r="J3" s="111">
        <v>8</v>
      </c>
      <c r="K3" s="111">
        <v>9</v>
      </c>
      <c r="L3" s="293">
        <v>5</v>
      </c>
      <c r="M3" s="111" t="s">
        <v>436</v>
      </c>
    </row>
    <row r="4" spans="1:13" ht="22.2" customHeight="1">
      <c r="A4" s="111"/>
      <c r="B4" s="111"/>
      <c r="C4" s="111"/>
      <c r="D4" s="111"/>
      <c r="E4" s="111"/>
      <c r="F4" s="111">
        <v>6</v>
      </c>
      <c r="G4" s="111">
        <v>7</v>
      </c>
      <c r="H4" s="111">
        <v>4</v>
      </c>
      <c r="I4" s="111">
        <v>2</v>
      </c>
      <c r="J4" s="111">
        <v>11</v>
      </c>
      <c r="K4" s="111">
        <v>6</v>
      </c>
      <c r="L4" s="293">
        <v>5</v>
      </c>
      <c r="M4" s="111" t="s">
        <v>437</v>
      </c>
    </row>
    <row r="5" spans="1:13" ht="22.2" customHeight="1">
      <c r="A5" s="111"/>
      <c r="B5" s="111"/>
      <c r="C5" s="111"/>
      <c r="D5" s="111"/>
      <c r="E5" s="111"/>
      <c r="F5" s="111">
        <v>3</v>
      </c>
      <c r="G5" s="111">
        <v>5</v>
      </c>
      <c r="H5" s="111">
        <v>4</v>
      </c>
      <c r="I5" s="111">
        <v>2</v>
      </c>
      <c r="J5" s="111">
        <v>11</v>
      </c>
      <c r="K5" s="111">
        <v>6</v>
      </c>
      <c r="L5" s="111">
        <v>5</v>
      </c>
      <c r="M5" s="111" t="s">
        <v>430</v>
      </c>
    </row>
    <row r="6" spans="1:13">
      <c r="A6" s="1"/>
    </row>
    <row r="27" spans="1:13">
      <c r="A27">
        <v>901240105</v>
      </c>
      <c r="B27" s="1">
        <v>901240144</v>
      </c>
      <c r="C27" s="1">
        <v>901240018</v>
      </c>
      <c r="D27" s="1">
        <v>901250201</v>
      </c>
      <c r="E27" s="1">
        <v>901250275</v>
      </c>
      <c r="F27" s="1">
        <v>901230177</v>
      </c>
      <c r="G27" s="1">
        <v>901240072</v>
      </c>
      <c r="H27" s="1">
        <v>901240282</v>
      </c>
      <c r="I27" s="327">
        <v>901240091</v>
      </c>
      <c r="J27" s="327">
        <v>901240141</v>
      </c>
      <c r="K27" s="327">
        <v>901240386</v>
      </c>
      <c r="L27" s="327">
        <v>901240386</v>
      </c>
    </row>
    <row r="28" spans="1:13">
      <c r="A28">
        <v>901250206</v>
      </c>
      <c r="B28" s="1">
        <v>901240021</v>
      </c>
      <c r="C28" s="1">
        <v>901240137</v>
      </c>
      <c r="D28" s="1">
        <v>901230273</v>
      </c>
      <c r="E28" s="1">
        <v>601240224</v>
      </c>
      <c r="F28" s="1">
        <v>601240159</v>
      </c>
      <c r="G28" s="1">
        <v>901240391</v>
      </c>
      <c r="H28" s="1">
        <v>901240123</v>
      </c>
      <c r="I28" s="328">
        <v>901240327</v>
      </c>
      <c r="J28" s="328">
        <v>901240090</v>
      </c>
      <c r="K28" s="327">
        <v>901240102</v>
      </c>
      <c r="L28" s="327">
        <v>901240102</v>
      </c>
      <c r="M28" s="1">
        <v>901240091</v>
      </c>
    </row>
    <row r="29" spans="1:13">
      <c r="B29" s="1">
        <v>901240105</v>
      </c>
      <c r="C29" s="1">
        <v>601240116</v>
      </c>
      <c r="D29" s="1">
        <v>901240136</v>
      </c>
      <c r="E29" s="1">
        <v>901240210</v>
      </c>
      <c r="F29" s="1">
        <v>601240142</v>
      </c>
      <c r="G29" s="1">
        <v>901230177</v>
      </c>
      <c r="H29" s="1">
        <v>601240239</v>
      </c>
      <c r="I29" s="328">
        <v>901240189</v>
      </c>
      <c r="J29" s="327">
        <v>901250110</v>
      </c>
      <c r="K29" s="327">
        <v>901230176</v>
      </c>
      <c r="L29" s="327">
        <v>901230176</v>
      </c>
    </row>
    <row r="30" spans="1:13">
      <c r="B30" s="1">
        <v>901250206</v>
      </c>
      <c r="C30" s="1">
        <v>901250059</v>
      </c>
      <c r="D30" s="1">
        <v>601250095</v>
      </c>
      <c r="E30" s="1">
        <v>601250132</v>
      </c>
      <c r="F30" s="1">
        <v>901250275</v>
      </c>
      <c r="G30" s="1">
        <v>601240159</v>
      </c>
      <c r="H30" s="1">
        <v>901240095</v>
      </c>
      <c r="I30" s="328">
        <v>601250007</v>
      </c>
      <c r="J30" s="328">
        <v>901240373</v>
      </c>
      <c r="K30" s="327">
        <v>901240075</v>
      </c>
      <c r="L30" s="327">
        <v>901240075</v>
      </c>
    </row>
    <row r="31" spans="1:13">
      <c r="C31" s="1">
        <v>901250252</v>
      </c>
      <c r="D31" s="1">
        <v>601250072</v>
      </c>
      <c r="E31" s="1">
        <v>901250201</v>
      </c>
      <c r="F31" s="1">
        <v>601240224</v>
      </c>
      <c r="G31" s="1">
        <v>601240142</v>
      </c>
      <c r="H31" s="1">
        <v>901240072</v>
      </c>
      <c r="I31" s="328">
        <v>901240282</v>
      </c>
      <c r="J31" s="341">
        <v>901240091</v>
      </c>
      <c r="K31" s="327">
        <v>901230253</v>
      </c>
      <c r="L31" s="327">
        <v>901230253</v>
      </c>
    </row>
    <row r="32" spans="1:13">
      <c r="C32" s="1">
        <v>601250001</v>
      </c>
      <c r="D32" s="1">
        <v>901240018</v>
      </c>
      <c r="E32" s="1">
        <v>901230273</v>
      </c>
      <c r="F32" s="1">
        <v>901240210</v>
      </c>
      <c r="H32" s="1">
        <v>901240391</v>
      </c>
      <c r="I32" s="328">
        <v>901240123</v>
      </c>
      <c r="J32" s="327">
        <v>901240327</v>
      </c>
      <c r="K32" s="327">
        <v>901240141</v>
      </c>
    </row>
    <row r="33" spans="3:11">
      <c r="C33" s="1">
        <v>901240144</v>
      </c>
      <c r="D33" s="1">
        <v>901240137</v>
      </c>
      <c r="E33" s="1">
        <v>901240136</v>
      </c>
      <c r="F33" s="1">
        <v>601250132</v>
      </c>
      <c r="I33" s="328">
        <v>601240239</v>
      </c>
      <c r="J33" s="341">
        <v>901240189</v>
      </c>
      <c r="K33" s="328">
        <v>901240090</v>
      </c>
    </row>
    <row r="34" spans="3:11">
      <c r="C34" s="1">
        <v>901240021</v>
      </c>
      <c r="D34" s="1">
        <v>601240116</v>
      </c>
      <c r="E34" s="1">
        <v>601250095</v>
      </c>
      <c r="I34" s="328">
        <v>901240095</v>
      </c>
      <c r="J34" s="328">
        <v>601250007</v>
      </c>
      <c r="K34" s="328">
        <v>901250110</v>
      </c>
    </row>
    <row r="35" spans="3:11">
      <c r="D35" s="1">
        <v>901250059</v>
      </c>
      <c r="E35" s="1">
        <v>601250072</v>
      </c>
      <c r="K35" s="328">
        <v>901240373</v>
      </c>
    </row>
    <row r="36" spans="3:11">
      <c r="D36" s="1">
        <v>901250252</v>
      </c>
    </row>
    <row r="37" spans="3:11">
      <c r="D37" s="1">
        <v>601250001</v>
      </c>
      <c r="J37" s="326"/>
    </row>
    <row r="38" spans="3:11">
      <c r="J38" s="352"/>
    </row>
    <row r="39" spans="3:11">
      <c r="J39" s="353"/>
    </row>
    <row r="40" spans="3:11">
      <c r="J40" s="353"/>
    </row>
    <row r="41" spans="3:11">
      <c r="J41" s="353"/>
    </row>
    <row r="42" spans="3:11">
      <c r="J42" s="353"/>
    </row>
    <row r="43" spans="3:11">
      <c r="J43" s="353"/>
    </row>
    <row r="44" spans="3:11">
      <c r="J44" s="353"/>
    </row>
    <row r="45" spans="3:11">
      <c r="J45" s="353"/>
    </row>
    <row r="46" spans="3:11">
      <c r="J46" s="353"/>
    </row>
    <row r="47" spans="3:11">
      <c r="J47" s="353"/>
    </row>
    <row r="48" spans="3:11">
      <c r="J48" s="353"/>
    </row>
    <row r="49" spans="10:10">
      <c r="J49" s="353"/>
    </row>
  </sheetData>
  <conditionalFormatting sqref="I27:I43">
    <cfRule type="duplicateValues" dxfId="1" priority="1"/>
  </conditionalFormatting>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F7A2-B03B-4131-AD5A-4A4851D53650}">
  <sheetPr>
    <tabColor rgb="FFFFC000"/>
  </sheetPr>
  <dimension ref="A2:M42"/>
  <sheetViews>
    <sheetView zoomScale="70" zoomScaleNormal="70" workbookViewId="0">
      <selection activeCell="N51" sqref="N51"/>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280" customFormat="1" ht="22.2" customHeight="1">
      <c r="A2" s="279" t="s">
        <v>417</v>
      </c>
      <c r="B2" s="279" t="s">
        <v>418</v>
      </c>
      <c r="C2" s="279" t="s">
        <v>419</v>
      </c>
      <c r="D2" s="279" t="s">
        <v>420</v>
      </c>
      <c r="E2" s="279" t="s">
        <v>421</v>
      </c>
      <c r="F2" s="279" t="s">
        <v>422</v>
      </c>
      <c r="G2" s="279" t="s">
        <v>423</v>
      </c>
      <c r="H2" s="279" t="s">
        <v>424</v>
      </c>
      <c r="I2" s="279" t="s">
        <v>425</v>
      </c>
      <c r="J2" s="279" t="s">
        <v>426</v>
      </c>
      <c r="K2" s="279" t="s">
        <v>427</v>
      </c>
      <c r="L2" s="279" t="s">
        <v>428</v>
      </c>
      <c r="M2" s="279" t="s">
        <v>429</v>
      </c>
    </row>
    <row r="3" spans="1:13" ht="22.2" customHeight="1">
      <c r="A3" s="111">
        <v>2</v>
      </c>
      <c r="B3" s="111">
        <v>4</v>
      </c>
      <c r="C3" s="111">
        <v>8</v>
      </c>
      <c r="D3" s="111">
        <v>11</v>
      </c>
      <c r="E3" s="111">
        <v>9</v>
      </c>
      <c r="F3" s="111">
        <v>7</v>
      </c>
      <c r="G3" s="111">
        <v>5</v>
      </c>
      <c r="H3" s="111">
        <v>6</v>
      </c>
      <c r="I3" s="111">
        <v>8</v>
      </c>
      <c r="J3" s="111">
        <v>8</v>
      </c>
      <c r="K3" s="111">
        <v>9</v>
      </c>
      <c r="L3" s="293">
        <v>5</v>
      </c>
      <c r="M3" s="111" t="s">
        <v>436</v>
      </c>
    </row>
    <row r="4" spans="1:13" ht="22.2" customHeight="1">
      <c r="A4" s="111"/>
      <c r="B4" s="111"/>
      <c r="C4" s="111"/>
      <c r="D4" s="111"/>
      <c r="E4" s="111"/>
      <c r="F4" s="111"/>
      <c r="G4" s="111"/>
      <c r="H4" s="111"/>
      <c r="I4" s="111"/>
      <c r="J4" s="111"/>
      <c r="K4" s="111">
        <v>6</v>
      </c>
      <c r="L4" s="111">
        <v>5</v>
      </c>
      <c r="M4" s="111" t="s">
        <v>430</v>
      </c>
    </row>
    <row r="5" spans="1:13">
      <c r="A5" s="1"/>
    </row>
    <row r="26" spans="1:12">
      <c r="A26">
        <v>901240105</v>
      </c>
      <c r="B26" s="1">
        <v>901240144</v>
      </c>
      <c r="C26" s="1">
        <v>901240018</v>
      </c>
      <c r="D26" s="1">
        <v>901250201</v>
      </c>
      <c r="E26" s="1">
        <v>901250275</v>
      </c>
      <c r="F26" s="1">
        <v>901230177</v>
      </c>
      <c r="G26" s="1">
        <v>901240072</v>
      </c>
      <c r="H26" s="1">
        <v>901240282</v>
      </c>
      <c r="I26" s="1">
        <v>901240091</v>
      </c>
      <c r="J26" s="327">
        <v>901240141</v>
      </c>
      <c r="K26" s="327">
        <v>901240386</v>
      </c>
      <c r="L26" s="327">
        <v>901240386</v>
      </c>
    </row>
    <row r="27" spans="1:12">
      <c r="A27">
        <v>901250206</v>
      </c>
      <c r="B27" s="1">
        <v>901240021</v>
      </c>
      <c r="C27" s="1">
        <v>901240137</v>
      </c>
      <c r="D27" s="1">
        <v>901230273</v>
      </c>
      <c r="E27" s="1">
        <v>601240224</v>
      </c>
      <c r="F27" s="1">
        <v>601240159</v>
      </c>
      <c r="G27" s="1">
        <v>901240391</v>
      </c>
      <c r="H27" s="1">
        <v>901240123</v>
      </c>
      <c r="I27" s="1">
        <v>901240327</v>
      </c>
      <c r="J27" s="328">
        <v>901240090</v>
      </c>
      <c r="K27" s="327">
        <v>901240102</v>
      </c>
      <c r="L27" s="327">
        <v>901240102</v>
      </c>
    </row>
    <row r="28" spans="1:12">
      <c r="B28" s="1">
        <v>901240105</v>
      </c>
      <c r="C28" s="1">
        <v>601240116</v>
      </c>
      <c r="D28" s="1">
        <v>901240136</v>
      </c>
      <c r="E28" s="1">
        <v>901240210</v>
      </c>
      <c r="F28" s="1">
        <v>601240142</v>
      </c>
      <c r="G28" s="1">
        <v>901230177</v>
      </c>
      <c r="H28" s="1">
        <v>601240239</v>
      </c>
      <c r="I28" s="1">
        <v>901240189</v>
      </c>
      <c r="J28" s="327">
        <v>901250110</v>
      </c>
      <c r="K28" s="327">
        <v>901230176</v>
      </c>
      <c r="L28" s="327">
        <v>901230176</v>
      </c>
    </row>
    <row r="29" spans="1:12">
      <c r="B29" s="1">
        <v>901250206</v>
      </c>
      <c r="C29" s="1">
        <v>901250059</v>
      </c>
      <c r="D29" s="1">
        <v>601250095</v>
      </c>
      <c r="E29" s="1">
        <v>601250132</v>
      </c>
      <c r="F29" s="1">
        <v>901250275</v>
      </c>
      <c r="G29" s="1">
        <v>601240159</v>
      </c>
      <c r="H29" s="1">
        <v>901240095</v>
      </c>
      <c r="I29" s="1">
        <v>601250007</v>
      </c>
      <c r="J29" s="328">
        <v>901240373</v>
      </c>
      <c r="K29" s="327">
        <v>901240075</v>
      </c>
      <c r="L29" s="327">
        <v>901240075</v>
      </c>
    </row>
    <row r="30" spans="1:12">
      <c r="C30" s="1">
        <v>901250252</v>
      </c>
      <c r="D30" s="1">
        <v>601250072</v>
      </c>
      <c r="E30" s="1">
        <v>901250201</v>
      </c>
      <c r="F30" s="1">
        <v>601240224</v>
      </c>
      <c r="G30" s="1">
        <v>601240142</v>
      </c>
      <c r="H30" s="1">
        <v>901240072</v>
      </c>
      <c r="I30" s="1">
        <v>901240282</v>
      </c>
      <c r="J30" s="328">
        <v>901240091</v>
      </c>
      <c r="K30" s="327">
        <v>901230253</v>
      </c>
      <c r="L30" s="327">
        <v>901230253</v>
      </c>
    </row>
    <row r="31" spans="1:12">
      <c r="C31" s="1">
        <v>601250001</v>
      </c>
      <c r="D31" s="1">
        <v>901240018</v>
      </c>
      <c r="E31" s="1">
        <v>901230273</v>
      </c>
      <c r="F31" s="1">
        <v>901240210</v>
      </c>
      <c r="H31" s="1">
        <v>901240391</v>
      </c>
      <c r="I31" s="1">
        <v>901240123</v>
      </c>
      <c r="J31" s="327">
        <v>901240327</v>
      </c>
      <c r="K31" s="327">
        <v>901240141</v>
      </c>
    </row>
    <row r="32" spans="1:12">
      <c r="C32" s="1">
        <v>901240144</v>
      </c>
      <c r="D32" s="1">
        <v>901240137</v>
      </c>
      <c r="E32" s="1">
        <v>901240136</v>
      </c>
      <c r="F32" s="1">
        <v>601250132</v>
      </c>
      <c r="I32" s="1">
        <v>601240239</v>
      </c>
      <c r="J32" s="328">
        <v>901240189</v>
      </c>
      <c r="K32" s="328">
        <v>901240090</v>
      </c>
    </row>
    <row r="33" spans="3:11">
      <c r="C33" s="1">
        <v>901240021</v>
      </c>
      <c r="D33" s="1">
        <v>601240116</v>
      </c>
      <c r="E33" s="1">
        <v>601250095</v>
      </c>
      <c r="I33" s="1">
        <v>901240095</v>
      </c>
      <c r="J33" s="328">
        <v>601250007</v>
      </c>
      <c r="K33" s="328">
        <v>901250110</v>
      </c>
    </row>
    <row r="34" spans="3:11">
      <c r="D34" s="1">
        <v>901250059</v>
      </c>
      <c r="E34" s="1">
        <v>601250072</v>
      </c>
      <c r="K34" s="328">
        <v>901240373</v>
      </c>
    </row>
    <row r="35" spans="3:11">
      <c r="D35" s="1">
        <v>901250252</v>
      </c>
    </row>
    <row r="36" spans="3:11">
      <c r="D36" s="1">
        <v>601250001</v>
      </c>
      <c r="J36" s="326"/>
    </row>
    <row r="37" spans="3:11">
      <c r="J37" s="326"/>
    </row>
    <row r="38" spans="3:11">
      <c r="J38" s="326"/>
    </row>
    <row r="39" spans="3:11">
      <c r="J39" s="326"/>
    </row>
    <row r="40" spans="3:11">
      <c r="J40" s="326"/>
    </row>
    <row r="41" spans="3:11">
      <c r="J41" s="326"/>
    </row>
    <row r="42" spans="3:11">
      <c r="J42" s="326"/>
    </row>
  </sheetData>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2E48-E16F-40C4-9780-3200F6EF8ED2}">
  <sheetPr>
    <tabColor rgb="FFFFC000"/>
  </sheetPr>
  <dimension ref="A2:M6"/>
  <sheetViews>
    <sheetView zoomScale="70" zoomScaleNormal="70" workbookViewId="0">
      <selection activeCell="H5" sqref="H5"/>
    </sheetView>
  </sheetViews>
  <sheetFormatPr defaultRowHeight="14.4"/>
  <cols>
    <col min="1" max="1" width="13.6640625" customWidth="1"/>
    <col min="2" max="11" width="13" style="1" customWidth="1"/>
    <col min="12" max="12" width="13.44140625" style="1" customWidth="1"/>
    <col min="13" max="13" width="33.44140625" style="1" customWidth="1"/>
  </cols>
  <sheetData>
    <row r="2" spans="1:13" s="280"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5</v>
      </c>
      <c r="B3" s="111">
        <v>2</v>
      </c>
      <c r="C3" s="111">
        <v>1</v>
      </c>
      <c r="D3" s="111">
        <v>1</v>
      </c>
      <c r="E3" s="111">
        <v>1</v>
      </c>
      <c r="F3" s="111">
        <v>2</v>
      </c>
      <c r="G3" s="111">
        <v>0</v>
      </c>
      <c r="H3" s="111">
        <v>8</v>
      </c>
      <c r="I3" s="111">
        <v>25</v>
      </c>
      <c r="J3" s="111">
        <v>28</v>
      </c>
      <c r="K3" s="111">
        <v>19</v>
      </c>
      <c r="L3" s="111">
        <v>20</v>
      </c>
      <c r="M3" s="312" t="s">
        <v>438</v>
      </c>
    </row>
    <row r="4" spans="1:13" ht="22.2" customHeight="1">
      <c r="A4" s="111"/>
      <c r="B4" s="111"/>
      <c r="C4" s="111"/>
      <c r="D4" s="111"/>
      <c r="E4" s="111"/>
      <c r="F4" s="111">
        <v>7</v>
      </c>
      <c r="G4" s="111">
        <v>0</v>
      </c>
      <c r="H4" s="111">
        <v>8</v>
      </c>
      <c r="I4" s="111">
        <v>6</v>
      </c>
      <c r="J4" s="111">
        <v>15</v>
      </c>
      <c r="K4" s="111">
        <f>4+L5</f>
        <v>13</v>
      </c>
      <c r="L4" s="111">
        <v>16</v>
      </c>
      <c r="M4" s="312" t="s">
        <v>439</v>
      </c>
    </row>
    <row r="5" spans="1:13" ht="22.2" customHeight="1">
      <c r="A5" s="111"/>
      <c r="B5" s="111"/>
      <c r="C5" s="111"/>
      <c r="D5" s="111"/>
      <c r="E5" s="111"/>
      <c r="F5" s="111">
        <v>6</v>
      </c>
      <c r="G5" s="111">
        <v>6</v>
      </c>
      <c r="H5" s="111">
        <v>7</v>
      </c>
      <c r="I5" s="111">
        <v>6</v>
      </c>
      <c r="J5" s="111">
        <v>10</v>
      </c>
      <c r="K5" s="111">
        <v>8</v>
      </c>
      <c r="L5" s="111">
        <v>9</v>
      </c>
      <c r="M5" s="312" t="s">
        <v>434</v>
      </c>
    </row>
    <row r="6" spans="1:13" ht="25.95" customHeight="1">
      <c r="A6" s="111"/>
      <c r="B6" s="111"/>
      <c r="C6" s="111"/>
      <c r="D6" s="111"/>
      <c r="E6" s="111"/>
      <c r="F6" s="111">
        <v>1</v>
      </c>
      <c r="G6" s="111">
        <v>5</v>
      </c>
      <c r="H6" s="111">
        <v>5</v>
      </c>
      <c r="I6" s="111">
        <v>3</v>
      </c>
      <c r="J6" s="111">
        <v>0</v>
      </c>
      <c r="K6" s="111">
        <v>0</v>
      </c>
      <c r="L6" s="111">
        <v>0</v>
      </c>
      <c r="M6" s="312" t="s">
        <v>452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1A7D-BEDE-43C1-8E85-A96EE28406D9}">
  <dimension ref="B4:BH42"/>
  <sheetViews>
    <sheetView rightToLeft="1" topLeftCell="AG3" zoomScale="80" zoomScaleNormal="80" workbookViewId="0">
      <selection activeCell="H5" sqref="H5"/>
    </sheetView>
  </sheetViews>
  <sheetFormatPr defaultColWidth="8.88671875" defaultRowHeight="14.4"/>
  <cols>
    <col min="1" max="1" width="12.6640625" style="1" customWidth="1"/>
    <col min="2" max="2" width="12" style="1" customWidth="1"/>
    <col min="3" max="5" width="10.44140625" style="1" bestFit="1" customWidth="1"/>
    <col min="6" max="6" width="11.6640625" style="1" customWidth="1"/>
    <col min="7" max="7" width="9.6640625" style="1" customWidth="1"/>
    <col min="8" max="8" width="11.109375" style="1" customWidth="1"/>
    <col min="9" max="9" width="11" style="1" customWidth="1"/>
    <col min="10" max="10" width="10.44140625" style="1" bestFit="1" customWidth="1"/>
    <col min="11" max="11" width="11.88671875" style="1" customWidth="1"/>
    <col min="12" max="13" width="13" style="1" customWidth="1"/>
    <col min="14" max="14" width="11.33203125" style="1" customWidth="1"/>
    <col min="15" max="15" width="8.88671875" style="1"/>
    <col min="16" max="16" width="12" style="1" customWidth="1"/>
    <col min="17" max="17" width="23.6640625" style="1" customWidth="1"/>
    <col min="18" max="16384" width="8.88671875" style="1"/>
  </cols>
  <sheetData>
    <row r="4" spans="2:60">
      <c r="B4" s="1" t="s">
        <v>355</v>
      </c>
      <c r="C4" s="133">
        <v>45827</v>
      </c>
      <c r="D4" s="133">
        <v>45834</v>
      </c>
      <c r="E4" s="133">
        <v>45841</v>
      </c>
      <c r="F4" s="133">
        <v>45848</v>
      </c>
      <c r="G4" s="133">
        <v>45855</v>
      </c>
      <c r="H4" s="133">
        <v>45862</v>
      </c>
      <c r="I4" s="133">
        <v>45869</v>
      </c>
      <c r="J4" s="133">
        <v>45876</v>
      </c>
      <c r="K4" s="133">
        <v>45883</v>
      </c>
      <c r="L4" s="133">
        <v>45890</v>
      </c>
      <c r="M4" s="133">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 t="s">
        <v>356</v>
      </c>
      <c r="C5" s="1">
        <v>5</v>
      </c>
      <c r="D5" s="1">
        <v>3</v>
      </c>
      <c r="E5" s="1">
        <v>3</v>
      </c>
      <c r="F5" s="1">
        <v>3</v>
      </c>
      <c r="G5" s="1">
        <v>4</v>
      </c>
      <c r="H5" s="1">
        <v>3</v>
      </c>
      <c r="I5" s="1">
        <v>3</v>
      </c>
      <c r="J5" s="1">
        <v>3</v>
      </c>
      <c r="K5" s="1">
        <v>3</v>
      </c>
      <c r="L5" s="1">
        <v>3</v>
      </c>
      <c r="M5" s="1">
        <v>2</v>
      </c>
      <c r="N5" s="1">
        <v>2</v>
      </c>
      <c r="O5" s="1">
        <v>4</v>
      </c>
      <c r="P5" s="1">
        <v>3</v>
      </c>
      <c r="Q5" s="1">
        <v>3</v>
      </c>
      <c r="R5" s="1">
        <v>3</v>
      </c>
      <c r="S5" s="1">
        <v>3</v>
      </c>
      <c r="T5" s="1">
        <v>2</v>
      </c>
      <c r="U5" s="1">
        <v>3</v>
      </c>
      <c r="V5" s="1">
        <v>3</v>
      </c>
      <c r="W5" s="1">
        <v>3</v>
      </c>
      <c r="X5" s="1">
        <v>2</v>
      </c>
      <c r="Y5" s="1">
        <v>2</v>
      </c>
      <c r="Z5" s="1">
        <v>1</v>
      </c>
      <c r="AA5" s="1">
        <v>2</v>
      </c>
      <c r="AB5" s="1">
        <v>1</v>
      </c>
      <c r="AC5" s="1">
        <v>1</v>
      </c>
      <c r="AD5" s="1">
        <v>1</v>
      </c>
      <c r="AE5" s="1">
        <v>1</v>
      </c>
      <c r="AF5" s="1">
        <v>2</v>
      </c>
      <c r="AG5" s="1">
        <v>4</v>
      </c>
      <c r="AH5" s="1">
        <v>5</v>
      </c>
      <c r="AI5" s="1">
        <v>5</v>
      </c>
      <c r="AJ5" s="1">
        <v>6</v>
      </c>
      <c r="AK5" s="1">
        <v>6</v>
      </c>
      <c r="AL5" s="1">
        <v>6</v>
      </c>
      <c r="AM5" s="1">
        <v>6</v>
      </c>
      <c r="AN5" s="1">
        <v>8</v>
      </c>
      <c r="AO5" s="1">
        <v>10</v>
      </c>
      <c r="AP5" s="1">
        <v>11</v>
      </c>
      <c r="AQ5" s="1">
        <v>11</v>
      </c>
      <c r="AR5" s="1">
        <v>8</v>
      </c>
      <c r="AS5" s="1">
        <v>6</v>
      </c>
      <c r="AT5" s="1">
        <v>5</v>
      </c>
      <c r="AU5" s="1">
        <v>3</v>
      </c>
      <c r="AV5" s="1">
        <v>2</v>
      </c>
      <c r="AW5" s="1">
        <v>4</v>
      </c>
      <c r="AX5" s="1">
        <v>4</v>
      </c>
      <c r="AY5" s="1">
        <v>4</v>
      </c>
      <c r="AZ5" s="1">
        <v>4</v>
      </c>
      <c r="BA5" s="1">
        <v>4</v>
      </c>
      <c r="BB5" s="1">
        <v>4</v>
      </c>
      <c r="BC5" s="1">
        <v>3</v>
      </c>
      <c r="BD5" s="1">
        <v>3</v>
      </c>
      <c r="BE5" s="1">
        <v>5</v>
      </c>
      <c r="BF5" s="1">
        <v>3</v>
      </c>
      <c r="BG5" s="1">
        <v>3</v>
      </c>
      <c r="BH5" s="1">
        <v>3</v>
      </c>
    </row>
    <row r="20" spans="3:12">
      <c r="C20" s="133"/>
      <c r="D20" s="133"/>
      <c r="E20" s="133"/>
    </row>
    <row r="26" spans="3:12" ht="15" thickBot="1">
      <c r="H26" s="134">
        <v>45838</v>
      </c>
      <c r="I26" s="302">
        <v>901200179</v>
      </c>
      <c r="J26" s="303">
        <v>901200178</v>
      </c>
      <c r="K26" s="304">
        <v>901240075</v>
      </c>
      <c r="L26" s="305">
        <v>901240102</v>
      </c>
    </row>
    <row r="27" spans="3:12" ht="15" thickTop="1">
      <c r="H27" s="134">
        <v>45868</v>
      </c>
      <c r="I27" s="1">
        <v>901200178</v>
      </c>
      <c r="J27" s="1">
        <v>901200179</v>
      </c>
      <c r="K27" s="301">
        <v>901240102</v>
      </c>
    </row>
    <row r="28" spans="3:12">
      <c r="H28" s="134">
        <v>45899</v>
      </c>
      <c r="I28" s="1">
        <v>901200178</v>
      </c>
      <c r="J28" s="1">
        <v>901240102</v>
      </c>
      <c r="K28" s="301">
        <v>901240102</v>
      </c>
    </row>
    <row r="29" spans="3:12">
      <c r="H29" s="134">
        <v>45930</v>
      </c>
      <c r="I29" s="301">
        <v>901240386</v>
      </c>
      <c r="J29" s="1">
        <v>901200178</v>
      </c>
      <c r="K29" s="301">
        <v>901240102</v>
      </c>
    </row>
    <row r="30" spans="3:12">
      <c r="H30" s="134">
        <v>45960</v>
      </c>
      <c r="I30" s="1">
        <v>901240024</v>
      </c>
      <c r="J30" s="301">
        <v>901240386</v>
      </c>
      <c r="K30" s="1">
        <v>901200178</v>
      </c>
    </row>
    <row r="31" spans="3:12">
      <c r="H31" s="134">
        <v>45991</v>
      </c>
      <c r="I31" s="1">
        <v>901200178</v>
      </c>
      <c r="J31" s="301">
        <v>901240386</v>
      </c>
    </row>
    <row r="32" spans="3:12">
      <c r="H32" s="134">
        <v>46021</v>
      </c>
      <c r="I32" s="301">
        <v>901240386</v>
      </c>
    </row>
    <row r="33" spans="2:18">
      <c r="H33" s="134">
        <v>46052</v>
      </c>
      <c r="I33" s="301">
        <v>901230176</v>
      </c>
      <c r="J33" s="301">
        <v>901230253</v>
      </c>
      <c r="K33" s="301">
        <v>901240075</v>
      </c>
      <c r="L33" s="301">
        <v>901240102</v>
      </c>
      <c r="M33" s="301">
        <v>901240386</v>
      </c>
    </row>
    <row r="34" spans="2:18">
      <c r="H34" s="134">
        <v>46081</v>
      </c>
      <c r="I34" s="301">
        <v>901240141</v>
      </c>
      <c r="J34" s="301">
        <v>901230176</v>
      </c>
      <c r="K34" s="301">
        <v>901230253</v>
      </c>
      <c r="L34" s="301">
        <v>901240075</v>
      </c>
      <c r="M34" s="301">
        <v>901240102</v>
      </c>
      <c r="N34" s="301">
        <v>901240386</v>
      </c>
    </row>
    <row r="35" spans="2:18" s="35" customFormat="1">
      <c r="B35" s="1264">
        <v>2025</v>
      </c>
      <c r="C35" s="1264"/>
      <c r="D35" s="1264"/>
      <c r="E35" s="1264"/>
      <c r="F35" s="1264"/>
      <c r="G35" s="1264"/>
      <c r="H35" s="1264"/>
      <c r="I35" s="1264"/>
      <c r="J35" s="1264"/>
      <c r="K35" s="1264"/>
      <c r="L35" s="1264"/>
      <c r="M35" s="1264"/>
      <c r="N35" s="1264">
        <v>2026</v>
      </c>
      <c r="O35" s="1264"/>
      <c r="P35" s="1265" t="s">
        <v>340</v>
      </c>
    </row>
    <row r="36" spans="2:18" s="35" customFormat="1">
      <c r="B36" s="307">
        <v>45687</v>
      </c>
      <c r="C36" s="307">
        <v>45716</v>
      </c>
      <c r="D36" s="307">
        <v>45746</v>
      </c>
      <c r="E36" s="307">
        <v>45777</v>
      </c>
      <c r="F36" s="307">
        <v>45807</v>
      </c>
      <c r="G36" s="307">
        <v>45838</v>
      </c>
      <c r="H36" s="307">
        <v>45868</v>
      </c>
      <c r="I36" s="307">
        <v>45899</v>
      </c>
      <c r="J36" s="307">
        <v>45930</v>
      </c>
      <c r="K36" s="307">
        <v>45960</v>
      </c>
      <c r="L36" s="307">
        <v>45991</v>
      </c>
      <c r="M36" s="307">
        <v>46021</v>
      </c>
      <c r="N36" s="307">
        <v>46052</v>
      </c>
      <c r="O36" s="307">
        <v>46081</v>
      </c>
      <c r="P36" s="1266"/>
    </row>
    <row r="37" spans="2:18">
      <c r="B37" s="111" t="s">
        <v>77</v>
      </c>
      <c r="C37" s="111" t="s">
        <v>100</v>
      </c>
      <c r="D37" s="111" t="s">
        <v>100</v>
      </c>
      <c r="E37" s="111" t="s">
        <v>77</v>
      </c>
      <c r="F37" s="111" t="s">
        <v>77</v>
      </c>
      <c r="G37" s="111" t="s">
        <v>77</v>
      </c>
      <c r="H37" s="111" t="s">
        <v>77</v>
      </c>
      <c r="I37" s="111" t="s">
        <v>100</v>
      </c>
      <c r="J37" s="111" t="s">
        <v>100</v>
      </c>
      <c r="K37" s="111" t="s">
        <v>77</v>
      </c>
      <c r="L37" s="111" t="s">
        <v>77</v>
      </c>
      <c r="M37" s="111" t="s">
        <v>100</v>
      </c>
      <c r="N37" s="111" t="s">
        <v>100</v>
      </c>
      <c r="O37" s="306" t="s">
        <v>85</v>
      </c>
      <c r="P37" s="308">
        <v>901240141</v>
      </c>
      <c r="Q37" s="308">
        <v>901240141</v>
      </c>
      <c r="R37" s="1" t="s">
        <v>455</v>
      </c>
    </row>
    <row r="38" spans="2:18">
      <c r="B38" s="111" t="s">
        <v>100</v>
      </c>
      <c r="C38" s="111" t="s">
        <v>77</v>
      </c>
      <c r="D38" s="111" t="s">
        <v>100</v>
      </c>
      <c r="E38" s="111" t="s">
        <v>100</v>
      </c>
      <c r="F38" s="111" t="s">
        <v>100</v>
      </c>
      <c r="G38" s="111" t="s">
        <v>77</v>
      </c>
      <c r="H38" s="111" t="s">
        <v>100</v>
      </c>
      <c r="I38" s="111" t="s">
        <v>100</v>
      </c>
      <c r="J38" s="111" t="s">
        <v>77</v>
      </c>
      <c r="K38" s="111" t="s">
        <v>100</v>
      </c>
      <c r="L38" s="111" t="s">
        <v>100</v>
      </c>
      <c r="M38" s="111" t="s">
        <v>100</v>
      </c>
      <c r="N38" s="306" t="s">
        <v>85</v>
      </c>
      <c r="O38" s="306" t="s">
        <v>85</v>
      </c>
      <c r="P38" s="308">
        <v>901230176</v>
      </c>
      <c r="Q38" s="308">
        <v>901230176</v>
      </c>
      <c r="R38" s="1" t="s">
        <v>456</v>
      </c>
    </row>
    <row r="39" spans="2:18">
      <c r="B39" s="111" t="s">
        <v>100</v>
      </c>
      <c r="C39" s="111" t="s">
        <v>100</v>
      </c>
      <c r="D39" s="111" t="s">
        <v>100</v>
      </c>
      <c r="E39" s="306" t="s">
        <v>85</v>
      </c>
      <c r="F39" s="306" t="s">
        <v>85</v>
      </c>
      <c r="G39" s="111" t="s">
        <v>78</v>
      </c>
      <c r="H39" s="111" t="s">
        <v>78</v>
      </c>
      <c r="I39" s="111" t="s">
        <v>78</v>
      </c>
      <c r="J39" s="111" t="s">
        <v>77</v>
      </c>
      <c r="K39" s="111" t="s">
        <v>77</v>
      </c>
      <c r="L39" s="111" t="s">
        <v>77</v>
      </c>
      <c r="M39" s="111" t="s">
        <v>100</v>
      </c>
      <c r="N39" s="306" t="s">
        <v>85</v>
      </c>
      <c r="O39" s="306" t="s">
        <v>85</v>
      </c>
      <c r="P39" s="308">
        <v>901230253</v>
      </c>
      <c r="Q39" s="308">
        <v>901230253</v>
      </c>
      <c r="R39" s="1" t="s">
        <v>457</v>
      </c>
    </row>
    <row r="40" spans="2:18">
      <c r="B40" s="111" t="s">
        <v>77</v>
      </c>
      <c r="C40" s="111" t="s">
        <v>100</v>
      </c>
      <c r="D40" s="111" t="s">
        <v>100</v>
      </c>
      <c r="E40" s="111" t="s">
        <v>100</v>
      </c>
      <c r="F40" s="111" t="s">
        <v>100</v>
      </c>
      <c r="G40" s="111" t="s">
        <v>100</v>
      </c>
      <c r="H40" s="111" t="s">
        <v>77</v>
      </c>
      <c r="I40" s="111" t="s">
        <v>100</v>
      </c>
      <c r="J40" s="111" t="s">
        <v>100</v>
      </c>
      <c r="K40" s="111" t="s">
        <v>100</v>
      </c>
      <c r="L40" s="111" t="s">
        <v>100</v>
      </c>
      <c r="M40" s="111" t="s">
        <v>100</v>
      </c>
      <c r="N40" s="306" t="s">
        <v>85</v>
      </c>
      <c r="O40" s="306" t="s">
        <v>85</v>
      </c>
      <c r="P40" s="308">
        <v>901240075</v>
      </c>
      <c r="Q40" s="308">
        <v>901240075</v>
      </c>
      <c r="R40" s="1" t="s">
        <v>458</v>
      </c>
    </row>
    <row r="41" spans="2:18">
      <c r="B41" s="111" t="s">
        <v>100</v>
      </c>
      <c r="C41" s="306" t="s">
        <v>85</v>
      </c>
      <c r="D41" s="306" t="s">
        <v>85</v>
      </c>
      <c r="E41" s="306" t="s">
        <v>85</v>
      </c>
      <c r="F41" s="306" t="s">
        <v>85</v>
      </c>
      <c r="G41" s="306" t="s">
        <v>85</v>
      </c>
      <c r="H41" s="306" t="s">
        <v>85</v>
      </c>
      <c r="I41" s="306" t="s">
        <v>85</v>
      </c>
      <c r="J41" s="306" t="s">
        <v>85</v>
      </c>
      <c r="K41" s="111" t="s">
        <v>77</v>
      </c>
      <c r="L41" s="111" t="s">
        <v>77</v>
      </c>
      <c r="M41" s="111" t="s">
        <v>100</v>
      </c>
      <c r="N41" s="306" t="s">
        <v>85</v>
      </c>
      <c r="O41" s="306" t="s">
        <v>85</v>
      </c>
      <c r="P41" s="308">
        <v>901240102</v>
      </c>
      <c r="Q41" s="308">
        <v>901240102</v>
      </c>
      <c r="R41" s="1" t="s">
        <v>459</v>
      </c>
    </row>
    <row r="42" spans="2:18">
      <c r="B42" s="111" t="s">
        <v>77</v>
      </c>
      <c r="C42" s="111" t="s">
        <v>77</v>
      </c>
      <c r="D42" s="111" t="s">
        <v>77</v>
      </c>
      <c r="E42" s="111" t="s">
        <v>77</v>
      </c>
      <c r="F42" s="111" t="s">
        <v>100</v>
      </c>
      <c r="G42" s="111" t="s">
        <v>77</v>
      </c>
      <c r="H42" s="111" t="s">
        <v>77</v>
      </c>
      <c r="I42" s="111" t="s">
        <v>100</v>
      </c>
      <c r="J42" s="306" t="s">
        <v>85</v>
      </c>
      <c r="K42" s="306" t="s">
        <v>85</v>
      </c>
      <c r="L42" s="306" t="s">
        <v>85</v>
      </c>
      <c r="M42" s="306" t="s">
        <v>85</v>
      </c>
      <c r="N42" s="306" t="s">
        <v>85</v>
      </c>
      <c r="O42" s="306" t="s">
        <v>85</v>
      </c>
      <c r="P42" s="308">
        <v>901240386</v>
      </c>
      <c r="Q42" s="308">
        <v>901240386</v>
      </c>
      <c r="R42" s="1" t="s">
        <v>460</v>
      </c>
    </row>
  </sheetData>
  <mergeCells count="3">
    <mergeCell ref="B35:M35"/>
    <mergeCell ref="N35:O35"/>
    <mergeCell ref="P35:P36"/>
  </mergeCells>
  <phoneticPr fontId="3"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C782-E519-400F-AD47-5E535E8E66A5}">
  <dimension ref="B4:BH22"/>
  <sheetViews>
    <sheetView rightToLeft="1" topLeftCell="AJ1" workbookViewId="0">
      <selection activeCell="H5" sqref="H5"/>
    </sheetView>
  </sheetViews>
  <sheetFormatPr defaultColWidth="8.88671875" defaultRowHeight="14.4"/>
  <cols>
    <col min="1" max="1" width="8.88671875" style="1"/>
    <col min="2" max="2" width="16.6640625" style="1" customWidth="1"/>
    <col min="3" max="54" width="6.5546875" style="1" customWidth="1"/>
    <col min="55" max="16384" width="8.88671875" style="1"/>
  </cols>
  <sheetData>
    <row r="4" spans="2:60">
      <c r="B4" s="111" t="s">
        <v>355</v>
      </c>
      <c r="C4" s="135">
        <v>45827</v>
      </c>
      <c r="D4" s="135">
        <v>45834</v>
      </c>
      <c r="E4" s="135">
        <v>45841</v>
      </c>
      <c r="F4" s="135">
        <v>45848</v>
      </c>
      <c r="G4" s="135">
        <v>45855</v>
      </c>
      <c r="H4" s="135">
        <v>45862</v>
      </c>
      <c r="I4" s="135">
        <v>45869</v>
      </c>
      <c r="J4" s="135">
        <v>45876</v>
      </c>
      <c r="K4" s="135">
        <v>45883</v>
      </c>
      <c r="L4" s="135">
        <v>45890</v>
      </c>
      <c r="M4" s="135">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11" t="s">
        <v>357</v>
      </c>
      <c r="C5" s="111">
        <v>17</v>
      </c>
      <c r="D5" s="111">
        <v>13</v>
      </c>
      <c r="E5" s="111">
        <v>13</v>
      </c>
      <c r="F5" s="111">
        <v>12</v>
      </c>
      <c r="G5" s="111">
        <v>11</v>
      </c>
      <c r="H5" s="111">
        <v>10</v>
      </c>
      <c r="I5" s="111">
        <v>8</v>
      </c>
      <c r="J5" s="111">
        <v>10</v>
      </c>
      <c r="K5" s="111">
        <v>7</v>
      </c>
      <c r="L5" s="111">
        <v>9</v>
      </c>
      <c r="M5" s="111">
        <v>12</v>
      </c>
      <c r="N5" s="1">
        <v>14</v>
      </c>
      <c r="O5" s="1">
        <v>12</v>
      </c>
      <c r="P5" s="1">
        <v>14</v>
      </c>
      <c r="Q5" s="1">
        <v>15</v>
      </c>
      <c r="R5" s="1">
        <v>12</v>
      </c>
      <c r="S5" s="1">
        <v>13</v>
      </c>
      <c r="T5" s="1">
        <v>15</v>
      </c>
      <c r="U5" s="1">
        <v>14</v>
      </c>
      <c r="V5" s="1">
        <v>14</v>
      </c>
      <c r="W5" s="1">
        <v>15</v>
      </c>
      <c r="X5" s="1">
        <v>17</v>
      </c>
      <c r="Y5" s="1">
        <v>17</v>
      </c>
      <c r="Z5" s="1">
        <v>16</v>
      </c>
      <c r="AA5" s="1">
        <v>16</v>
      </c>
      <c r="AB5" s="1">
        <v>13</v>
      </c>
      <c r="AC5" s="1">
        <v>12</v>
      </c>
      <c r="AD5" s="1">
        <v>11</v>
      </c>
      <c r="AE5" s="1">
        <v>11</v>
      </c>
      <c r="AF5" s="1">
        <v>11</v>
      </c>
      <c r="AG5" s="1">
        <v>9</v>
      </c>
      <c r="AH5" s="1">
        <v>9</v>
      </c>
      <c r="AI5" s="1">
        <v>9</v>
      </c>
      <c r="AJ5" s="1">
        <v>9</v>
      </c>
      <c r="AK5" s="1">
        <v>7</v>
      </c>
      <c r="AL5" s="1">
        <v>9</v>
      </c>
      <c r="AM5" s="1">
        <v>8</v>
      </c>
      <c r="AN5" s="1">
        <v>7</v>
      </c>
      <c r="AO5" s="1">
        <v>6</v>
      </c>
      <c r="AP5" s="1">
        <v>10</v>
      </c>
      <c r="AQ5" s="1">
        <v>12</v>
      </c>
      <c r="AR5" s="1">
        <v>14</v>
      </c>
      <c r="AS5" s="1">
        <v>13</v>
      </c>
      <c r="AT5" s="1">
        <v>15</v>
      </c>
      <c r="AU5" s="1">
        <v>6</v>
      </c>
      <c r="AV5" s="1">
        <v>6</v>
      </c>
      <c r="AW5" s="1">
        <v>4</v>
      </c>
      <c r="AX5" s="1">
        <v>5</v>
      </c>
      <c r="AY5" s="1">
        <v>5</v>
      </c>
      <c r="AZ5" s="1">
        <v>7</v>
      </c>
      <c r="BA5" s="1">
        <v>7</v>
      </c>
      <c r="BB5" s="1">
        <v>6</v>
      </c>
      <c r="BC5" s="1">
        <v>4</v>
      </c>
      <c r="BD5" s="1">
        <v>5</v>
      </c>
      <c r="BE5" s="1">
        <v>5</v>
      </c>
      <c r="BF5" s="1">
        <v>5</v>
      </c>
      <c r="BG5" s="1">
        <v>5</v>
      </c>
      <c r="BH5" s="1">
        <v>6</v>
      </c>
    </row>
    <row r="10" spans="2:60">
      <c r="AO10" s="320"/>
    </row>
    <row r="11" spans="2:60">
      <c r="AO11" s="248"/>
    </row>
    <row r="12" spans="2:60">
      <c r="AO12" s="321"/>
    </row>
    <row r="13" spans="2:60">
      <c r="AO13" s="29"/>
    </row>
    <row r="14" spans="2:60">
      <c r="AO14" s="321"/>
    </row>
    <row r="15" spans="2:60">
      <c r="AO15" s="29"/>
    </row>
    <row r="16" spans="2:60">
      <c r="AO16" s="322"/>
    </row>
    <row r="17" spans="3:41">
      <c r="AO17" s="29"/>
    </row>
    <row r="18" spans="3:41">
      <c r="AO18" s="322"/>
    </row>
    <row r="19" spans="3:41">
      <c r="AO19" s="29"/>
    </row>
    <row r="20" spans="3:41">
      <c r="C20" s="133"/>
      <c r="D20" s="133"/>
      <c r="E20" s="133"/>
      <c r="AO20" s="320"/>
    </row>
    <row r="21" spans="3:41">
      <c r="AO21" s="29"/>
    </row>
    <row r="22" spans="3:41">
      <c r="AO22" s="320"/>
    </row>
  </sheetData>
  <conditionalFormatting sqref="AO10:AP22">
    <cfRule type="duplicateValues" dxfId="0" priority="1"/>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0c32506-ec4c-430b-8796-1c68b30879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923C1522AD5D49AB29AC1AA799A715" ma:contentTypeVersion="9" ma:contentTypeDescription="Create a new document." ma:contentTypeScope="" ma:versionID="8ae7d658dbdcb6cad3fb37d501fde047">
  <xsd:schema xmlns:xsd="http://www.w3.org/2001/XMLSchema" xmlns:xs="http://www.w3.org/2001/XMLSchema" xmlns:p="http://schemas.microsoft.com/office/2006/metadata/properties" xmlns:ns3="10c32506-ec4c-430b-8796-1c68b30879df" targetNamespace="http://schemas.microsoft.com/office/2006/metadata/properties" ma:root="true" ma:fieldsID="b8935d3ea5a9a867b8328b5aa4cc190f" ns3:_="">
    <xsd:import namespace="10c32506-ec4c-430b-8796-1c68b30879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c32506-ec4c-430b-8796-1c68b30879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4A427-F246-4AC2-8DBE-7A48CA748ADA}">
  <ds:schemaRefs>
    <ds:schemaRef ds:uri="http://www.w3.org/XML/1998/namespace"/>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http://purl.org/dc/terms/"/>
    <ds:schemaRef ds:uri="http://schemas.openxmlformats.org/package/2006/metadata/core-properties"/>
    <ds:schemaRef ds:uri="10c32506-ec4c-430b-8796-1c68b30879df"/>
  </ds:schemaRefs>
</ds:datastoreItem>
</file>

<file path=customXml/itemProps2.xml><?xml version="1.0" encoding="utf-8"?>
<ds:datastoreItem xmlns:ds="http://schemas.openxmlformats.org/officeDocument/2006/customXml" ds:itemID="{012693BB-953F-4B93-8734-DE380E97A3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c32506-ec4c-430b-8796-1c68b3087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22AAF7-B81F-4ECD-BC6F-EF96711EBFB0}">
  <ds:schemaRefs>
    <ds:schemaRef ds:uri="http://schemas.microsoft.com/sharepoint/v3/contenttype/forms"/>
  </ds:schemaRefs>
</ds:datastoreItem>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20</vt:i4>
      </vt:variant>
    </vt:vector>
  </HeadingPairs>
  <TitlesOfParts>
    <vt:vector size="46" baseType="lpstr">
      <vt:lpstr>PIVOT</vt:lpstr>
      <vt:lpstr>Dashboard</vt:lpstr>
      <vt:lpstr>Weekly Progeress - 10%</vt:lpstr>
      <vt:lpstr>Sheet1</vt:lpstr>
      <vt:lpstr>Pivot - 10%</vt:lpstr>
      <vt:lpstr>Pivot - 5%</vt:lpstr>
      <vt:lpstr>موقف خطة انجاز </vt:lpstr>
      <vt:lpstr>المشاريع الجاري سحبها</vt:lpstr>
      <vt:lpstr>Weekly Progeress - 05%</vt:lpstr>
      <vt:lpstr>المشاريع المتوقع سحبها</vt:lpstr>
      <vt:lpstr>موقف التعثر</vt:lpstr>
      <vt:lpstr>موقف التأخر</vt:lpstr>
      <vt:lpstr>المشاريع المتعثرة</vt:lpstr>
      <vt:lpstr>المتوقع تعثرها 2026</vt:lpstr>
      <vt:lpstr>المتوقع تأخرها 2026</vt:lpstr>
      <vt:lpstr>ذات الأداء المنخفض</vt:lpstr>
      <vt:lpstr>المشاريع المتاخرة</vt:lpstr>
      <vt:lpstr>15 Oct 2026</vt:lpstr>
      <vt:lpstr>وطنية</vt:lpstr>
      <vt:lpstr>خطة معالجة الـتأخر 2026</vt:lpstr>
      <vt:lpstr>Portfolio Status</vt:lpstr>
      <vt:lpstr>الرسم البياني للتعثر 2</vt:lpstr>
      <vt:lpstr> 1الرسم البياني للتعثر</vt:lpstr>
      <vt:lpstr>الرسم البياني للتأخر </vt:lpstr>
      <vt:lpstr>1</vt:lpstr>
      <vt:lpstr>2</vt:lpstr>
      <vt:lpstr>'15 Oct 2026'!Print_Area</vt:lpstr>
      <vt:lpstr>'Pivot - 10%'!Print_Area</vt:lpstr>
      <vt:lpstr>'Pivot - 5%'!Print_Area</vt:lpstr>
      <vt:lpstr>'Portfolio Status'!Print_Area</vt:lpstr>
      <vt:lpstr>'Weekly Progeress - 05%'!Print_Area</vt:lpstr>
      <vt:lpstr>'Weekly Progeress - 10%'!Print_Area</vt:lpstr>
      <vt:lpstr>'المتوقع تأخرها 2026'!Print_Area</vt:lpstr>
      <vt:lpstr>'المتوقع تعثرها 2026'!Print_Area</vt:lpstr>
      <vt:lpstr>'المشاريع المتاخرة'!Print_Area</vt:lpstr>
      <vt:lpstr>'المشاريع المتعثرة'!Print_Area</vt:lpstr>
      <vt:lpstr>'المشاريع المتوقع سحبها'!Print_Area</vt:lpstr>
      <vt:lpstr>'خطة معالجة الـتأخر 2026'!Print_Area</vt:lpstr>
      <vt:lpstr>'ذات الأداء المنخفض'!Print_Area</vt:lpstr>
      <vt:lpstr>'موقف التأخر'!Print_Area</vt:lpstr>
      <vt:lpstr>'Portfolio Status'!Print_Titles</vt:lpstr>
      <vt:lpstr>'Weekly Progeress - 05%'!Print_Titles</vt:lpstr>
      <vt:lpstr>'Weekly Progeress - 10%'!Print_Titles</vt:lpstr>
      <vt:lpstr>'المشاريع المتعثرة'!Print_Titles</vt:lpstr>
      <vt:lpstr>'خطة معالجة الـتأخر 2026'!Print_Titles</vt:lpstr>
      <vt:lpstr>'ذات الأداء المنخفض'!Print_Titles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mansor</dc:creator>
  <cp:lastModifiedBy>Mohamed Adel Abdelrehim Ahmed</cp:lastModifiedBy>
  <cp:lastPrinted>2026-10-17T07:38:45Z</cp:lastPrinted>
  <dcterms:created xsi:type="dcterms:W3CDTF">2024-10-12T07:27:35Z</dcterms:created>
  <dcterms:modified xsi:type="dcterms:W3CDTF">2026-10-18T10:30:08Z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{"NWC production server (d8dd937d2b36831ffb7149d619dff468fe3e06f5)":{"ClassificationDisplayName":"Public / عام","ClassificationMode":"ClassificationMode_UserDriven","LabelId":"5","Version":"1"}}</vt:lpwstr>
  </property>
  <property fmtid="{D5CDD505-2E9C-101B-9397-08002B2CF9AE}" pid="3" name="SecloreClassificationDisplayName_d8dd937d2b36831ffb7149d619dff468fe3e06f5">
    <vt:lpwstr>Public / عام</vt:lpwstr>
  </property>
  <property fmtid="{D5CDD505-2E9C-101B-9397-08002B2CF9AE}" pid="4" name="SecloreClassificationHeaderTextValue">
    <vt:lpwstr>Public / عام</vt:lpwstr>
  </property>
  <property fmtid="{D5CDD505-2E9C-101B-9397-08002B2CF9AE}" pid="5" name="SecloreClassificationHeaderColorHex">
    <vt:lpwstr>#91c47d</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ContentTypeId">
    <vt:lpwstr>0x01010076923C1522AD5D49AB29AC1AA799A715</vt:lpwstr>
  </property>
</Properties>
</file>