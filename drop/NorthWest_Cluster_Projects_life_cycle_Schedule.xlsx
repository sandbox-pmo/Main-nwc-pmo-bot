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codeName="ThisWorkbook" defaultThemeVersion="166925"/>
  <mc:AlternateContent xmlns:mc="http://schemas.openxmlformats.org/markup-compatibility/2006">
    <mc:Choice Requires="x15">
      <x15ac:absPath xmlns:x15ac="http://schemas.microsoft.com/office/spreadsheetml/2010/11/ac" url="https://hillintl-my.sharepoint.com/personal/amergahlan_hillintl_com/Documents/دراسة معدل التاخير/Level One Schedule/Draft/"/>
    </mc:Choice>
  </mc:AlternateContent>
  <xr:revisionPtr revIDLastSave="0" documentId="8_{AF297F12-DD13-499D-B7C6-4DE59EB226A6}" xr6:coauthVersionLast="47" xr6:coauthVersionMax="47" xr10:uidLastSave="{00000000-0000-0000-0000-000000000000}"/>
  <bookViews>
    <workbookView xWindow="-120" yWindow="-120" windowWidth="29040" windowHeight="15720" xr2:uid="{52DC13D3-0EA4-4732-870E-9DE70F96FE4F}"/>
  </bookViews>
  <sheets>
    <sheet name="WesternNorth(New)" sheetId="1" r:id="rId1"/>
    <sheet name="Sheet3" sheetId="5" r:id="rId2"/>
    <sheet name="Sheet2" sheetId="4" r:id="rId3"/>
    <sheet name="Sheet1" sheetId="3" r:id="rId4"/>
    <sheet name="WesternNorth(New) (2)" sheetId="2" state="hidden" r:id="rId5"/>
  </sheets>
  <externalReferences>
    <externalReference r:id="rId6"/>
  </externalReferences>
  <definedNames>
    <definedName name="_xlnm._FilterDatabase" localSheetId="3" hidden="1">Sheet1!$J$6:$P$802</definedName>
    <definedName name="_xlnm._FilterDatabase" localSheetId="0" hidden="1">'WesternNorth(New)'!#REF!</definedName>
    <definedName name="_xlnm._FilterDatabase" localSheetId="4" hidden="1">'WesternNorth(New) (2)'!#REF!</definedName>
    <definedName name="CBURegion">[1]Data!#REF!</definedName>
    <definedName name="Classification">[1]Data!#REF!</definedName>
    <definedName name="Owner">[1]Data!#REF!</definedName>
    <definedName name="_xlnm.Print_Area" localSheetId="0">'WesternNorth(New)'!$A$5:$L$149</definedName>
    <definedName name="_xlnm.Print_Area" localSheetId="4">'WesternNorth(New) (2)'!$A$5:$J$155</definedName>
    <definedName name="PRtrans" localSheetId="0">TRANSPOSE(#REF!)</definedName>
    <definedName name="PRtrans" localSheetId="4">TRANSPOSE(#REF!)</definedName>
    <definedName name="Region">[1]Data!#REF!</definedName>
    <definedName name="Status">[1]Data!#REF!</definedName>
    <definedName name="Type">[1]Data!#REF!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 l="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AH149" i="1"/>
  <c r="AH148" i="1"/>
  <c r="AH147" i="1"/>
  <c r="AH96" i="1"/>
  <c r="AH95" i="1"/>
  <c r="AH94" i="1"/>
  <c r="AH93" i="1"/>
  <c r="AH146" i="1"/>
  <c r="AH145" i="1"/>
  <c r="AH92" i="1"/>
  <c r="AH91" i="1"/>
  <c r="AH90" i="1"/>
  <c r="AH89" i="1"/>
  <c r="AH88" i="1"/>
  <c r="AH87" i="1"/>
  <c r="AH86" i="1"/>
  <c r="AH144" i="1"/>
  <c r="AH85" i="1"/>
  <c r="AH143" i="1"/>
  <c r="AH142" i="1"/>
  <c r="AH141" i="1"/>
  <c r="AH84" i="1"/>
  <c r="AH140" i="1"/>
  <c r="AH83" i="1"/>
  <c r="AH82" i="1"/>
  <c r="AH81" i="1"/>
  <c r="AH80" i="1"/>
  <c r="AH79" i="1"/>
  <c r="AH78" i="1"/>
  <c r="AH77" i="1"/>
  <c r="AH76" i="1"/>
  <c r="AH75" i="1"/>
  <c r="AH74" i="1"/>
  <c r="AH73" i="1"/>
  <c r="AH72" i="1"/>
  <c r="AH71" i="1"/>
  <c r="AH70" i="1"/>
  <c r="AH139" i="1"/>
  <c r="AH69" i="1"/>
  <c r="AH68" i="1"/>
  <c r="AH67" i="1"/>
  <c r="AH66" i="1"/>
  <c r="AH65" i="1"/>
  <c r="AH64" i="1"/>
  <c r="AH138" i="1"/>
  <c r="AH137" i="1"/>
  <c r="AH136" i="1"/>
  <c r="AH135" i="1"/>
  <c r="AH134" i="1"/>
  <c r="AH63" i="1"/>
  <c r="AH62" i="1"/>
  <c r="AH61" i="1"/>
  <c r="AH60" i="1"/>
  <c r="AH59" i="1"/>
  <c r="AH58" i="1"/>
  <c r="AH57" i="1"/>
  <c r="AH56" i="1"/>
  <c r="AH55" i="1"/>
  <c r="AH54" i="1"/>
  <c r="AH53" i="1"/>
  <c r="AH133" i="1"/>
  <c r="AH132" i="1"/>
  <c r="AH52" i="1"/>
  <c r="AH131" i="1"/>
  <c r="AH51" i="1"/>
  <c r="AH50" i="1"/>
  <c r="AH130" i="1"/>
  <c r="AH49" i="1"/>
  <c r="AH48" i="1"/>
  <c r="AH47" i="1"/>
  <c r="AH46" i="1"/>
  <c r="AH129" i="1"/>
  <c r="AH128" i="1"/>
  <c r="AH127" i="1"/>
  <c r="AH126" i="1"/>
  <c r="AH45" i="1"/>
  <c r="AH125" i="1"/>
  <c r="AH44" i="1"/>
  <c r="AH43" i="1"/>
  <c r="AH124" i="1"/>
  <c r="AH42" i="1"/>
  <c r="AH41" i="1"/>
  <c r="AH123" i="1"/>
  <c r="AH122" i="1"/>
  <c r="AH40" i="1"/>
  <c r="AH39" i="1"/>
  <c r="AH38" i="1"/>
  <c r="AH37" i="1"/>
  <c r="AH36" i="1"/>
  <c r="AH35" i="1"/>
  <c r="AH34" i="1"/>
  <c r="AH33" i="1"/>
  <c r="AH32" i="1"/>
  <c r="AH31" i="1"/>
  <c r="AH30" i="1"/>
  <c r="AH29" i="1"/>
  <c r="AH121" i="1"/>
  <c r="AH120" i="1"/>
  <c r="AH28" i="1"/>
  <c r="AH27" i="1"/>
  <c r="AH119" i="1"/>
  <c r="AH118" i="1"/>
  <c r="AH26" i="1"/>
  <c r="AH117" i="1"/>
  <c r="AH116" i="1"/>
  <c r="AH25" i="1"/>
  <c r="AH115" i="1"/>
  <c r="AH114" i="1"/>
  <c r="AH113" i="1"/>
  <c r="AH24" i="1"/>
  <c r="AH112" i="1"/>
  <c r="AH111" i="1"/>
  <c r="AH110" i="1"/>
  <c r="AH109" i="1"/>
  <c r="AH108" i="1"/>
  <c r="AH107" i="1"/>
  <c r="AH106" i="1"/>
  <c r="AH105" i="1"/>
  <c r="AH104" i="1"/>
  <c r="AH23" i="1"/>
  <c r="AH22" i="1"/>
  <c r="AH21" i="1"/>
  <c r="AH20" i="1"/>
  <c r="AH19" i="1"/>
  <c r="AH18" i="1"/>
  <c r="AH17" i="1"/>
  <c r="AH16" i="1"/>
  <c r="AH103" i="1"/>
  <c r="AH102" i="1"/>
  <c r="AH101" i="1"/>
  <c r="AH15" i="1"/>
  <c r="AH14" i="1"/>
  <c r="AH13" i="1"/>
  <c r="AH12" i="1"/>
  <c r="AH11" i="1"/>
  <c r="AH10" i="1"/>
  <c r="AH6" i="1"/>
  <c r="AH9" i="1"/>
  <c r="AH8" i="1"/>
  <c r="AH100" i="1"/>
  <c r="AH99" i="1"/>
  <c r="AH98" i="1"/>
  <c r="AH97" i="1"/>
  <c r="AH7" i="1"/>
  <c r="AE149" i="1"/>
  <c r="AE148" i="1"/>
  <c r="AE147" i="1"/>
  <c r="AE96" i="1"/>
  <c r="AE95" i="1"/>
  <c r="AE94" i="1"/>
  <c r="AE93" i="1"/>
  <c r="AE146" i="1"/>
  <c r="AE145" i="1"/>
  <c r="AE92" i="1"/>
  <c r="AE91" i="1"/>
  <c r="AE90" i="1"/>
  <c r="AE89" i="1"/>
  <c r="AE88" i="1"/>
  <c r="AE87" i="1"/>
  <c r="AE86" i="1"/>
  <c r="AE144" i="1"/>
  <c r="AE85" i="1"/>
  <c r="AE143" i="1"/>
  <c r="AE142" i="1"/>
  <c r="AE141" i="1"/>
  <c r="AE84" i="1"/>
  <c r="AE140" i="1"/>
  <c r="AE83" i="1"/>
  <c r="AE82" i="1"/>
  <c r="AE81" i="1"/>
  <c r="AE80" i="1"/>
  <c r="AE79" i="1"/>
  <c r="AE78" i="1"/>
  <c r="AE77" i="1"/>
  <c r="AE76" i="1"/>
  <c r="AE75" i="1"/>
  <c r="AE74" i="1"/>
  <c r="AE73" i="1"/>
  <c r="AE72" i="1"/>
  <c r="AE71" i="1"/>
  <c r="AE70" i="1"/>
  <c r="AE139" i="1"/>
  <c r="AE69" i="1"/>
  <c r="AE68" i="1"/>
  <c r="AE67" i="1"/>
  <c r="AE66" i="1"/>
  <c r="AE65" i="1"/>
  <c r="AE64" i="1"/>
  <c r="AE138" i="1"/>
  <c r="AE137" i="1"/>
  <c r="AE136" i="1"/>
  <c r="AE135" i="1"/>
  <c r="AE134" i="1"/>
  <c r="AE63" i="1"/>
  <c r="AE62" i="1"/>
  <c r="AE61" i="1"/>
  <c r="AE60" i="1"/>
  <c r="AE59" i="1"/>
  <c r="AE58" i="1"/>
  <c r="AE57" i="1"/>
  <c r="AE56" i="1"/>
  <c r="AE55" i="1"/>
  <c r="AE54" i="1"/>
  <c r="AE53" i="1"/>
  <c r="AE133" i="1"/>
  <c r="AE132" i="1"/>
  <c r="AE52" i="1"/>
  <c r="AE131" i="1"/>
  <c r="AE51" i="1"/>
  <c r="AE50" i="1"/>
  <c r="AE130" i="1"/>
  <c r="AE49" i="1"/>
  <c r="AE48" i="1"/>
  <c r="AE47" i="1"/>
  <c r="AE46" i="1"/>
  <c r="AE129" i="1"/>
  <c r="AE128" i="1"/>
  <c r="AE127" i="1"/>
  <c r="AE126" i="1"/>
  <c r="AE45" i="1"/>
  <c r="AE125" i="1"/>
  <c r="AE44" i="1"/>
  <c r="AE43" i="1"/>
  <c r="AE124" i="1"/>
  <c r="AE42" i="1"/>
  <c r="AE41" i="1"/>
  <c r="AE123" i="1"/>
  <c r="AE122" i="1"/>
  <c r="AE40" i="1"/>
  <c r="AE39" i="1"/>
  <c r="AE38" i="1"/>
  <c r="AE37" i="1"/>
  <c r="AE36" i="1"/>
  <c r="AE35" i="1"/>
  <c r="AE34" i="1"/>
  <c r="AE33" i="1"/>
  <c r="AE32" i="1"/>
  <c r="AE31" i="1"/>
  <c r="AE30" i="1"/>
  <c r="AE29" i="1"/>
  <c r="AE121" i="1"/>
  <c r="AE120" i="1"/>
  <c r="AE28" i="1"/>
  <c r="AE27" i="1"/>
  <c r="AE119" i="1"/>
  <c r="AE118" i="1"/>
  <c r="AE26" i="1"/>
  <c r="AE117" i="1"/>
  <c r="AE116" i="1"/>
  <c r="AE25" i="1"/>
  <c r="AE115" i="1"/>
  <c r="AE114" i="1"/>
  <c r="AE113" i="1"/>
  <c r="AE24" i="1"/>
  <c r="AE112" i="1"/>
  <c r="AE111" i="1"/>
  <c r="AE110" i="1"/>
  <c r="AE109" i="1"/>
  <c r="AE108" i="1"/>
  <c r="AE107" i="1"/>
  <c r="AE106" i="1"/>
  <c r="AE105" i="1"/>
  <c r="AE104" i="1"/>
  <c r="AE23" i="1"/>
  <c r="AE22" i="1"/>
  <c r="AE21" i="1"/>
  <c r="AE20" i="1"/>
  <c r="AE19" i="1"/>
  <c r="AE18" i="1"/>
  <c r="AE17" i="1"/>
  <c r="AE16" i="1"/>
  <c r="AE103" i="1"/>
  <c r="AE102" i="1"/>
  <c r="AE101" i="1"/>
  <c r="AE15" i="1"/>
  <c r="AE14" i="1"/>
  <c r="AE13" i="1"/>
  <c r="AE12" i="1"/>
  <c r="AE11" i="1"/>
  <c r="AE10" i="1"/>
  <c r="AE6" i="1"/>
  <c r="AE9" i="1"/>
  <c r="AE8" i="1"/>
  <c r="AE100" i="1"/>
  <c r="AE99" i="1"/>
  <c r="AE98" i="1"/>
  <c r="AE97" i="1"/>
  <c r="AE7" i="1"/>
  <c r="AC58" i="1"/>
  <c r="AJ58" i="1" s="1"/>
  <c r="AC55" i="1"/>
  <c r="AJ55" i="1" s="1"/>
  <c r="Z63" i="1"/>
  <c r="Z62" i="1"/>
  <c r="Z61" i="1"/>
  <c r="Z60" i="1"/>
  <c r="X96" i="1"/>
  <c r="W96" i="1"/>
  <c r="X95" i="1"/>
  <c r="W95" i="1"/>
  <c r="X94" i="1"/>
  <c r="W94" i="1"/>
  <c r="X93" i="1"/>
  <c r="W93" i="1"/>
  <c r="X146" i="1"/>
  <c r="W146" i="1"/>
  <c r="X85" i="1"/>
  <c r="W85" i="1"/>
  <c r="X143" i="1"/>
  <c r="W143" i="1"/>
  <c r="X142" i="1"/>
  <c r="W142" i="1"/>
  <c r="X141" i="1"/>
  <c r="W141" i="1"/>
  <c r="X84" i="1"/>
  <c r="W84" i="1"/>
  <c r="X140" i="1"/>
  <c r="W140" i="1"/>
  <c r="X83" i="1"/>
  <c r="W83" i="1"/>
  <c r="X82" i="1"/>
  <c r="W82" i="1"/>
  <c r="X81" i="1"/>
  <c r="W81" i="1"/>
  <c r="X80" i="1"/>
  <c r="W80" i="1"/>
  <c r="X79" i="1"/>
  <c r="W79" i="1"/>
  <c r="X78" i="1"/>
  <c r="W78" i="1"/>
  <c r="X77" i="1"/>
  <c r="W77" i="1"/>
  <c r="X76" i="1"/>
  <c r="W76" i="1"/>
  <c r="X75" i="1"/>
  <c r="W75" i="1"/>
  <c r="X74" i="1"/>
  <c r="W74" i="1"/>
  <c r="X73" i="1"/>
  <c r="W73" i="1"/>
  <c r="X72" i="1"/>
  <c r="W72" i="1"/>
  <c r="X71" i="1"/>
  <c r="W71" i="1"/>
  <c r="X70" i="1"/>
  <c r="W70" i="1"/>
  <c r="X139" i="1"/>
  <c r="W139" i="1"/>
  <c r="X69" i="1"/>
  <c r="W69" i="1"/>
  <c r="X68" i="1"/>
  <c r="W68" i="1"/>
  <c r="X67" i="1"/>
  <c r="W67" i="1"/>
  <c r="X66" i="1"/>
  <c r="W66" i="1"/>
  <c r="X65" i="1"/>
  <c r="W65" i="1"/>
  <c r="X64" i="1"/>
  <c r="W64" i="1"/>
  <c r="X138" i="1"/>
  <c r="W138" i="1"/>
  <c r="X137" i="1"/>
  <c r="W137" i="1"/>
  <c r="X136" i="1"/>
  <c r="W136" i="1"/>
  <c r="X135" i="1"/>
  <c r="W135" i="1"/>
  <c r="X134" i="1"/>
  <c r="W134" i="1"/>
  <c r="X63" i="1"/>
  <c r="W63" i="1"/>
  <c r="X62" i="1"/>
  <c r="W62" i="1"/>
  <c r="X61" i="1"/>
  <c r="W61" i="1"/>
  <c r="X60" i="1"/>
  <c r="W60" i="1"/>
  <c r="X59" i="1"/>
  <c r="W59" i="1"/>
  <c r="X131" i="1"/>
  <c r="W131" i="1"/>
  <c r="X130" i="1"/>
  <c r="W130" i="1"/>
  <c r="X128" i="1"/>
  <c r="W128" i="1"/>
  <c r="X45" i="1"/>
  <c r="W45" i="1"/>
  <c r="X125" i="1"/>
  <c r="W125" i="1"/>
  <c r="X43" i="1"/>
  <c r="W43" i="1"/>
  <c r="X42" i="1"/>
  <c r="W42" i="1"/>
  <c r="X123" i="1"/>
  <c r="W123" i="1"/>
  <c r="X37" i="1"/>
  <c r="W37" i="1"/>
  <c r="X27" i="1"/>
  <c r="W27" i="1"/>
  <c r="X117" i="1"/>
  <c r="W117" i="1"/>
  <c r="X116" i="1"/>
  <c r="W116" i="1"/>
  <c r="U112" i="1"/>
  <c r="V112" i="1" s="1"/>
  <c r="W112" i="1" s="1"/>
  <c r="X112" i="1" s="1"/>
  <c r="Y112" i="1" s="1"/>
  <c r="Z112" i="1" s="1"/>
  <c r="AA112" i="1" s="1"/>
  <c r="AB112" i="1" s="1"/>
  <c r="AC112" i="1" s="1"/>
  <c r="U111" i="1"/>
  <c r="V111" i="1" s="1"/>
  <c r="W111" i="1" s="1"/>
  <c r="X111" i="1" s="1"/>
  <c r="Y111" i="1" s="1"/>
  <c r="Z111" i="1" s="1"/>
  <c r="AA111" i="1" s="1"/>
  <c r="AB111" i="1" s="1"/>
  <c r="AC111" i="1" s="1"/>
  <c r="U110" i="1"/>
  <c r="V110" i="1" s="1"/>
  <c r="W110" i="1" s="1"/>
  <c r="X110" i="1" s="1"/>
  <c r="Y110" i="1" s="1"/>
  <c r="Z110" i="1" s="1"/>
  <c r="AA110" i="1" s="1"/>
  <c r="AB110" i="1" s="1"/>
  <c r="AC110" i="1" s="1"/>
  <c r="AJ110" i="1" s="1"/>
  <c r="U109" i="1"/>
  <c r="V109" i="1" s="1"/>
  <c r="W109" i="1" s="1"/>
  <c r="X109" i="1" s="1"/>
  <c r="Y109" i="1" s="1"/>
  <c r="Z109" i="1" s="1"/>
  <c r="AA109" i="1" s="1"/>
  <c r="AB109" i="1" s="1"/>
  <c r="AC109" i="1" s="1"/>
  <c r="U108" i="1"/>
  <c r="V108" i="1" s="1"/>
  <c r="W108" i="1" s="1"/>
  <c r="X108" i="1" s="1"/>
  <c r="Y108" i="1" s="1"/>
  <c r="Z108" i="1" s="1"/>
  <c r="AA108" i="1" s="1"/>
  <c r="AB108" i="1" s="1"/>
  <c r="AC108" i="1" s="1"/>
  <c r="U107" i="1"/>
  <c r="V107" i="1" s="1"/>
  <c r="W107" i="1" s="1"/>
  <c r="X107" i="1" s="1"/>
  <c r="Y107" i="1" s="1"/>
  <c r="Z107" i="1" s="1"/>
  <c r="AA107" i="1" s="1"/>
  <c r="AB107" i="1" s="1"/>
  <c r="AC107" i="1" s="1"/>
  <c r="U106" i="1"/>
  <c r="V106" i="1" s="1"/>
  <c r="W106" i="1" s="1"/>
  <c r="X106" i="1" s="1"/>
  <c r="Y106" i="1" s="1"/>
  <c r="Z106" i="1" s="1"/>
  <c r="AA106" i="1" s="1"/>
  <c r="AB106" i="1" s="1"/>
  <c r="AC106" i="1" s="1"/>
  <c r="U105" i="1"/>
  <c r="V105" i="1" s="1"/>
  <c r="W105" i="1" s="1"/>
  <c r="X105" i="1" s="1"/>
  <c r="Y105" i="1" s="1"/>
  <c r="Z105" i="1" s="1"/>
  <c r="AA105" i="1" s="1"/>
  <c r="AB105" i="1" s="1"/>
  <c r="AC105" i="1" s="1"/>
  <c r="U104" i="1"/>
  <c r="V104" i="1" s="1"/>
  <c r="W104" i="1" s="1"/>
  <c r="X104" i="1" s="1"/>
  <c r="Y104" i="1" s="1"/>
  <c r="Z104" i="1" s="1"/>
  <c r="AA104" i="1" s="1"/>
  <c r="AB104" i="1" s="1"/>
  <c r="AC104" i="1" s="1"/>
  <c r="U23" i="1"/>
  <c r="V23" i="1" s="1"/>
  <c r="W23" i="1" s="1"/>
  <c r="X23" i="1" s="1"/>
  <c r="Y23" i="1" s="1"/>
  <c r="Z23" i="1" s="1"/>
  <c r="AA23" i="1" s="1"/>
  <c r="AB23" i="1" s="1"/>
  <c r="AC23" i="1" s="1"/>
  <c r="AJ23" i="1" s="1"/>
  <c r="U22" i="1"/>
  <c r="V22" i="1" s="1"/>
  <c r="W22" i="1" s="1"/>
  <c r="X22" i="1" s="1"/>
  <c r="Y22" i="1" s="1"/>
  <c r="Z22" i="1" s="1"/>
  <c r="AA22" i="1" s="1"/>
  <c r="AB22" i="1" s="1"/>
  <c r="AC22" i="1" s="1"/>
  <c r="AD22" i="1" s="1"/>
  <c r="AF22" i="1" s="1"/>
  <c r="AG22" i="1" s="1"/>
  <c r="AI22" i="1" s="1"/>
  <c r="U21" i="1"/>
  <c r="V21" i="1" s="1"/>
  <c r="W21" i="1" s="1"/>
  <c r="X21" i="1" s="1"/>
  <c r="Y21" i="1" s="1"/>
  <c r="Z21" i="1" s="1"/>
  <c r="AA21" i="1" s="1"/>
  <c r="AB21" i="1" s="1"/>
  <c r="AC21" i="1" s="1"/>
  <c r="U20" i="1"/>
  <c r="V20" i="1" s="1"/>
  <c r="W20" i="1" s="1"/>
  <c r="X20" i="1" s="1"/>
  <c r="Y20" i="1" s="1"/>
  <c r="Z20" i="1" s="1"/>
  <c r="AA20" i="1" s="1"/>
  <c r="AB20" i="1" s="1"/>
  <c r="AC20" i="1" s="1"/>
  <c r="U19" i="1"/>
  <c r="V19" i="1" s="1"/>
  <c r="W19" i="1" s="1"/>
  <c r="X19" i="1" s="1"/>
  <c r="Y19" i="1" s="1"/>
  <c r="Z19" i="1" s="1"/>
  <c r="AA19" i="1" s="1"/>
  <c r="AB19" i="1" s="1"/>
  <c r="AC19" i="1" s="1"/>
  <c r="U18" i="1"/>
  <c r="V18" i="1" s="1"/>
  <c r="W18" i="1" s="1"/>
  <c r="X18" i="1" s="1"/>
  <c r="Y18" i="1" s="1"/>
  <c r="Z18" i="1" s="1"/>
  <c r="AA18" i="1" s="1"/>
  <c r="AB18" i="1" s="1"/>
  <c r="AC18" i="1" s="1"/>
  <c r="U17" i="1"/>
  <c r="V17" i="1" s="1"/>
  <c r="W17" i="1" s="1"/>
  <c r="X17" i="1" s="1"/>
  <c r="Y17" i="1" s="1"/>
  <c r="Z17" i="1" s="1"/>
  <c r="AA17" i="1" s="1"/>
  <c r="AB17" i="1" s="1"/>
  <c r="AC17" i="1" s="1"/>
  <c r="U16" i="1"/>
  <c r="V16" i="1" s="1"/>
  <c r="W16" i="1" s="1"/>
  <c r="X16" i="1" s="1"/>
  <c r="Y16" i="1" s="1"/>
  <c r="Z16" i="1" s="1"/>
  <c r="AA16" i="1" s="1"/>
  <c r="AB16" i="1" s="1"/>
  <c r="AC16" i="1" s="1"/>
  <c r="U103" i="1"/>
  <c r="V103" i="1" s="1"/>
  <c r="W103" i="1" s="1"/>
  <c r="X103" i="1" s="1"/>
  <c r="Y103" i="1" s="1"/>
  <c r="Z103" i="1" s="1"/>
  <c r="AA103" i="1" s="1"/>
  <c r="AB103" i="1" s="1"/>
  <c r="AC103" i="1" s="1"/>
  <c r="U102" i="1"/>
  <c r="V102" i="1" s="1"/>
  <c r="W102" i="1" s="1"/>
  <c r="X102" i="1" s="1"/>
  <c r="Y102" i="1" s="1"/>
  <c r="Z102" i="1" s="1"/>
  <c r="AA102" i="1" s="1"/>
  <c r="AB102" i="1" s="1"/>
  <c r="AC102" i="1" s="1"/>
  <c r="U101" i="1"/>
  <c r="V101" i="1" s="1"/>
  <c r="W101" i="1" s="1"/>
  <c r="X101" i="1" s="1"/>
  <c r="Y101" i="1" s="1"/>
  <c r="Z101" i="1" s="1"/>
  <c r="AA101" i="1" s="1"/>
  <c r="AB101" i="1" s="1"/>
  <c r="AC101" i="1" s="1"/>
  <c r="U15" i="1"/>
  <c r="V15" i="1" s="1"/>
  <c r="W15" i="1" s="1"/>
  <c r="X15" i="1" s="1"/>
  <c r="Y15" i="1" s="1"/>
  <c r="Z15" i="1" s="1"/>
  <c r="AA15" i="1" s="1"/>
  <c r="AB15" i="1" s="1"/>
  <c r="AC15" i="1" s="1"/>
  <c r="U14" i="1"/>
  <c r="V14" i="1" s="1"/>
  <c r="W14" i="1" s="1"/>
  <c r="X14" i="1" s="1"/>
  <c r="Y14" i="1" s="1"/>
  <c r="Z14" i="1" s="1"/>
  <c r="AA14" i="1" s="1"/>
  <c r="AB14" i="1" s="1"/>
  <c r="AC14" i="1" s="1"/>
  <c r="U13" i="1"/>
  <c r="V13" i="1" s="1"/>
  <c r="W13" i="1" s="1"/>
  <c r="X13" i="1" s="1"/>
  <c r="Y13" i="1" s="1"/>
  <c r="Z13" i="1" s="1"/>
  <c r="AA13" i="1" s="1"/>
  <c r="AB13" i="1" s="1"/>
  <c r="AC13" i="1" s="1"/>
  <c r="U12" i="1"/>
  <c r="V12" i="1" s="1"/>
  <c r="W12" i="1" s="1"/>
  <c r="X12" i="1" s="1"/>
  <c r="Y12" i="1" s="1"/>
  <c r="Z12" i="1" s="1"/>
  <c r="AA12" i="1" s="1"/>
  <c r="AB12" i="1" s="1"/>
  <c r="AC12" i="1" s="1"/>
  <c r="U11" i="1"/>
  <c r="V11" i="1" s="1"/>
  <c r="W11" i="1" s="1"/>
  <c r="X11" i="1" s="1"/>
  <c r="Y11" i="1" s="1"/>
  <c r="Z11" i="1" s="1"/>
  <c r="AA11" i="1" s="1"/>
  <c r="AB11" i="1" s="1"/>
  <c r="AC11" i="1" s="1"/>
  <c r="AD11" i="1" s="1"/>
  <c r="AF11" i="1" s="1"/>
  <c r="AG11" i="1" s="1"/>
  <c r="AI11" i="1" s="1"/>
  <c r="U10" i="1"/>
  <c r="V10" i="1" s="1"/>
  <c r="W10" i="1" s="1"/>
  <c r="X10" i="1" s="1"/>
  <c r="Y10" i="1" s="1"/>
  <c r="Z10" i="1" s="1"/>
  <c r="AA10" i="1" s="1"/>
  <c r="AB10" i="1" s="1"/>
  <c r="AC10" i="1" s="1"/>
  <c r="U6" i="1"/>
  <c r="V6" i="1" s="1"/>
  <c r="W6" i="1" s="1"/>
  <c r="X6" i="1" s="1"/>
  <c r="Y6" i="1" s="1"/>
  <c r="Z6" i="1" s="1"/>
  <c r="AA6" i="1" s="1"/>
  <c r="AB6" i="1" s="1"/>
  <c r="AC6" i="1" s="1"/>
  <c r="U9" i="1"/>
  <c r="V9" i="1" s="1"/>
  <c r="W9" i="1" s="1"/>
  <c r="X9" i="1" s="1"/>
  <c r="Y9" i="1" s="1"/>
  <c r="Z9" i="1" s="1"/>
  <c r="AA9" i="1" s="1"/>
  <c r="AB9" i="1" s="1"/>
  <c r="AC9" i="1" s="1"/>
  <c r="U8" i="1"/>
  <c r="V8" i="1" s="1"/>
  <c r="W8" i="1" s="1"/>
  <c r="X8" i="1" s="1"/>
  <c r="Y8" i="1" s="1"/>
  <c r="Z8" i="1" s="1"/>
  <c r="AA8" i="1" s="1"/>
  <c r="AB8" i="1" s="1"/>
  <c r="AC8" i="1" s="1"/>
  <c r="U100" i="1"/>
  <c r="V100" i="1" s="1"/>
  <c r="W100" i="1" s="1"/>
  <c r="X100" i="1" s="1"/>
  <c r="Y100" i="1" s="1"/>
  <c r="Z100" i="1" s="1"/>
  <c r="AA100" i="1" s="1"/>
  <c r="AB100" i="1" s="1"/>
  <c r="AC100" i="1" s="1"/>
  <c r="U99" i="1"/>
  <c r="V99" i="1" s="1"/>
  <c r="W99" i="1" s="1"/>
  <c r="X99" i="1" s="1"/>
  <c r="Y99" i="1" s="1"/>
  <c r="Z99" i="1" s="1"/>
  <c r="AA99" i="1" s="1"/>
  <c r="AB99" i="1" s="1"/>
  <c r="AC99" i="1" s="1"/>
  <c r="U98" i="1"/>
  <c r="V98" i="1" s="1"/>
  <c r="W98" i="1" s="1"/>
  <c r="X98" i="1" s="1"/>
  <c r="Y98" i="1" s="1"/>
  <c r="Z98" i="1" s="1"/>
  <c r="AA98" i="1" s="1"/>
  <c r="AB98" i="1" s="1"/>
  <c r="AC98" i="1" s="1"/>
  <c r="AD98" i="1" s="1"/>
  <c r="AF98" i="1" s="1"/>
  <c r="AG98" i="1" s="1"/>
  <c r="AI98" i="1" s="1"/>
  <c r="U97" i="1"/>
  <c r="V97" i="1" s="1"/>
  <c r="W97" i="1" s="1"/>
  <c r="X97" i="1" s="1"/>
  <c r="Y97" i="1" s="1"/>
  <c r="Z97" i="1" s="1"/>
  <c r="AA97" i="1" s="1"/>
  <c r="AB97" i="1" s="1"/>
  <c r="AC97" i="1" s="1"/>
  <c r="AD97" i="1" s="1"/>
  <c r="AF97" i="1" s="1"/>
  <c r="AG97" i="1" s="1"/>
  <c r="AI97" i="1" s="1"/>
  <c r="T7" i="1"/>
  <c r="U7" i="1" s="1"/>
  <c r="V7" i="1" s="1"/>
  <c r="W7" i="1" s="1"/>
  <c r="X7" i="1" s="1"/>
  <c r="Y7" i="1" s="1"/>
  <c r="Z7" i="1" s="1"/>
  <c r="AA7" i="1" s="1"/>
  <c r="AB7" i="1" s="1"/>
  <c r="AC7" i="1" s="1"/>
  <c r="Y25" i="1"/>
  <c r="Z25" i="1" s="1"/>
  <c r="AA25" i="1" s="1"/>
  <c r="AB25" i="1" s="1"/>
  <c r="AC25" i="1" s="1"/>
  <c r="Y115" i="1"/>
  <c r="Z115" i="1" s="1"/>
  <c r="AA115" i="1" s="1"/>
  <c r="AB115" i="1" s="1"/>
  <c r="AC115" i="1" s="1"/>
  <c r="Y114" i="1"/>
  <c r="Z114" i="1" s="1"/>
  <c r="AA114" i="1" s="1"/>
  <c r="AB114" i="1" s="1"/>
  <c r="AC114" i="1" s="1"/>
  <c r="AD114" i="1" s="1"/>
  <c r="AF114" i="1" s="1"/>
  <c r="AG114" i="1" s="1"/>
  <c r="AI114" i="1" s="1"/>
  <c r="Y113" i="1"/>
  <c r="Z113" i="1" s="1"/>
  <c r="AA113" i="1" s="1"/>
  <c r="AB113" i="1" s="1"/>
  <c r="AC113" i="1" s="1"/>
  <c r="Y24" i="1"/>
  <c r="Z24" i="1" s="1"/>
  <c r="AA24" i="1" s="1"/>
  <c r="AB24" i="1" s="1"/>
  <c r="AC24" i="1" s="1"/>
  <c r="AB131" i="1"/>
  <c r="AC131" i="1" s="1"/>
  <c r="AJ131" i="1" s="1"/>
  <c r="AB51" i="1"/>
  <c r="AC51" i="1" s="1"/>
  <c r="AB50" i="1"/>
  <c r="AC50" i="1" s="1"/>
  <c r="AB130" i="1"/>
  <c r="AC130" i="1" s="1"/>
  <c r="AJ130" i="1" s="1"/>
  <c r="AB49" i="1"/>
  <c r="AC49" i="1" s="1"/>
  <c r="AJ49" i="1" s="1"/>
  <c r="AB48" i="1"/>
  <c r="AC48" i="1" s="1"/>
  <c r="AD48" i="1" s="1"/>
  <c r="AF48" i="1" s="1"/>
  <c r="AG48" i="1" s="1"/>
  <c r="AI48" i="1" s="1"/>
  <c r="AB47" i="1"/>
  <c r="AC47" i="1" s="1"/>
  <c r="AB46" i="1"/>
  <c r="AC46" i="1" s="1"/>
  <c r="AD46" i="1" s="1"/>
  <c r="AF46" i="1" s="1"/>
  <c r="AG46" i="1" s="1"/>
  <c r="AI46" i="1" s="1"/>
  <c r="AB129" i="1"/>
  <c r="AC129" i="1" s="1"/>
  <c r="AD129" i="1" s="1"/>
  <c r="AF129" i="1" s="1"/>
  <c r="AG129" i="1" s="1"/>
  <c r="AI129" i="1" s="1"/>
  <c r="AB128" i="1"/>
  <c r="AC128" i="1" s="1"/>
  <c r="AD128" i="1" s="1"/>
  <c r="AF128" i="1" s="1"/>
  <c r="AG128" i="1" s="1"/>
  <c r="AI128" i="1" s="1"/>
  <c r="AB127" i="1"/>
  <c r="AC127" i="1" s="1"/>
  <c r="AB126" i="1"/>
  <c r="AC126" i="1" s="1"/>
  <c r="AB45" i="1"/>
  <c r="AC45" i="1" s="1"/>
  <c r="AJ45" i="1" s="1"/>
  <c r="AB125" i="1"/>
  <c r="AC125" i="1" s="1"/>
  <c r="AJ125" i="1" s="1"/>
  <c r="AB44" i="1"/>
  <c r="AC44" i="1" s="1"/>
  <c r="AB43" i="1"/>
  <c r="AC43" i="1" s="1"/>
  <c r="AJ43" i="1" s="1"/>
  <c r="AB124" i="1"/>
  <c r="AC124" i="1" s="1"/>
  <c r="AJ124" i="1" s="1"/>
  <c r="AB42" i="1"/>
  <c r="AC42" i="1" s="1"/>
  <c r="AB41" i="1"/>
  <c r="AC41" i="1" s="1"/>
  <c r="AB123" i="1"/>
  <c r="AC123" i="1" s="1"/>
  <c r="AB122" i="1"/>
  <c r="AC122" i="1" s="1"/>
  <c r="AB40" i="1"/>
  <c r="AC40" i="1" s="1"/>
  <c r="AJ40" i="1" s="1"/>
  <c r="AB39" i="1"/>
  <c r="AC39" i="1" s="1"/>
  <c r="AJ39" i="1" s="1"/>
  <c r="AB38" i="1"/>
  <c r="AC38" i="1" s="1"/>
  <c r="AD38" i="1" s="1"/>
  <c r="AF38" i="1" s="1"/>
  <c r="AG38" i="1" s="1"/>
  <c r="AI38" i="1" s="1"/>
  <c r="AB37" i="1"/>
  <c r="AC37" i="1" s="1"/>
  <c r="AJ37" i="1" s="1"/>
  <c r="AB36" i="1"/>
  <c r="AC36" i="1" s="1"/>
  <c r="AD36" i="1" s="1"/>
  <c r="AF36" i="1" s="1"/>
  <c r="AG36" i="1" s="1"/>
  <c r="AI36" i="1" s="1"/>
  <c r="AB35" i="1"/>
  <c r="AC35" i="1" s="1"/>
  <c r="AD35" i="1" s="1"/>
  <c r="AF35" i="1" s="1"/>
  <c r="AG35" i="1" s="1"/>
  <c r="AI35" i="1" s="1"/>
  <c r="AB34" i="1"/>
  <c r="AC34" i="1" s="1"/>
  <c r="AJ34" i="1" s="1"/>
  <c r="AB33" i="1"/>
  <c r="AC33" i="1" s="1"/>
  <c r="AB32" i="1"/>
  <c r="AC32" i="1" s="1"/>
  <c r="AB31" i="1"/>
  <c r="AC31" i="1" s="1"/>
  <c r="AB30" i="1"/>
  <c r="AC30" i="1" s="1"/>
  <c r="AJ30" i="1" s="1"/>
  <c r="AB121" i="1"/>
  <c r="AC121" i="1" s="1"/>
  <c r="AB120" i="1"/>
  <c r="AC120" i="1" s="1"/>
  <c r="AB28" i="1"/>
  <c r="AC28" i="1" s="1"/>
  <c r="AJ28" i="1" s="1"/>
  <c r="AB27" i="1"/>
  <c r="AC27" i="1" s="1"/>
  <c r="AJ27" i="1" s="1"/>
  <c r="AB118" i="1"/>
  <c r="AC118" i="1" s="1"/>
  <c r="AB26" i="1"/>
  <c r="AC26" i="1" s="1"/>
  <c r="AB117" i="1"/>
  <c r="AC117" i="1" s="1"/>
  <c r="AD117" i="1" s="1"/>
  <c r="AF117" i="1" s="1"/>
  <c r="AG117" i="1" s="1"/>
  <c r="AI117" i="1" s="1"/>
  <c r="AB116" i="1"/>
  <c r="AC116" i="1" s="1"/>
  <c r="AJ116" i="1" s="1"/>
  <c r="AA29" i="1"/>
  <c r="AB29" i="1" s="1"/>
  <c r="AC29" i="1" s="1"/>
  <c r="AJ29" i="1" s="1"/>
  <c r="AA119" i="1"/>
  <c r="AB119" i="1" s="1"/>
  <c r="AC119" i="1" s="1"/>
  <c r="AN4" i="2"/>
  <c r="J4" i="2"/>
  <c r="H4" i="2"/>
  <c r="B4" i="2"/>
  <c r="B4" i="1"/>
  <c r="AS4" i="1"/>
  <c r="H4" i="1"/>
  <c r="AD28" i="1" l="1"/>
  <c r="AF28" i="1" s="1"/>
  <c r="AG28" i="1" s="1"/>
  <c r="AI28" i="1" s="1"/>
  <c r="AD39" i="1"/>
  <c r="AF39" i="1" s="1"/>
  <c r="AG39" i="1" s="1"/>
  <c r="AI39" i="1" s="1"/>
  <c r="AJ117" i="1"/>
  <c r="AD27" i="1"/>
  <c r="AF27" i="1" s="1"/>
  <c r="AG27" i="1" s="1"/>
  <c r="AI27" i="1" s="1"/>
  <c r="AD40" i="1"/>
  <c r="AF40" i="1" s="1"/>
  <c r="AG40" i="1" s="1"/>
  <c r="AI40" i="1" s="1"/>
  <c r="AJ35" i="1"/>
  <c r="AJ38" i="1"/>
  <c r="AD116" i="1"/>
  <c r="AF116" i="1" s="1"/>
  <c r="AG116" i="1" s="1"/>
  <c r="AI116" i="1" s="1"/>
  <c r="AJ44" i="1"/>
  <c r="AD44" i="1"/>
  <c r="AF44" i="1" s="1"/>
  <c r="AG44" i="1" s="1"/>
  <c r="AI44" i="1" s="1"/>
  <c r="AD21" i="1"/>
  <c r="AF21" i="1" s="1"/>
  <c r="AG21" i="1" s="1"/>
  <c r="AI21" i="1" s="1"/>
  <c r="AJ21" i="1"/>
  <c r="AD45" i="1"/>
  <c r="AF45" i="1" s="1"/>
  <c r="AG45" i="1" s="1"/>
  <c r="AI45" i="1" s="1"/>
  <c r="AD29" i="1"/>
  <c r="AF29" i="1" s="1"/>
  <c r="AG29" i="1" s="1"/>
  <c r="AI29" i="1" s="1"/>
  <c r="AD43" i="1"/>
  <c r="AF43" i="1" s="1"/>
  <c r="AG43" i="1" s="1"/>
  <c r="AI43" i="1" s="1"/>
  <c r="AD110" i="1"/>
  <c r="AF110" i="1" s="1"/>
  <c r="AG110" i="1" s="1"/>
  <c r="AI110" i="1" s="1"/>
  <c r="AD125" i="1"/>
  <c r="AF125" i="1" s="1"/>
  <c r="AG125" i="1" s="1"/>
  <c r="AI125" i="1" s="1"/>
  <c r="AJ129" i="1"/>
  <c r="AD49" i="1"/>
  <c r="AF49" i="1" s="1"/>
  <c r="AG49" i="1" s="1"/>
  <c r="AI49" i="1" s="1"/>
  <c r="AJ46" i="1"/>
  <c r="AJ98" i="1"/>
  <c r="AJ15" i="1"/>
  <c r="AD15" i="1"/>
  <c r="AF15" i="1" s="1"/>
  <c r="AG15" i="1" s="1"/>
  <c r="AI15" i="1" s="1"/>
  <c r="AJ101" i="1"/>
  <c r="AD101" i="1"/>
  <c r="AF101" i="1" s="1"/>
  <c r="AG101" i="1" s="1"/>
  <c r="AI101" i="1" s="1"/>
  <c r="AD123" i="1"/>
  <c r="AF123" i="1" s="1"/>
  <c r="AG123" i="1" s="1"/>
  <c r="AI123" i="1" s="1"/>
  <c r="AJ123" i="1"/>
  <c r="AD25" i="1"/>
  <c r="AF25" i="1" s="1"/>
  <c r="AG25" i="1" s="1"/>
  <c r="AI25" i="1" s="1"/>
  <c r="AJ25" i="1"/>
  <c r="AD41" i="1"/>
  <c r="AF41" i="1" s="1"/>
  <c r="AG41" i="1" s="1"/>
  <c r="AI41" i="1" s="1"/>
  <c r="AJ41" i="1"/>
  <c r="AD7" i="1"/>
  <c r="AF7" i="1" s="1"/>
  <c r="AG7" i="1" s="1"/>
  <c r="AI7" i="1" s="1"/>
  <c r="AJ7" i="1"/>
  <c r="AJ42" i="1"/>
  <c r="AD42" i="1"/>
  <c r="AF42" i="1" s="1"/>
  <c r="AG42" i="1" s="1"/>
  <c r="AI42" i="1" s="1"/>
  <c r="AJ18" i="1"/>
  <c r="AD18" i="1"/>
  <c r="AF18" i="1" s="1"/>
  <c r="AG18" i="1" s="1"/>
  <c r="AI18" i="1" s="1"/>
  <c r="AJ24" i="1"/>
  <c r="AD24" i="1"/>
  <c r="AF24" i="1" s="1"/>
  <c r="AG24" i="1" s="1"/>
  <c r="AI24" i="1" s="1"/>
  <c r="AJ105" i="1"/>
  <c r="AD105" i="1"/>
  <c r="AF105" i="1" s="1"/>
  <c r="AG105" i="1" s="1"/>
  <c r="AI105" i="1" s="1"/>
  <c r="AD107" i="1"/>
  <c r="AF107" i="1" s="1"/>
  <c r="AG107" i="1" s="1"/>
  <c r="AI107" i="1" s="1"/>
  <c r="AJ107" i="1"/>
  <c r="AJ103" i="1"/>
  <c r="AD103" i="1"/>
  <c r="AF103" i="1" s="1"/>
  <c r="AG103" i="1" s="1"/>
  <c r="AI103" i="1" s="1"/>
  <c r="AJ113" i="1"/>
  <c r="AD113" i="1"/>
  <c r="AF113" i="1" s="1"/>
  <c r="AG113" i="1" s="1"/>
  <c r="AI113" i="1" s="1"/>
  <c r="AJ106" i="1"/>
  <c r="AD106" i="1"/>
  <c r="AF106" i="1" s="1"/>
  <c r="AG106" i="1" s="1"/>
  <c r="AI106" i="1" s="1"/>
  <c r="AD9" i="1"/>
  <c r="AF9" i="1" s="1"/>
  <c r="AG9" i="1" s="1"/>
  <c r="AI9" i="1" s="1"/>
  <c r="AJ9" i="1"/>
  <c r="AJ19" i="1"/>
  <c r="AD19" i="1"/>
  <c r="AF19" i="1" s="1"/>
  <c r="AG19" i="1" s="1"/>
  <c r="AI19" i="1" s="1"/>
  <c r="AD99" i="1"/>
  <c r="AF99" i="1" s="1"/>
  <c r="AG99" i="1" s="1"/>
  <c r="AI99" i="1" s="1"/>
  <c r="AJ99" i="1"/>
  <c r="AJ100" i="1"/>
  <c r="AD100" i="1"/>
  <c r="AF100" i="1" s="1"/>
  <c r="AG100" i="1" s="1"/>
  <c r="AI100" i="1" s="1"/>
  <c r="AD26" i="1"/>
  <c r="AF26" i="1" s="1"/>
  <c r="AG26" i="1" s="1"/>
  <c r="AI26" i="1" s="1"/>
  <c r="AJ26" i="1"/>
  <c r="AD126" i="1"/>
  <c r="AF126" i="1" s="1"/>
  <c r="AG126" i="1" s="1"/>
  <c r="AI126" i="1" s="1"/>
  <c r="AJ126" i="1"/>
  <c r="AJ6" i="1"/>
  <c r="AD6" i="1"/>
  <c r="AF6" i="1" s="1"/>
  <c r="AG6" i="1" s="1"/>
  <c r="AI6" i="1" s="1"/>
  <c r="AJ20" i="1"/>
  <c r="AD20" i="1"/>
  <c r="AF20" i="1" s="1"/>
  <c r="AG20" i="1" s="1"/>
  <c r="AI20" i="1" s="1"/>
  <c r="AJ8" i="1"/>
  <c r="AD8" i="1"/>
  <c r="AF8" i="1" s="1"/>
  <c r="AG8" i="1" s="1"/>
  <c r="AI8" i="1" s="1"/>
  <c r="AJ118" i="1"/>
  <c r="AD118" i="1"/>
  <c r="AF118" i="1" s="1"/>
  <c r="AG118" i="1" s="1"/>
  <c r="AI118" i="1" s="1"/>
  <c r="AD127" i="1"/>
  <c r="AF127" i="1" s="1"/>
  <c r="AG127" i="1" s="1"/>
  <c r="AI127" i="1" s="1"/>
  <c r="AJ127" i="1"/>
  <c r="AJ13" i="1"/>
  <c r="AD13" i="1"/>
  <c r="AF13" i="1" s="1"/>
  <c r="AG13" i="1" s="1"/>
  <c r="AI13" i="1" s="1"/>
  <c r="AJ14" i="1"/>
  <c r="AD14" i="1"/>
  <c r="AF14" i="1" s="1"/>
  <c r="AG14" i="1" s="1"/>
  <c r="AI14" i="1" s="1"/>
  <c r="AD108" i="1"/>
  <c r="AF108" i="1" s="1"/>
  <c r="AG108" i="1" s="1"/>
  <c r="AI108" i="1" s="1"/>
  <c r="AJ108" i="1"/>
  <c r="AJ104" i="1"/>
  <c r="AD104" i="1"/>
  <c r="AF104" i="1" s="1"/>
  <c r="AG104" i="1" s="1"/>
  <c r="AI104" i="1" s="1"/>
  <c r="AD12" i="1"/>
  <c r="AF12" i="1" s="1"/>
  <c r="AG12" i="1" s="1"/>
  <c r="AI12" i="1" s="1"/>
  <c r="AJ12" i="1"/>
  <c r="AJ16" i="1"/>
  <c r="AD16" i="1"/>
  <c r="AF16" i="1" s="1"/>
  <c r="AG16" i="1" s="1"/>
  <c r="AI16" i="1" s="1"/>
  <c r="AJ112" i="1"/>
  <c r="AD112" i="1"/>
  <c r="AF112" i="1" s="1"/>
  <c r="AG112" i="1" s="1"/>
  <c r="AI112" i="1" s="1"/>
  <c r="AJ17" i="1"/>
  <c r="AD17" i="1"/>
  <c r="AF17" i="1" s="1"/>
  <c r="AG17" i="1" s="1"/>
  <c r="AI17" i="1" s="1"/>
  <c r="AJ119" i="1"/>
  <c r="AD119" i="1"/>
  <c r="AF119" i="1" s="1"/>
  <c r="AG119" i="1" s="1"/>
  <c r="AI119" i="1" s="1"/>
  <c r="AJ32" i="1"/>
  <c r="AD32" i="1"/>
  <c r="AF32" i="1" s="1"/>
  <c r="AG32" i="1" s="1"/>
  <c r="AI32" i="1" s="1"/>
  <c r="AD130" i="1"/>
  <c r="AF130" i="1" s="1"/>
  <c r="AG130" i="1" s="1"/>
  <c r="AI130" i="1" s="1"/>
  <c r="AJ48" i="1"/>
  <c r="AD23" i="1"/>
  <c r="AF23" i="1" s="1"/>
  <c r="AG23" i="1" s="1"/>
  <c r="AI23" i="1" s="1"/>
  <c r="AD50" i="1"/>
  <c r="AF50" i="1" s="1"/>
  <c r="AG50" i="1" s="1"/>
  <c r="AI50" i="1" s="1"/>
  <c r="AJ50" i="1"/>
  <c r="AD47" i="1"/>
  <c r="AF47" i="1" s="1"/>
  <c r="AG47" i="1" s="1"/>
  <c r="AI47" i="1" s="1"/>
  <c r="AJ47" i="1"/>
  <c r="AJ33" i="1"/>
  <c r="AD33" i="1"/>
  <c r="AF33" i="1" s="1"/>
  <c r="AG33" i="1" s="1"/>
  <c r="AI33" i="1" s="1"/>
  <c r="AD131" i="1"/>
  <c r="AF131" i="1" s="1"/>
  <c r="AG131" i="1" s="1"/>
  <c r="AI131" i="1" s="1"/>
  <c r="AD10" i="1"/>
  <c r="AF10" i="1" s="1"/>
  <c r="AG10" i="1" s="1"/>
  <c r="AI10" i="1" s="1"/>
  <c r="AJ10" i="1"/>
  <c r="AJ120" i="1"/>
  <c r="AD120" i="1"/>
  <c r="AF120" i="1" s="1"/>
  <c r="AG120" i="1" s="1"/>
  <c r="AI120" i="1" s="1"/>
  <c r="AJ115" i="1"/>
  <c r="AD115" i="1"/>
  <c r="AF115" i="1" s="1"/>
  <c r="AG115" i="1" s="1"/>
  <c r="AI115" i="1" s="1"/>
  <c r="AJ114" i="1"/>
  <c r="AD51" i="1"/>
  <c r="AF51" i="1" s="1"/>
  <c r="AG51" i="1" s="1"/>
  <c r="AI51" i="1" s="1"/>
  <c r="AJ51" i="1"/>
  <c r="AJ102" i="1"/>
  <c r="AD102" i="1"/>
  <c r="AF102" i="1" s="1"/>
  <c r="AG102" i="1" s="1"/>
  <c r="AI102" i="1" s="1"/>
  <c r="AJ31" i="1"/>
  <c r="AD31" i="1"/>
  <c r="AF31" i="1" s="1"/>
  <c r="AG31" i="1" s="1"/>
  <c r="AI31" i="1" s="1"/>
  <c r="AD121" i="1"/>
  <c r="AF121" i="1" s="1"/>
  <c r="AG121" i="1" s="1"/>
  <c r="AI121" i="1" s="1"/>
  <c r="AJ121" i="1"/>
  <c r="AJ122" i="1"/>
  <c r="AD122" i="1"/>
  <c r="AF122" i="1" s="1"/>
  <c r="AG122" i="1" s="1"/>
  <c r="AI122" i="1" s="1"/>
  <c r="AJ128" i="1"/>
  <c r="AJ111" i="1"/>
  <c r="AD111" i="1"/>
  <c r="AF111" i="1" s="1"/>
  <c r="AG111" i="1" s="1"/>
  <c r="AI111" i="1" s="1"/>
  <c r="AJ97" i="1"/>
  <c r="AD30" i="1"/>
  <c r="AF30" i="1" s="1"/>
  <c r="AG30" i="1" s="1"/>
  <c r="AI30" i="1" s="1"/>
  <c r="AJ109" i="1"/>
  <c r="AD109" i="1"/>
  <c r="AF109" i="1" s="1"/>
  <c r="AG109" i="1" s="1"/>
  <c r="AI109" i="1" s="1"/>
  <c r="AD37" i="1"/>
  <c r="AF37" i="1" s="1"/>
  <c r="AG37" i="1" s="1"/>
  <c r="AI37" i="1" s="1"/>
  <c r="AJ11" i="1"/>
  <c r="AJ22" i="1"/>
  <c r="AD124" i="1"/>
  <c r="AF124" i="1" s="1"/>
  <c r="AG124" i="1" s="1"/>
  <c r="AI124" i="1" s="1"/>
  <c r="AJ36" i="1"/>
  <c r="AD55" i="1"/>
  <c r="AF55" i="1" s="1"/>
  <c r="AG55" i="1" s="1"/>
  <c r="AI55" i="1" s="1"/>
  <c r="AD34" i="1"/>
  <c r="AF34" i="1" s="1"/>
  <c r="AG34" i="1" s="1"/>
  <c r="AI34" i="1" s="1"/>
  <c r="AD58" i="1"/>
  <c r="AF58" i="1" s="1"/>
  <c r="AG58" i="1" s="1"/>
  <c r="AI58" i="1" s="1"/>
  <c r="L4" i="1"/>
</calcChain>
</file>

<file path=xl/sharedStrings.xml><?xml version="1.0" encoding="utf-8"?>
<sst xmlns="http://schemas.openxmlformats.org/spreadsheetml/2006/main" count="7850" uniqueCount="1714">
  <si>
    <t>Estimated</t>
  </si>
  <si>
    <t>عدد المشاريع</t>
  </si>
  <si>
    <t>مليار ريال</t>
  </si>
  <si>
    <t>1. Registeratin</t>
  </si>
  <si>
    <t>2. Initial Planning Stage.</t>
  </si>
  <si>
    <t>3.Tender for design</t>
  </si>
  <si>
    <t>4. Design Stage.</t>
  </si>
  <si>
    <t>5. Tender for Construction Stage.</t>
  </si>
  <si>
    <t>6. Construction Stage. (95%)</t>
  </si>
  <si>
    <t>7. Testing &amp; Commissioning  (5%)</t>
  </si>
  <si>
    <t xml:space="preserve">8. Handover and Closeout </t>
  </si>
  <si>
    <t>القطاعات</t>
  </si>
  <si>
    <t>تحديث المشتريات (المركز الرئيسي)</t>
  </si>
  <si>
    <t>Updated SN</t>
  </si>
  <si>
    <t>اسم المشروع</t>
  </si>
  <si>
    <t>القطاع</t>
  </si>
  <si>
    <t>المصمم</t>
  </si>
  <si>
    <t>المنطقة</t>
  </si>
  <si>
    <t>المدينة/المحافظة</t>
  </si>
  <si>
    <t>التصنيف</t>
  </si>
  <si>
    <t>التكلفه القديمه التحديث الرابع</t>
  </si>
  <si>
    <t>WO</t>
  </si>
  <si>
    <t>Column2</t>
  </si>
  <si>
    <t>Column1</t>
  </si>
  <si>
    <t>التكلفة (المحدثه)  شاملة الضريبة</t>
  </si>
  <si>
    <t>القائمة المحدثة (الساحلية - الحزمة الاولى)</t>
  </si>
  <si>
    <t>حالة المشروع  الحاليه</t>
  </si>
  <si>
    <t>مستهدف / غير مستهدف</t>
  </si>
  <si>
    <t>مدة المشروع (شهر)</t>
  </si>
  <si>
    <t>COST</t>
  </si>
  <si>
    <t>مرحلة المشروع   الحاليه حسب PMM</t>
  </si>
  <si>
    <t>تاريخ بداية المرحله</t>
  </si>
  <si>
    <t>تاريخ نهاية المرحله</t>
  </si>
  <si>
    <t>تاريخ بداية المرحله.</t>
  </si>
  <si>
    <t>تاريخ نهاية المرحله…</t>
  </si>
  <si>
    <t>تاريخ بداية المرحله-</t>
  </si>
  <si>
    <t>تاريخ نهاية المرحله.-</t>
  </si>
  <si>
    <t>تاريخ بداية المرحله-.</t>
  </si>
  <si>
    <t>تاريخ نهاية المرحله--</t>
  </si>
  <si>
    <t>تاريخ بداية .المرحله</t>
  </si>
  <si>
    <t>تاريخ. نهاية المرحله</t>
  </si>
  <si>
    <t>.تاريخ بداية المرحله</t>
  </si>
  <si>
    <t>تاريخ. نهاية. المرحله</t>
  </si>
  <si>
    <t>التكلفة</t>
  </si>
  <si>
    <t>تاريخ بداية.. المرحله..</t>
  </si>
  <si>
    <t>تاريخ ..نهاية المرحله.</t>
  </si>
  <si>
    <t>التكلفة2</t>
  </si>
  <si>
    <t>تاريخ .بداية المرحله-</t>
  </si>
  <si>
    <t>تاريخ نهاية المرحله-.-</t>
  </si>
  <si>
    <t>مرحلة المشروع   الحاليه حسب PMM2</t>
  </si>
  <si>
    <t>حالة الطرح التفصيليه</t>
  </si>
  <si>
    <t>حالة الطرح الرئيسيه</t>
  </si>
  <si>
    <t>طلب الشراء</t>
  </si>
  <si>
    <t>تاريخ رفع طلب الشراء</t>
  </si>
  <si>
    <t>رقم طلب الشراء</t>
  </si>
  <si>
    <t>تاريخ إعتماد طلب الشراء</t>
  </si>
  <si>
    <t>ملاحظات على حالة طرح المشاريع</t>
  </si>
  <si>
    <t>فلتر قديم 120</t>
  </si>
  <si>
    <t>حالة الطرح من الماليه</t>
  </si>
  <si>
    <t>قيمة التعميد \ الترسية شامل الضريبة</t>
  </si>
  <si>
    <t>تاريخ الطرح</t>
  </si>
  <si>
    <t>تاريخ إصدار أمر الشراء</t>
  </si>
  <si>
    <t xml:space="preserve">رقم امر الشراء PO </t>
  </si>
  <si>
    <t xml:space="preserve">المقاول </t>
  </si>
  <si>
    <t>تاريخ توقيع العقد</t>
  </si>
  <si>
    <t>الاتفاقيات</t>
  </si>
  <si>
    <t>PNW2024</t>
  </si>
  <si>
    <t>رفع مساحي لشبكات المياه والصرف الصحي وتحديث بيانات نظام المعلومات الجغرافية بالقطاع  الشمالي الغربي</t>
  </si>
  <si>
    <t>الشمالي الغربي</t>
  </si>
  <si>
    <t>القطاع الشمالي الغربي</t>
  </si>
  <si>
    <t xml:space="preserve">مناطق مختلفة </t>
  </si>
  <si>
    <t>انشائيه وتكميليه</t>
  </si>
  <si>
    <t>الحزمة الأولى</t>
  </si>
  <si>
    <t>لم يتم اعتماد طلب الشراء</t>
  </si>
  <si>
    <t>غير مستهدف</t>
  </si>
  <si>
    <t>24</t>
  </si>
  <si>
    <t>لم يتم إنشاء الطلب</t>
  </si>
  <si>
    <t>إدارة الأصول</t>
  </si>
  <si>
    <t>خارج الخطه</t>
  </si>
  <si>
    <t>AP234</t>
  </si>
  <si>
    <t>Implementation of SCADA RFP requirement across Madinah Region</t>
  </si>
  <si>
    <t>المدينة المنورة</t>
  </si>
  <si>
    <t xml:space="preserve">إدارة التشغيل الذكي </t>
  </si>
  <si>
    <t>P841-4</t>
  </si>
  <si>
    <t>كشف وإصلاح التسربات الغير ظاهرة بمحافظات (العلا, خيبر, وادي الفرع,  المهد, الحناكية و قرى المدينة)</t>
  </si>
  <si>
    <t>منطقة المدينة المنورة</t>
  </si>
  <si>
    <t>مياه</t>
  </si>
  <si>
    <t>36</t>
  </si>
  <si>
    <t>P842</t>
  </si>
  <si>
    <t>كشف وإصلاح التسربات الغير ظاهرة بمحافظات ينبع وبدر والعيص</t>
  </si>
  <si>
    <t>ينبع</t>
  </si>
  <si>
    <t>AP255</t>
  </si>
  <si>
    <t>إنشاء مشاريع تقديم خدمة  صرف صحي  لمخططات الإسكان في الحناكية (3 مواقع).</t>
  </si>
  <si>
    <t>الحناكية</t>
  </si>
  <si>
    <t>صرف صحي</t>
  </si>
  <si>
    <t xml:space="preserve">يتم الغاء المشروع نظراً لأن احد المواقع تم تنفيذ شبكاتها عن طريق الاسكان، والموقعين الأخرين عبارة عن أراضي بيضاء غير مطورة </t>
  </si>
  <si>
    <t>P916</t>
  </si>
  <si>
    <t>استكمال خط ناقل الي محافظة العيص</t>
  </si>
  <si>
    <t>العيص</t>
  </si>
  <si>
    <t>سيتم نقلها ضمن اختصاص شركة نقل المياه</t>
  </si>
  <si>
    <t>P868</t>
  </si>
  <si>
    <t>انشاء خطوط رئيسية وشبكات الصرف الصحي بابار الماشي</t>
  </si>
  <si>
    <r>
      <t>يتم تنفيذ المشروع من خلال القطاع الخاص ضمن مشاريع المحطات المصغرة للقطاع الشمالي الغربي (</t>
    </r>
    <r>
      <rPr>
        <sz val="18"/>
        <color rgb="FFFF0000"/>
        <rFont val="Calibri"/>
        <family val="2"/>
        <scheme val="minor"/>
      </rPr>
      <t>SWPC)</t>
    </r>
  </si>
  <si>
    <t>P905</t>
  </si>
  <si>
    <t>تنفيد الخطوط الرئيسية والفرعية والخزانات والتوصيلات المنزلية بوادى ريم والراغية</t>
  </si>
  <si>
    <t>P902</t>
  </si>
  <si>
    <t>مشروع محطة ضخ المياه والخط الناقل من العمق إلى ثرب</t>
  </si>
  <si>
    <t>المهد</t>
  </si>
  <si>
    <t>AP262</t>
  </si>
  <si>
    <t>تنفيذ محطة ضخ مياه وخزان عالي  في اليتمة</t>
  </si>
  <si>
    <t>وادي الفرع</t>
  </si>
  <si>
    <t>12</t>
  </si>
  <si>
    <t>AP265</t>
  </si>
  <si>
    <t>مشروع انشاء شبكات مياه بالعذيب</t>
  </si>
  <si>
    <t>العلا</t>
  </si>
  <si>
    <t>مرفوض من قبل الهيئة الملكية لمحافظة العلا لعدم توافق نطاقه مع الخطط الرئيسية واستراتيجية المياه لدى الهيئة</t>
  </si>
  <si>
    <t>AP236</t>
  </si>
  <si>
    <t>Implementation of GIS RFP requirement across Madinah Region.</t>
  </si>
  <si>
    <t>18</t>
  </si>
  <si>
    <t>سيتم تضمينه في الاتفاقيات الموحده للتشغيل والصيانة</t>
  </si>
  <si>
    <t>P853</t>
  </si>
  <si>
    <t>عقد دراسات بيئية للمحطات والمرادم الصحية بالقطاع الشمالي الغربي</t>
  </si>
  <si>
    <t>استشاري</t>
  </si>
  <si>
    <t>سيتم تضمينه باتفاقية دراسات بيئية موحدة على مستوى الشركة بناء على طلب إدارة الالتزام البيئي</t>
  </si>
  <si>
    <t>AP238</t>
  </si>
  <si>
    <t>تنفيذ محطة ضخ الصرف الصحي الرئيسية شمال شرق ينبع</t>
  </si>
  <si>
    <t>المشروع متقاطع مع نطاق هيئة تطوير ينبع وأملج والوجه وضباء</t>
  </si>
  <si>
    <t>AP239</t>
  </si>
  <si>
    <t>مشروع إيصال المياه لاسكان منسوبي وزارة الحرس الوطني بينبع</t>
  </si>
  <si>
    <t>AP260</t>
  </si>
  <si>
    <t>إنشاء مشاريع تقديم خدمة  صرف صحي  لخطة الإسكان في بدر وينبع (6 مواقع)</t>
  </si>
  <si>
    <t>P909</t>
  </si>
  <si>
    <t>شبكات وخطوط مياه متفرقة بمدينة ينبع ( الجزء الأول )</t>
  </si>
  <si>
    <t>P913</t>
  </si>
  <si>
    <t>خطوط وشبكات لخدمة محافظة ينبع والعيص</t>
  </si>
  <si>
    <t>AP1491</t>
  </si>
  <si>
    <t>استكمال اعمال تنفيذ محطة معالجة مياه الصرف الصحي بينبع النخل المرحلة الثانية</t>
  </si>
  <si>
    <t>اياسا</t>
  </si>
  <si>
    <t>ينبع النخل</t>
  </si>
  <si>
    <t>WO #07</t>
  </si>
  <si>
    <t>الحزمة الأولى-التحديث السادس</t>
  </si>
  <si>
    <t>خطة الربع الرابع
مطلوب تحديثه في الحزمه</t>
  </si>
  <si>
    <t>مستهدف</t>
  </si>
  <si>
    <t>خطة الربع الرابع
مطلوب تحديثه في الحزمه</t>
  </si>
  <si>
    <t>متبقي</t>
  </si>
  <si>
    <r>
      <t xml:space="preserve">تمت الموافقة على تنفيذ المشروع من قبل هيئة ينبع وأملج وضباء والوجه - جاري استكمال التصاميم وتجهيز مستندات الطرح بعد موافقة الهيئة عل  طرح المشروع. </t>
    </r>
    <r>
      <rPr>
        <b/>
        <sz val="16"/>
        <color rgb="FF000000"/>
        <rFont val="Calibri"/>
        <family val="2"/>
      </rPr>
      <t>دراسة الجدوى والتصميم  المعدل90 %  لدى المركز الرئيسي للمراجعه</t>
    </r>
  </si>
  <si>
    <t>داخل الخطه</t>
  </si>
  <si>
    <t>لم يتم إستلام طلب الشراء</t>
  </si>
  <si>
    <t>P812</t>
  </si>
  <si>
    <t>تنفيذ خط مياه الصرف الصحي من المنطقة المركزية الى محطة المعالجة بالمدينة المنورة (المرحلة الاولى)</t>
  </si>
  <si>
    <t>دار</t>
  </si>
  <si>
    <t>WO#02</t>
  </si>
  <si>
    <t>متبقي من الحزمة - خطة الربع الرابع 2025</t>
  </si>
  <si>
    <t>دراسة الجدوى لدى القطاع لتعديل الملاحظات 
لا يزال في مرحلة التصميم 30 % - تحديات تكاليف</t>
  </si>
  <si>
    <t>P894-2</t>
  </si>
  <si>
    <t>تنفيذ شبكات وخطوط المياه بالنخيل والصمد بمنطقة المدينة المنورة</t>
  </si>
  <si>
    <t>WO#04</t>
  </si>
  <si>
    <t>تعزيز التكاليف</t>
  </si>
  <si>
    <t>تحت الطرح والترسيه</t>
  </si>
  <si>
    <t>تم إعتماد الطلب</t>
  </si>
  <si>
    <t>طرح بدون إرتباط</t>
  </si>
  <si>
    <t>تعزيز تكاليف</t>
  </si>
  <si>
    <t>شركة الدايل العالمية المحدودة</t>
  </si>
  <si>
    <t>P917-1</t>
  </si>
  <si>
    <t>تنقيذ شبكات وخطوط مياه قرى المدينة المنورة ( الجزء الأول )</t>
  </si>
  <si>
    <t>الدعم الفني</t>
  </si>
  <si>
    <t>قرى المدينة المنورة</t>
  </si>
  <si>
    <t>شركة عوده مبارك البلادي وأبنائه للمقاولات المحدودة</t>
  </si>
  <si>
    <t>P834</t>
  </si>
  <si>
    <t>ترحيل خطوط وتنفيذ شبكات بمناطق متفرقة (المرحلة الثالثة)</t>
  </si>
  <si>
    <t>WO#03</t>
  </si>
  <si>
    <t>شركة سماء التشييد والبناء للتجارة والمقاولات</t>
  </si>
  <si>
    <t>P895-1</t>
  </si>
  <si>
    <t>تنفيذ شبكة توزيع  للمياه  بالمندسة</t>
  </si>
  <si>
    <t>WO#5</t>
  </si>
  <si>
    <t>اصدار امر الشراء+اتفاقية السعرالموحد</t>
  </si>
  <si>
    <t>اعداد طلب الشراء+ تعزيز التكاليف</t>
  </si>
  <si>
    <t>سيتم تنفيذ المشروع عن طريق اتفاقية السعر المحدد
بانتظار تعزيز تكاليف المشروع حسب اسعار اتفاقية السعر الموحد لدى التخطيط بالمركز الرئيسي-تم رفع طلب التحديث لمسمى المشروع والقيمة المحدثة للمشروع من قبل إدارة التخطيط الاستراتيجي بالمركز الرئيسي لهيئة كفاءة الانفاق وبانتظار الاعتماد النهائي من فريق العمل الدائم ووزارة المالية.
دراسة الجدوى المحدثة لدي التخطيط الاستراتيجي بالمركز الرئيسي للمراجعة(تمت الإفادة بوجود ملاحظات وتم تلافيها وتم اعادة ارسالها).</t>
  </si>
  <si>
    <t>اتفاقية التنفيذ الموحد</t>
  </si>
  <si>
    <t>P835</t>
  </si>
  <si>
    <t>ترحيل خطوط وتنفيذ شبكات بمناطق متفرقة (المرحلة الرابعة)</t>
  </si>
  <si>
    <t>WO#7</t>
  </si>
  <si>
    <t>P858-1</t>
  </si>
  <si>
    <t>تنفيذ شبكات  الصرف الصحي  في وسط الحناكية</t>
  </si>
  <si>
    <t>WO#8</t>
  </si>
  <si>
    <t>فحص العروض والترسية</t>
  </si>
  <si>
    <t>P858-2</t>
  </si>
  <si>
    <t>تنفيذ شبكات  الصرف الصحي بالمنطقة السكنية  القائمة في شمال الحناكية</t>
  </si>
  <si>
    <t>شركة زهران للصيانة والتشغيل</t>
  </si>
  <si>
    <t>P859</t>
  </si>
  <si>
    <t>تنفيذ خطوط وشبكات الصرف الصحي بمحافظة خيبر( الجزء الأول )</t>
  </si>
  <si>
    <t>خيبر</t>
  </si>
  <si>
    <t>P914</t>
  </si>
  <si>
    <t>تنفيد الخطوط الرئيسية والفرعية والخزانات بالجفر</t>
  </si>
  <si>
    <t>بدر</t>
  </si>
  <si>
    <t>شركة الركائز الثابتة المحدودة</t>
  </si>
  <si>
    <t>AP270</t>
  </si>
  <si>
    <t>تنفيذ خطوط وشبكات توزيع المياه بمحافظة المهد</t>
  </si>
  <si>
    <t>WO#6</t>
  </si>
  <si>
    <t>اعادة الطرح</t>
  </si>
  <si>
    <t>بانتظار تحويل جدول الكميات لاتفاقية السعر المحدد بعد اعتماد أمر التغيير على الاتفاقية</t>
  </si>
  <si>
    <t>إلغاء/جاري الإلغاء</t>
  </si>
  <si>
    <t>التنفيذ الموحد -بانتظار امر التغيير لها</t>
  </si>
  <si>
    <t>P917-2</t>
  </si>
  <si>
    <t>تنقيذ شبكات وخطوط مياه قرى المدينة المنورة ( الجزء الثاني)</t>
  </si>
  <si>
    <t>AP246</t>
  </si>
  <si>
    <t>مشروع انشاء شبكات مياه بمدائن صالح</t>
  </si>
  <si>
    <t>لدى المفاوضات والترسيه</t>
  </si>
  <si>
    <t>قيد اجراء توفير الارتباط المالي</t>
  </si>
  <si>
    <t>تعزيز التكاليف - ارتباط مالي</t>
  </si>
  <si>
    <t>P906</t>
  </si>
  <si>
    <t>تنفيذ شبكات وخطوط مياه للسويرقية والعقيلية</t>
  </si>
  <si>
    <t xml:space="preserve">لدى المفاوضات والترسية </t>
  </si>
  <si>
    <t>مفاوضات وترسية</t>
  </si>
  <si>
    <t>P919</t>
  </si>
  <si>
    <t>تنفيذ شبكات وخطوط المياه بمحافظة خيبر</t>
  </si>
  <si>
    <t>AP249</t>
  </si>
  <si>
    <t>تنفيذ خط مياه رئيسي وخزان  وشبكة توزيع رئيسية لوادي الريم وقراها</t>
  </si>
  <si>
    <t>WO#9</t>
  </si>
  <si>
    <t>إصدار أمر الشراء وتوقيع العقد</t>
  </si>
  <si>
    <t>P856</t>
  </si>
  <si>
    <t>تنفيذ خطوط وشبكات الصرف الصحي بمحافظة العلا ( الجزء الاول )</t>
  </si>
  <si>
    <t>WO#06</t>
  </si>
  <si>
    <t>لدى المفاوضات والترسية + مدمج معه مشروع AP252</t>
  </si>
  <si>
    <t>P1864</t>
  </si>
  <si>
    <t>توريد وتركيب مضخات ابار وخطوط الانابيب وملحقاتها لحقل ابار العشاش</t>
  </si>
  <si>
    <t>التحليل الفني</t>
  </si>
  <si>
    <t xml:space="preserve">تحليل فني -جاري ادخال النقاط </t>
  </si>
  <si>
    <t>P860</t>
  </si>
  <si>
    <t>نقل ومعالجة الحماه من محطة معالجة مياه الصرف الصحي بالمدينة المنورة ( الجزء الأول )</t>
  </si>
  <si>
    <t xml:space="preserve"> اعادة الطرح</t>
  </si>
  <si>
    <t>بناء على خطاب سعادة نائب الرئيس لدعم التشغيل رقم 136558/12221/1446 وتاريخ 15-07-2025 حيث  تم التوجيه بالتريث بطرح او ترسية مشاريع انشاء مرادم الحمأة في كافة القطاعات وعليه تم الغاء المنافسة .
المشروع تشغيلي وتم ارسال اميل للتخطيط الاستراتيجي بالقطاع لبحث حالته المستقبليه</t>
  </si>
  <si>
    <t>P921</t>
  </si>
  <si>
    <t>عبارة تصريف مياه الفائض لمحطة معالجة الصرف الصحي بالمدينة المنورة</t>
  </si>
  <si>
    <t>WO #08</t>
  </si>
  <si>
    <t>تم اكتمال التصاميم وبانتظار استكمال الدراسة البيئية التي تم تعميد الاستشاري المصمم بها بنهاية يوليو 2025 .(الدراسة البيئية تتم خلال 03-06 شهور)-
(سيتم اسناد تنفيذ المشروع عن طريق اتفاقية التنفيذ ذات السعر المحدد )</t>
  </si>
  <si>
    <t>ضمن اتفاقية السعر المحدد</t>
  </si>
  <si>
    <t>AP241</t>
  </si>
  <si>
    <t>مشروع انشاء اشياب محطات تعبئة الصهاريج الناقلة للمياه بمنطقة المدينة المنورة</t>
  </si>
  <si>
    <t xml:space="preserve">حسب افادة التخطيط الاستراتيجي يتطلب موافقة كفاءة الانفاق على تحديث النطاق المطلوب وتعزيز التكاليف في التحديث السادس -تم رفع طلب التعزيز في التحديث السادس </t>
  </si>
  <si>
    <t>ALARABIA CONTRACTING</t>
  </si>
  <si>
    <t>P816-2</t>
  </si>
  <si>
    <t>مشروع الخطوط الرئيسية والشبكات بمخطط العوينة والعاقول بالمدينة المنورة</t>
  </si>
  <si>
    <t>تعزيز التكاليف +يدمج  معه مشروع P816-1</t>
  </si>
  <si>
    <t xml:space="preserve">تم ارسال طلب  الموافقة على الترسية الجزئية-تم رفع طلب التعزيز في التحديث السادس جار العمل في المفاوضات والترسية بالمركز الرئيسي على حصر جميع ردود المقاولين للمشاريع ذات الترسية الجزئية </t>
  </si>
  <si>
    <t>شركة الفهد للتجارة والصناعة والمقاولات</t>
  </si>
  <si>
    <t>P848-2</t>
  </si>
  <si>
    <t>تنفيذ خطوط وشبكات الصرف الصحي غرب المدينة المنورة</t>
  </si>
  <si>
    <t xml:space="preserve">التحديث السادس جار العمل في المفاوضات والترسية بالمركز الرئيسي على حصر جميع ردود المقاولين للمشاريع ذات الترسية الجزئية </t>
  </si>
  <si>
    <t>شركة المسار الحديث المحدودة</t>
  </si>
  <si>
    <t>P855</t>
  </si>
  <si>
    <t>تنفيذ خطوط الرئيسية للصرف الصحي شرق المدينة المنورة</t>
  </si>
  <si>
    <t>تعزيز التكاليف+يدمج معه مشروع P867</t>
  </si>
  <si>
    <t>P863</t>
  </si>
  <si>
    <t>تنفيذ خطوط وشبكات الصرف الصحي شمال المدينة المنورة</t>
  </si>
  <si>
    <t>التحديث السادس -تعزيز التكاليف</t>
  </si>
  <si>
    <t>P907</t>
  </si>
  <si>
    <t>تنفيذ خطوط وشبكات مياه منطقة غرب المدينة المنورة</t>
  </si>
  <si>
    <t>WO#01</t>
  </si>
  <si>
    <t xml:space="preserve">حسب افادة التخطيط الاستراتيجي يتطلب موافقة كفاءة الانفاق على تحديث النطاق المطلوب وتعزيز التكاليف في التحديث الخامس-تم رفع طلب التعزيز في التحديث السادس </t>
  </si>
  <si>
    <t>P801</t>
  </si>
  <si>
    <t>تنفيذ الخطوط الرئيسية والفرعية لايصال خدمة الصرف الصحي الى مستشفى التخصصي بحمراء الأسد</t>
  </si>
  <si>
    <t>جاري الإعتماد</t>
  </si>
  <si>
    <t>سيتم تنفيذ المشروع عن طريق اتفاقية السعر المحدد.
بانتظار تعزيز تكاليف المشروع حسب اسعار اتفاقية السعر الموحد لدى التخطيط الاستراتيجي  بالمركز الرئيسي .
تم رفع طلب تحديث القيمة المحدثة للمشروع من قبل إدارة التخطيط الاستراتيجي بالمركز الرئيسي لهيئة كفاءة الانفاق وبانتظار الاعتماد النهائي من فريق العمل الدائم ووزارة المالية.</t>
  </si>
  <si>
    <t>إعادة طرح</t>
  </si>
  <si>
    <t>AP269</t>
  </si>
  <si>
    <t>شبكات مياه في الحناكية و الصميد</t>
  </si>
  <si>
    <t>تحت التنفيذ</t>
  </si>
  <si>
    <t>6. Construction Stage.</t>
  </si>
  <si>
    <t>شركة خالد سليم الاحمدي للمقاولات</t>
  </si>
  <si>
    <t>P917-3</t>
  </si>
  <si>
    <t>تنقيذ شبكات وخطوط مياه قرى المدينة المنورة ( الجزء الثالث )</t>
  </si>
  <si>
    <t>شركة خالد سليم الأحمدي للمقاولات</t>
  </si>
  <si>
    <t>P918</t>
  </si>
  <si>
    <t>مشروع إنشاء خط مياه رئيسي من المسيجيد الى هبت مع محطة ضخ في المسيجيد ومحطة أخرى في بئر الروحاء</t>
  </si>
  <si>
    <t>شركة ميلاف السعودية</t>
  </si>
  <si>
    <t>P832</t>
  </si>
  <si>
    <t>ترحيل خطوط وتنفيذ شبكات بمناطق متفرقة (المرحلة الاولى)</t>
  </si>
  <si>
    <t>توقيع العقد- اعداد العقد</t>
  </si>
  <si>
    <t>توقيع العقد</t>
  </si>
  <si>
    <t>P862</t>
  </si>
  <si>
    <t>تنفيذ خطوط وشبكات الصرف الصحي بمحافظة المهد ( الجزء الاول )</t>
  </si>
  <si>
    <t>شركة المشروعات المتقدمة المحدودة</t>
  </si>
  <si>
    <t>P871</t>
  </si>
  <si>
    <t>تنفيذ خطوط وشبكات الصرف الصحي بمحافظة بدر ( الجزء الأول )</t>
  </si>
  <si>
    <t xml:space="preserve">العاذرية المحدودة للتجارة </t>
  </si>
  <si>
    <t>AP248</t>
  </si>
  <si>
    <t>تنفيذ خطوط وشبكات توزيع المياه بمحافظة وادي الفرع</t>
  </si>
  <si>
    <t>Corner Almwathik Est for Contracting</t>
  </si>
  <si>
    <t>AP264</t>
  </si>
  <si>
    <t>مشروع انشاء شبكات مياه بقريتي المعتدل وقاع الحاج</t>
  </si>
  <si>
    <t xml:space="preserve"> مؤسسة أشغال النهار للمقاولات</t>
  </si>
  <si>
    <t>AP1038-10</t>
  </si>
  <si>
    <t>إتفاقية الخدمات الهندسية الاستشارية لإعداد الدراسات والتصاميم والهندسة القيمية لمشاريع المياه والصرف الصحي بالقطاع الشمالي الغربي عقد رقم (2)</t>
  </si>
  <si>
    <t>مناطق متعددة</t>
  </si>
  <si>
    <t>N/A</t>
  </si>
  <si>
    <t>Dar ALhandash consultants</t>
  </si>
  <si>
    <t>AP1038-9</t>
  </si>
  <si>
    <t>إتفاقية الخدمات الهندسية الاستشارية لإعداد الدراسات والتصاميم والهندسة القيمية لمشاريع المياه والصرف الصحي بالقطاع الشمالي الغربي عقد رقم (1)</t>
  </si>
  <si>
    <t>19/03/20/24</t>
  </si>
  <si>
    <t>AYESA Ingenieria y Arquitectura S.A</t>
  </si>
  <si>
    <t>AP1039-10</t>
  </si>
  <si>
    <t>إتفاقية الخدمات الهندسية الاستشارية للإشراف على مشاريع المياه والصرف الصحي بالقطاع الشمالي الغربي عقد رقم (2)</t>
  </si>
  <si>
    <t>Dorsch Holding GmbH KSA</t>
  </si>
  <si>
    <t>AP1039-9</t>
  </si>
  <si>
    <t>إتفاقية الخدمات الهندسية الاستشارية للإشراف على مشاريع المياه والصرف الصحي بالقطاع الشمالي الغربي عقد رقم (1)</t>
  </si>
  <si>
    <t>Future Consult Engineering Consultancy CO.</t>
  </si>
  <si>
    <t>تنفيذ خطوط الصرف الصحي الرئيسية بمخططات الرانوناء واحياء جنوب المدينة</t>
  </si>
  <si>
    <t>RAWABET AL HAMROOR</t>
  </si>
  <si>
    <t>تنفيذ شبكات الصرف الصحي  بمخططات الرانوناء واحياء جنوب المدينة ( المرحلة الأولى )</t>
  </si>
  <si>
    <t>National Water Works CO.</t>
  </si>
  <si>
    <t>P848-1</t>
  </si>
  <si>
    <t>تنفيذ خط الصرف الصحي الرئيسي بالدعيثة</t>
  </si>
  <si>
    <t>Ebdaa Alhayat</t>
  </si>
  <si>
    <t>مشروع تنفيذ شبكات الصرف الصحي باحياء الجرف بالمدينة المنورة</t>
  </si>
  <si>
    <t>ALBNAYAT ALARBEA CO</t>
  </si>
  <si>
    <t>مشروع انشاء شبكات وخطوط الصرف الصحي بحي الاصيفيرين بالمدينة المنورة</t>
  </si>
  <si>
    <t>SAAD ALI ALESSA GROUP FOR CONTRACTING</t>
  </si>
  <si>
    <t>P877-1</t>
  </si>
  <si>
    <t>اعمال الرفع المساحي لاراضي  واصول المياه والصرف الصحي المستقبلية بمنطقة المدينة المنورة</t>
  </si>
  <si>
    <t>AL EMAD AL ARABY Engineering Consultancy</t>
  </si>
  <si>
    <t>P878</t>
  </si>
  <si>
    <t>احلال شبكات و خطوط مياه - المدينة المنورة</t>
  </si>
  <si>
    <t>BAYAN AL INSHAA CO. CONTRACTING</t>
  </si>
  <si>
    <t>تنفيذ شبكات الصرف الصحي بمحافظات منطقة المدينة المنورة (خطوط رئيسية)</t>
  </si>
  <si>
    <t>AlMousa Group. Ltd</t>
  </si>
  <si>
    <t>تنفيذ شبكات وخطوط مياه بالعوينة والعاقول بالمدينة المنورة</t>
  </si>
  <si>
    <t>EMAR AL Saudia CONTRACTING Co</t>
  </si>
  <si>
    <t>تنفيذ شبكات وخطوط المياه  بالصويدرة بمنطقة المدينة المنورة</t>
  </si>
  <si>
    <t>KHALED SALEEM AL-AHMADI COMPANY</t>
  </si>
  <si>
    <t>تنفيذ شبكة توزيع المياه في حي المحاميد</t>
  </si>
  <si>
    <t>khuzam naser saeed alshahrani est</t>
  </si>
  <si>
    <t>P896-1</t>
  </si>
  <si>
    <t xml:space="preserve">تنفيذ خط خروج خزانات غرب المدينة </t>
  </si>
  <si>
    <t>IBRAHEEM AL FAZI EST</t>
  </si>
  <si>
    <t>P898-1</t>
  </si>
  <si>
    <t>مشروع إستكمال تنفيذ الخطوط الرئيسية والشبكات الفرعية لمخططات شوران ( المرحلة الأولى )</t>
  </si>
  <si>
    <t>adwaa alkhalil for contrcting co.</t>
  </si>
  <si>
    <t>P908</t>
  </si>
  <si>
    <t>تنفيذ شبكات وخطوط المياه بمنطقة جنوب المدينة المنورة</t>
  </si>
  <si>
    <t>Abdul Mohsen Shaaban Al-Qahtani Contracting Company</t>
  </si>
  <si>
    <t>NA-00023</t>
  </si>
  <si>
    <t>خطوط وشبكات المياه بمنطقة شمال وشرق المدينة</t>
  </si>
  <si>
    <t>CAYAN ALMAMLKA CAC CO LTD</t>
  </si>
  <si>
    <t>P894-1</t>
  </si>
  <si>
    <t>مشروع تنفيذ خط المياه الرئيسي في الدائري الثالث شرق المدينة المنورة</t>
  </si>
  <si>
    <t>AL AWALAT FOR INDUST and CONST CO</t>
  </si>
  <si>
    <t>NA-00031</t>
  </si>
  <si>
    <t>إحلال خطوط الاسبستوس ببدر</t>
  </si>
  <si>
    <t>Afaq International Trading and contracting</t>
  </si>
  <si>
    <t>P802</t>
  </si>
  <si>
    <t>مشروع شبكات المياه لايصال الخدمة لمستشفى التخصصي بحمراء الأسد</t>
  </si>
  <si>
    <t>P898-2</t>
  </si>
  <si>
    <t>مشروع إستكمال تنفيذ الخطوط الرئيسية والشبكات الفرعية لمخططات شوران ( المرحلة الثانية )</t>
  </si>
  <si>
    <t>NA-00033</t>
  </si>
  <si>
    <t>خطوط مياه متفرقة بالمدينة المنورة (الجزء الاول)</t>
  </si>
  <si>
    <t>Degat Alabaad Company</t>
  </si>
  <si>
    <t>NA-00034</t>
  </si>
  <si>
    <t>تنفيذ شبكات صرف صحي متفرقة بالمدينة المنورة ( الجزء الأول )</t>
  </si>
  <si>
    <t>AP247</t>
  </si>
  <si>
    <t>تنفيذ خطوط وشبكات توزيع المياه بمحافظة بدر</t>
  </si>
  <si>
    <t>sama alrass</t>
  </si>
  <si>
    <t>AP243</t>
  </si>
  <si>
    <t>تنفيذ خطوط وشبكات توزيع المياه لمحافظة العيص ( المرحلة الأولى )</t>
  </si>
  <si>
    <t>AP251</t>
  </si>
  <si>
    <t>تنفيذ مشاريع إيصال خدمات الصرف الصحي لمخططات الإسكان بالمدينة المنورة ( 4 مواقع )</t>
  </si>
  <si>
    <t>شركة آشي وبشناق للمقاولات</t>
  </si>
  <si>
    <t>P824</t>
  </si>
  <si>
    <t>تنفيذ خط المياه الرئيسي الخاص من موقع الخزانات الاستراتيجية الى المسجد النبوي ومنطقة التطوير</t>
  </si>
  <si>
    <t>شركة مطلق الغويري للمقاولات</t>
  </si>
  <si>
    <t>P825</t>
  </si>
  <si>
    <t>خط المياه الرئيسي بالدائري الأوسط بالمدينة المنورة</t>
  </si>
  <si>
    <t>29/03//2028</t>
  </si>
  <si>
    <t>Branch of Shibh Al Jazira Contracting Company</t>
  </si>
  <si>
    <t>P829</t>
  </si>
  <si>
    <t>تنفيذ خط المياه الرئيسي لتغذية توسعة المطار</t>
  </si>
  <si>
    <t xml:space="preserve"> Degat Alabaad Company</t>
  </si>
  <si>
    <t>P852</t>
  </si>
  <si>
    <t>مشروع استكمال شبكات الصرف الصحى لحى البرماوية</t>
  </si>
  <si>
    <t>شركة الرخيص للمقاولات</t>
  </si>
  <si>
    <t>P861</t>
  </si>
  <si>
    <t>تنفيذ خطوط وشبكات الصرف الصحي مخطط جبل عير</t>
  </si>
  <si>
    <t>29/11/20225</t>
  </si>
  <si>
    <t>NA-00112</t>
  </si>
  <si>
    <t>استبدال خطوط وشبكات المياه المتهالكة  بالمدينة المنورة</t>
  </si>
  <si>
    <t>tharwat almajd for general contracting</t>
  </si>
  <si>
    <t>خطوط فرعية وتوصيلات منزلية للصرف الصحي مع إعادة تاهيل محطة الضخ بينبع</t>
  </si>
  <si>
    <t>المدن الساحلية</t>
  </si>
  <si>
    <t>Alazm Building &amp;Construction Co</t>
  </si>
  <si>
    <t>تنفيذ توصيلات منزلية للصرف الصحي محافظة ينبع</t>
  </si>
  <si>
    <t>MANSOOR AL-MAHMOOD CONTRACTING EST.</t>
  </si>
  <si>
    <t>إحلال شبكات وخطوط مياه بمدينة ينبع</t>
  </si>
  <si>
    <t>CONSTRUCTION NET CONTRACTING EST</t>
  </si>
  <si>
    <t>AP235</t>
  </si>
  <si>
    <t>Implementation of SCADA RFP requirement across Tabuk Region</t>
  </si>
  <si>
    <t>تبوك</t>
  </si>
  <si>
    <t>P1465-3</t>
  </si>
  <si>
    <t>مشروع كشف وإصلاح التسربات الغير ظاهرة محافظتي تبوك وتيماء</t>
  </si>
  <si>
    <t>P1465-4</t>
  </si>
  <si>
    <t>مشروع خفض الفاقد وادراة الضغوط بمحافظات تبوك</t>
  </si>
  <si>
    <t>P1493</t>
  </si>
  <si>
    <t>مشروع تسوير مواقع محطات الضخ والمعالجة بمدينة تبوك والمحافظات.</t>
  </si>
  <si>
    <t>حاليا (امن وسلامة) وسيتم اداراتها من المشاريع</t>
  </si>
  <si>
    <t>AP263</t>
  </si>
  <si>
    <t>مشروع اعمال إعادة التأهيل البيئي لمصبات الطوارئ و بحيرات المفيض و المواقع المتضررة بيئيآ بمنطقة تبوك</t>
  </si>
  <si>
    <t>يتم إلغاء المشروع بناء على توصيات الهيئة السعودية للمياه، حيث تم نقل المحطة إلى الهيئة بحكم الاختصاص</t>
  </si>
  <si>
    <t>P1519</t>
  </si>
  <si>
    <t>مشروع إنشاء خط المفيض بطول 21 كم من محطة الضخ الرئيسية إلى قاع شرورة</t>
  </si>
  <si>
    <t xml:space="preserve">يتم حذف المشروع بسبب عدم توافقه مع الاشتراطات البيئية المحدثة حيث يمنع تصريف المياه الخام على الاودية مباشرة ويلزم تخزينها </t>
  </si>
  <si>
    <t>P1506</t>
  </si>
  <si>
    <t>مشروع تنفيذ خطوط ناقلة للمياه ومجمع ضخ وخزانات بحقل الآبار بمحافظة تيماء</t>
  </si>
  <si>
    <t>تيماء</t>
  </si>
  <si>
    <t>بسبب عدم جاهزية نظام نقل تبوك العلا الذي سيتم تنفيذه من قبل شركة نقل المياه، ولضمان ترابط منظومة النقل والتوزيع وتزامن تنفيذها سيتم تأجيل تنفيذ هذا المشروع والاستفادة من تكاليفه لتنفيذ مشاريع اخرى ذات أولوية</t>
  </si>
  <si>
    <t>AP258</t>
  </si>
  <si>
    <t>تنفيذ مشاريع إيصال خدمات الصرف الصحي لمخططات الإسكان بالوجه (موقعين)</t>
  </si>
  <si>
    <t>الوجه</t>
  </si>
  <si>
    <t>P1504-2</t>
  </si>
  <si>
    <t>تنفيذ خطوط نقل رئيسية من محطة الوجه لتحلية المياه لإمداد الكر / أبو القزاز والقرى الجاورة</t>
  </si>
  <si>
    <t>P1504-6</t>
  </si>
  <si>
    <t>نفيذ خطوط نقل رئيسية وتنفيذ تغطية شبكة إلى الرس</t>
  </si>
  <si>
    <t>P1504-7</t>
  </si>
  <si>
    <t>تنفيذ خزانات وخطوط الربط داخل مدينة الوجه</t>
  </si>
  <si>
    <t>AP250</t>
  </si>
  <si>
    <t>تنفيذ شبكات المياه بمدينة املج</t>
  </si>
  <si>
    <t>املج</t>
  </si>
  <si>
    <t>AP261</t>
  </si>
  <si>
    <t>تنفيذ مشاريع إيصال خدمات الصرف الصحي لمخططات الإسكان بأملج</t>
  </si>
  <si>
    <t>AP237</t>
  </si>
  <si>
    <t>Implementation of GIS RFP requirement across Tabuk Region</t>
  </si>
  <si>
    <t>P1507-1</t>
  </si>
  <si>
    <t>تنفيذ شبكات المياه والخطوط الرئيسية بمدينة ضباء</t>
  </si>
  <si>
    <t>ضباء</t>
  </si>
  <si>
    <t>P1507-2</t>
  </si>
  <si>
    <t>تنفيذ خطوط  المياه الرئيسية و شبكة التوزيع  في قرية العامود ونبع داما</t>
  </si>
  <si>
    <t>المشروع مرتبط بتنفيذ خط ناقل ضمن مبادرات الحلول السريعة، بالإضافة إلى أن المشروع متقاطع مع نطاق هيئة تطوير ينبع وأملج والوجه وضباء ومحمية الأمير محمد بن سلمان</t>
  </si>
  <si>
    <t>P1494</t>
  </si>
  <si>
    <t>مشروع انشاء الطرق الموصلة الى محطات الضخ والمعالجة بمنطقة تبوك</t>
  </si>
  <si>
    <t>تم اعتماد دراسة الجدوى - لا يزال في مرحلة التصميم 30%</t>
  </si>
  <si>
    <t>اتفاقية التصميم التكميليه</t>
  </si>
  <si>
    <t>AP245</t>
  </si>
  <si>
    <t>انشاء بحيرات وأحواض التجفيف والتبخير للمياه  بمنطقة تبوك</t>
  </si>
  <si>
    <t>6</t>
  </si>
  <si>
    <t>دراسة الجدوى لدى القطاع لتعديل الملاحظات
تم اعتماد مرحلة التصميم 30%</t>
  </si>
  <si>
    <t>P1492</t>
  </si>
  <si>
    <t>مشروع تنفيذ الحماية من أخطار السيول لمواقع محطات الضخ والمعالجة بمنطقة تبوك</t>
  </si>
  <si>
    <t>دراسة الجدوى لدى القطاع لتعديل تالملاحظات
تم اعتماد مرحلة التصميم 30%</t>
  </si>
  <si>
    <t>P1490-1</t>
  </si>
  <si>
    <t>إعادة تأهيل محطة معالجة مياه الصرف الصحي بتبوك</t>
  </si>
  <si>
    <t>المشروع تشغيلي (إدارة التشغيل والصيانة 
تم الموافقة علي طلب الاستثناء واستكمال الطرح التقليدي
تم رفع نموذج الطرح بدون ارتباط لوجود تحديث في المسمى والنطاقات</t>
  </si>
  <si>
    <t>AP233</t>
  </si>
  <si>
    <t>تنفيذ البنية التحتية لجرعات الكلور الآلي في الخزانات الموجودة بمنطقة تبوك</t>
  </si>
  <si>
    <t>تسليم الموقع</t>
  </si>
  <si>
    <t xml:space="preserve">يتبع التشغيل والصيانة - تم توقيع العقد 14-09-2025
</t>
  </si>
  <si>
    <t>شركة الأداء المتوازن للمقاولات</t>
  </si>
  <si>
    <t>P1475-1</t>
  </si>
  <si>
    <t>تنفيذ شبكات  الصرف الصحي لاحياء  شرق تبوك ( المرحلة الاولى)</t>
  </si>
  <si>
    <t>P1509-1</t>
  </si>
  <si>
    <t>مشروع تنفيذ شبكات وخطوط رئيسية للمياه باحياء شرق تبوك ( الجزء الأول )</t>
  </si>
  <si>
    <t xml:space="preserve">مراجعة المستندات بالمشتريات قبل الطرح
</t>
  </si>
  <si>
    <t>حسب افادة الاخوة الزملاء بسلاسل الامداد بالمركز الرئيسي جاري حالياً رفع أمر تغيير لاستحداث البنود الإضافية من قبل إدارة الخدمات الفنية بالمركز الرئيسي لإضافاتها ضمن اتفاقيات تنفيذ شبكات المياه والصرف الصحي بالسعر المحدد. وعليه في حال تم اعتماد واضافة تلك البنود يتم إدراج المشروع ضمن الاتفاقية.
جاري اعداد نموذج الطرح بدون ارتباط.</t>
  </si>
  <si>
    <t>مراجعة مستندات</t>
  </si>
  <si>
    <t>AP242</t>
  </si>
  <si>
    <t>أعمال ربط الخطوط الرئيسية ومحطات الضخ لشبكات مدينة تبوك بالمشروع الشامل والخطوط الناقلة من محطة التحلية الساحلية والخزانات الاستراتيجة</t>
  </si>
  <si>
    <t>WO#05</t>
  </si>
  <si>
    <t>مرحلة التفاوض مع المقاولين</t>
  </si>
  <si>
    <t>P1501</t>
  </si>
  <si>
    <t>انشاء خزانات تشغيلية في مدينة تبوك في مواقع السنابل والشفا بمدينة تبوك</t>
  </si>
  <si>
    <t>شركة أضواء الخليل للمقاولات</t>
  </si>
  <si>
    <t>P1475-2</t>
  </si>
  <si>
    <t>تنفيذ شبكات  الصرف الصحي لاحياء  شرق تبوك ( المرحلة الثانبة)</t>
  </si>
  <si>
    <t xml:space="preserve">جاري إعداد محضر فحص العروض بانتظار إفادة إدارة المشاريع المتعلقة بتأمين التكاليف ووزن البنود </t>
  </si>
  <si>
    <t>P1495</t>
  </si>
  <si>
    <t>توريد وتركيب مهمات ميكانيكية وكهربائية بمواقع أعمال المياه</t>
  </si>
  <si>
    <t>اعادة طرح</t>
  </si>
  <si>
    <t>حول لإدارة التميز التشغيلي</t>
  </si>
  <si>
    <t>P1512</t>
  </si>
  <si>
    <t>مشروع عقد شبكات وأعمال مواقع  مياه الشرب بمركز العيينة - تبوك</t>
  </si>
  <si>
    <t>تم اعتماد التقييم الفني إلا أن هناك مشكلة تقنية تمنع ظهور (عكس) هذا الاعتماد في النظام – تم رفع تذكرة لحل المشكلة</t>
  </si>
  <si>
    <t>AP3501</t>
  </si>
  <si>
    <t>استكمال مشروع توسعة محطة المعالجة بأملج</t>
  </si>
  <si>
    <t>مراجعة المستندات بالمشتريات قبل الطرح</t>
  </si>
  <si>
    <t>تمت  الموافقة على المشروع من قبل هيئة ينبع وأملج والوجه وضباء.
تم اعتماد نموذج الطرح بدون ارتباط مالي وتم الرفع للمشتريات</t>
  </si>
  <si>
    <t>AP253</t>
  </si>
  <si>
    <t>تنفيذ مشاريع إيصال خدمات الصرف الصحي لمخططات الإسكان بتبوك ( 3 مواقع)</t>
  </si>
  <si>
    <t xml:space="preserve">تم رفع طلب تعزيز في التحديث الخامس وفي انتظار اعتماده، علما بأن مبلغ التعزيز يغطي قيمة اقل العروض (47,610,000). </t>
  </si>
  <si>
    <t>شركة نفود العاذرية للمقاولات</t>
  </si>
  <si>
    <t>AP254</t>
  </si>
  <si>
    <t>مشروع ايصال المياه لمنفذ الدرة الحدودي</t>
  </si>
  <si>
    <t>حقل</t>
  </si>
  <si>
    <t>شركة الأولات للصناعة والإنشاء المحدودة</t>
  </si>
  <si>
    <t>AP256</t>
  </si>
  <si>
    <t>مشروع ايصال المياه لمنفذ حالة عمار الحدودي</t>
  </si>
  <si>
    <t xml:space="preserve">تم اصدار طلب الشراء المعزز
توقيع العقد
</t>
  </si>
  <si>
    <t>شركة فهد ماضي جمعان المجول للمقاولات المعمارية</t>
  </si>
  <si>
    <t>AP259</t>
  </si>
  <si>
    <t>تنفيذ نظام لنقل مياه الصرف الصحي للمنطقة السكنية لمنقذ الدرة بحقل</t>
  </si>
  <si>
    <t>P1465-2</t>
  </si>
  <si>
    <t>احلال وتجديد  شبكات المياه بمنطقة تبوك المرحلة الأولى</t>
  </si>
  <si>
    <t>شركة إثمار التشييد والبناء للمقاولات</t>
  </si>
  <si>
    <t>P1471</t>
  </si>
  <si>
    <t>مشروع استكمال تنفيذ شبكات وتوصيلات الصرف الصحي بحي السبخة بحقل</t>
  </si>
  <si>
    <t>تحت التنفيذ-مفسوخ تم اعادة الطرح</t>
  </si>
  <si>
    <t>تحت التنفيذ / تم الفسخ</t>
  </si>
  <si>
    <t>P1474</t>
  </si>
  <si>
    <t>انشاء خطوط رئيسية وشبكات الصرف الصحي بتبوك المرحلة الخامسة عشر</t>
  </si>
  <si>
    <t>Aqua Arabia for Water Company</t>
  </si>
  <si>
    <t>P1475-4</t>
  </si>
  <si>
    <t>تنفيذ شبكة صرف صحي لاحياء شمال تبوك ( المرحلة الثانية )</t>
  </si>
  <si>
    <t>شركة موارد الالات للتجارة والمقاولات المحدودة</t>
  </si>
  <si>
    <t>مشروع انشاء محطة تنقية مياه الشرب للقليبة بمنطقة تبوك سعة 1000 م3-يوم</t>
  </si>
  <si>
    <t>Wabra Contractor Est</t>
  </si>
  <si>
    <t>P1488</t>
  </si>
  <si>
    <t>مشروع انشاء محطة تنقية مياه الشرب لفجر  بمنطقة تبوك سعة 500 م3\يوم</t>
  </si>
  <si>
    <t>مشروع استكمال شبكات المياه وأعمال الربط للخطوط الرئيسية وأعمال مواقع المياه بمدينة تبوك</t>
  </si>
  <si>
    <t>26-Mar-24 A</t>
  </si>
  <si>
    <t>29-Oct-24 A</t>
  </si>
  <si>
    <t>P1502</t>
  </si>
  <si>
    <t>مشروع انشاء خطوط ناقلة وموقع اعمال مياه ومحطة ضخ بمدينة حقل</t>
  </si>
  <si>
    <t>26-Dec-24 A</t>
  </si>
  <si>
    <t>31-May-25 A</t>
  </si>
  <si>
    <t>BINMADI COMPANY LTD</t>
  </si>
  <si>
    <t>مشروع انشاء شبكات مياه الشرب لحي الرايس بمدينة تبوك</t>
  </si>
  <si>
    <t>01-Oct-24 A</t>
  </si>
  <si>
    <t>30-Nov-24 A</t>
  </si>
  <si>
    <t>NFOUD ALATHEREIA CONTRACTING COMPANY</t>
  </si>
  <si>
    <t>P877-2</t>
  </si>
  <si>
    <t>اعمال الرفع المساحي لاراضي  واصول المياه والصرف الصحي المستقبلية بمنطقة اتبوك</t>
  </si>
  <si>
    <t>NA</t>
  </si>
  <si>
    <t>JZAAR.A.A.FOR ARCHITECT CONSULTATION.OFFIES</t>
  </si>
  <si>
    <t>AP1189</t>
  </si>
  <si>
    <t>استكمال انشاء خطوط رئيسية وشبكات الصرف الصحي بتبوك المرحلة الثالثة عشر</t>
  </si>
  <si>
    <t>01-Dec-24 A</t>
  </si>
  <si>
    <t>26-Mar-25 A</t>
  </si>
  <si>
    <t>kenan arabian cpntracting est</t>
  </si>
  <si>
    <t>P1469</t>
  </si>
  <si>
    <t>مشروع استكمال شبكات الصرف الصحي في حي الرحمانية تيماء المرحلة السادسة</t>
  </si>
  <si>
    <t>28-Dec-24 A</t>
  </si>
  <si>
    <t>15-Mar-25 A</t>
  </si>
  <si>
    <t>first basics contracting company</t>
  </si>
  <si>
    <t>P1498</t>
  </si>
  <si>
    <t xml:space="preserve">شبكات المياه باحياء النظيم وجنوب تبوك </t>
  </si>
  <si>
    <t>31-Oct-24 A</t>
  </si>
  <si>
    <t>basmat altsheed com</t>
  </si>
  <si>
    <t>AP244</t>
  </si>
  <si>
    <t>انشاء مصبات الصهاريج بمحطات معالجة الصرف الصحي بمنطقة تبوك</t>
  </si>
  <si>
    <t>Aladaa-Almotawazen Contracting Company</t>
  </si>
  <si>
    <t>AP257</t>
  </si>
  <si>
    <t>تنفيذ نظام لنقل مياه الصرف الصحي لمنفذ الدرة بحقل</t>
  </si>
  <si>
    <t>P1475-3</t>
  </si>
  <si>
    <t>تنفيذ شبكة صرف صحي لاحياء شمال تبوك ( المرحلة الأولى )</t>
  </si>
  <si>
    <t>P1515</t>
  </si>
  <si>
    <t>مشروع إعادة تأهيل شبكات المياه بمنطقة تبوك</t>
  </si>
  <si>
    <t>Rawasi Albinaa Investment Holding Company</t>
  </si>
  <si>
    <t>O1021</t>
  </si>
  <si>
    <t>استكمال مشروع انشاء شبكات مياه الشرب بقرية المعظم بتبوك</t>
  </si>
  <si>
    <t>O1014</t>
  </si>
  <si>
    <t>استكمال مشروع توسعة محطة المعالجة باملج الى المرحلة الثلاثية</t>
  </si>
  <si>
    <t>06-Oct-24 A</t>
  </si>
  <si>
    <t>01-Mar-25 A</t>
  </si>
  <si>
    <t>O922</t>
  </si>
  <si>
    <t>استكمال شبكات مياه المرحلة التاسعة في مدينة تبوك احياء النخيل و التعاون و غرناطة</t>
  </si>
  <si>
    <t>23-Apr-25 A</t>
  </si>
  <si>
    <t>04-Oct-25 A</t>
  </si>
  <si>
    <t>Activity ID</t>
  </si>
  <si>
    <t>Activity Name</t>
  </si>
  <si>
    <t>Original Duration</t>
  </si>
  <si>
    <t>Start</t>
  </si>
  <si>
    <t>Finish</t>
  </si>
  <si>
    <t>Budgeted Total Cost</t>
  </si>
  <si>
    <t>Activity Count</t>
  </si>
  <si>
    <t>Level 1 Master Schedule - Northwestern Clauster</t>
  </si>
  <si>
    <t xml:space="preserve">  NWestern Cluster</t>
  </si>
  <si>
    <t xml:space="preserve">    Tabuk Business Unit</t>
  </si>
  <si>
    <t xml:space="preserve">      TU.S</t>
  </si>
  <si>
    <t>1ST PACKAGE. TABUK BUSINESS UNIT START</t>
  </si>
  <si>
    <t xml:space="preserve">      TU.F</t>
  </si>
  <si>
    <t>1ST PACKAGE. TABUK BUSINESS UNIT FINISH</t>
  </si>
  <si>
    <t xml:space="preserve">      Implementation of SCADA RFP requirement across Tabuk Region</t>
  </si>
  <si>
    <t xml:space="preserve">        TA53.1</t>
  </si>
  <si>
    <t>REGISTRATION</t>
  </si>
  <si>
    <t xml:space="preserve">        TA53.2</t>
  </si>
  <si>
    <t>INITIAL PLANNING</t>
  </si>
  <si>
    <t xml:space="preserve">        TA53.3</t>
  </si>
  <si>
    <t>TENDER FOR DESIGN</t>
  </si>
  <si>
    <t xml:space="preserve">        TA53.4</t>
  </si>
  <si>
    <t>DESIGN</t>
  </si>
  <si>
    <t xml:space="preserve">        TA53.5</t>
  </si>
  <si>
    <t>TENDER FOR CONSTRUCTION</t>
  </si>
  <si>
    <t xml:space="preserve">        TA53.6</t>
  </si>
  <si>
    <t>CONSTRUCTION</t>
  </si>
  <si>
    <t xml:space="preserve">        TA53.7</t>
  </si>
  <si>
    <t>TESTING &amp; COMMISSIONING</t>
  </si>
  <si>
    <t xml:space="preserve">        TA53.8</t>
  </si>
  <si>
    <t>HANDOVER</t>
  </si>
  <si>
    <t xml:space="preserve">      مشروع كشف وإصلاح التسربات الغير ظاهرة محافظتي تبوك وتيماء</t>
  </si>
  <si>
    <t xml:space="preserve">        TA53.09</t>
  </si>
  <si>
    <t xml:space="preserve">        TA53.11</t>
  </si>
  <si>
    <t xml:space="preserve">        TA53.10</t>
  </si>
  <si>
    <t xml:space="preserve">        TA53.12</t>
  </si>
  <si>
    <t xml:space="preserve">        TA53.13</t>
  </si>
  <si>
    <t xml:space="preserve">        TA53.14</t>
  </si>
  <si>
    <t xml:space="preserve">        TA53.15</t>
  </si>
  <si>
    <t xml:space="preserve">        TA53.16</t>
  </si>
  <si>
    <t xml:space="preserve">      مشروع خفض الفاقد وادراة الضغوط بمحافظات تبوك</t>
  </si>
  <si>
    <t xml:space="preserve">        TA53.17</t>
  </si>
  <si>
    <t xml:space="preserve">        TA53.19</t>
  </si>
  <si>
    <t xml:space="preserve">        TA53.18</t>
  </si>
  <si>
    <t xml:space="preserve">        TA53.20</t>
  </si>
  <si>
    <t xml:space="preserve">        TA53.21</t>
  </si>
  <si>
    <t xml:space="preserve">        TA53.22</t>
  </si>
  <si>
    <t xml:space="preserve">        TA53.23</t>
  </si>
  <si>
    <t xml:space="preserve">        TA53.24</t>
  </si>
  <si>
    <t xml:space="preserve">      مشروع تسوير مواقع محطات الضخ والمعالجة بمدينة تبوك والمحافظات</t>
  </si>
  <si>
    <t xml:space="preserve">        TA53.25</t>
  </si>
  <si>
    <t xml:space="preserve">        TA53.27</t>
  </si>
  <si>
    <t xml:space="preserve">        TA53.26</t>
  </si>
  <si>
    <t xml:space="preserve">        TA53.28</t>
  </si>
  <si>
    <t xml:space="preserve">        TA53.29</t>
  </si>
  <si>
    <t xml:space="preserve">        TA53.30</t>
  </si>
  <si>
    <t xml:space="preserve">        TA53.31</t>
  </si>
  <si>
    <t xml:space="preserve">        TA53.32</t>
  </si>
  <si>
    <t xml:space="preserve">      مشروع اعمال إعادة التأهيل البيئي لمصبات الطوارئ و بحيرات المفيض و المواقع المتضررة بيئيآ بمنطقة تبوك</t>
  </si>
  <si>
    <t xml:space="preserve">        TA53.33</t>
  </si>
  <si>
    <t xml:space="preserve">        TA53.35</t>
  </si>
  <si>
    <t xml:space="preserve">        TA53.34</t>
  </si>
  <si>
    <t xml:space="preserve">        TA53.36</t>
  </si>
  <si>
    <t xml:space="preserve">        TA53.37</t>
  </si>
  <si>
    <t xml:space="preserve">        TA53.38</t>
  </si>
  <si>
    <t xml:space="preserve">        TA53.39</t>
  </si>
  <si>
    <t xml:space="preserve">        TA53.40</t>
  </si>
  <si>
    <t xml:space="preserve">      مشروع إنشاء خط المفيض بطول 21 كم من محطة الضخ الرئيسية إلى قاع شرورة</t>
  </si>
  <si>
    <t xml:space="preserve">        TA53.41</t>
  </si>
  <si>
    <t xml:space="preserve">        TA53.43</t>
  </si>
  <si>
    <t xml:space="preserve">        TA53.42</t>
  </si>
  <si>
    <t xml:space="preserve">        TA53.44</t>
  </si>
  <si>
    <t xml:space="preserve">        TA53.45</t>
  </si>
  <si>
    <t xml:space="preserve">        TA53.46</t>
  </si>
  <si>
    <t xml:space="preserve">        TA53.47</t>
  </si>
  <si>
    <t xml:space="preserve">        TA53.48</t>
  </si>
  <si>
    <t xml:space="preserve">      مشروع تنفيذ خطوط ناقلة للمياه ومجمع ضخ وخزانات بحقل الآبار بمحافظة تيماء</t>
  </si>
  <si>
    <t xml:space="preserve">        TA53.49</t>
  </si>
  <si>
    <t xml:space="preserve">        TA53.51</t>
  </si>
  <si>
    <t xml:space="preserve">        TA53.50</t>
  </si>
  <si>
    <t xml:space="preserve">        TA53.52</t>
  </si>
  <si>
    <t xml:space="preserve">        TA53.53</t>
  </si>
  <si>
    <t xml:space="preserve">        TA53.54</t>
  </si>
  <si>
    <t xml:space="preserve">        TA53.55</t>
  </si>
  <si>
    <t xml:space="preserve">        TA53.56</t>
  </si>
  <si>
    <t xml:space="preserve">      تنفيذ مشاريع إيصال خدمات الصرف الصحي لمخططات الإسكان بالوجه (موقعين)</t>
  </si>
  <si>
    <t xml:space="preserve">        TA53.57</t>
  </si>
  <si>
    <t xml:space="preserve">        TA53.59</t>
  </si>
  <si>
    <t xml:space="preserve">        TA53.58</t>
  </si>
  <si>
    <t xml:space="preserve">        TA53.60</t>
  </si>
  <si>
    <t xml:space="preserve">        TA53.61</t>
  </si>
  <si>
    <t xml:space="preserve">        TA53.62</t>
  </si>
  <si>
    <t xml:space="preserve">        TA53.63</t>
  </si>
  <si>
    <t xml:space="preserve">        TA53.64</t>
  </si>
  <si>
    <t xml:space="preserve">      تنفيذ خطوط نقل رئيسية من محطة الوجه لتحلية المياه لإمداد الكر / أبو القزاز والقرى الجاورة</t>
  </si>
  <si>
    <t xml:space="preserve">        TA53.65</t>
  </si>
  <si>
    <t xml:space="preserve">        TA53.67</t>
  </si>
  <si>
    <t xml:space="preserve">        TA53.66</t>
  </si>
  <si>
    <t xml:space="preserve">        TA53.68</t>
  </si>
  <si>
    <t xml:space="preserve">        TA53.69</t>
  </si>
  <si>
    <t xml:space="preserve">        TA53.70</t>
  </si>
  <si>
    <t xml:space="preserve">        TA53.71</t>
  </si>
  <si>
    <t xml:space="preserve">        TA53.72</t>
  </si>
  <si>
    <t xml:space="preserve">      نفيذ خطوط نقل رئيسية وتنفيذ تغطية شبكة إلى الرس</t>
  </si>
  <si>
    <t xml:space="preserve">        TA53.73</t>
  </si>
  <si>
    <t xml:space="preserve">        TA53.75</t>
  </si>
  <si>
    <t xml:space="preserve">        TA53.74</t>
  </si>
  <si>
    <t xml:space="preserve">        TA53.76</t>
  </si>
  <si>
    <t xml:space="preserve">        TA53.77</t>
  </si>
  <si>
    <t xml:space="preserve">        TA53.78</t>
  </si>
  <si>
    <t xml:space="preserve">        TA53.79</t>
  </si>
  <si>
    <t xml:space="preserve">        TA53.80</t>
  </si>
  <si>
    <t xml:space="preserve">      تنفيذ خزانات وخطوط الربط داخل مدينة الوجه</t>
  </si>
  <si>
    <t xml:space="preserve">        TA53.81</t>
  </si>
  <si>
    <t xml:space="preserve">        TA53.83</t>
  </si>
  <si>
    <t xml:space="preserve">        TA53.82</t>
  </si>
  <si>
    <t xml:space="preserve">        TA53.84</t>
  </si>
  <si>
    <t xml:space="preserve">        TA53.85</t>
  </si>
  <si>
    <t xml:space="preserve">        TA53.86</t>
  </si>
  <si>
    <t xml:space="preserve">        TA53.87</t>
  </si>
  <si>
    <t xml:space="preserve">        TA53.88</t>
  </si>
  <si>
    <t xml:space="preserve">      تنفيذ شبكات المياه بمدينة املج</t>
  </si>
  <si>
    <t xml:space="preserve">        TA53.89</t>
  </si>
  <si>
    <t xml:space="preserve">        TA53.91</t>
  </si>
  <si>
    <t xml:space="preserve">        TA53.90</t>
  </si>
  <si>
    <t xml:space="preserve">        TA53.92</t>
  </si>
  <si>
    <t xml:space="preserve">        TA53.93</t>
  </si>
  <si>
    <t xml:space="preserve">        TA53.94</t>
  </si>
  <si>
    <t xml:space="preserve">        TA53.95</t>
  </si>
  <si>
    <t xml:space="preserve">        TA53.96</t>
  </si>
  <si>
    <t xml:space="preserve">      تنفيذ مشاريع إيصال خدمات الصرف الصحي لمخططات الإسكان بأملج</t>
  </si>
  <si>
    <t xml:space="preserve">        TA53.97</t>
  </si>
  <si>
    <t xml:space="preserve">        TA53.99</t>
  </si>
  <si>
    <t xml:space="preserve">        TA53.98</t>
  </si>
  <si>
    <t xml:space="preserve">        TA53.100</t>
  </si>
  <si>
    <t xml:space="preserve">        TA53.101</t>
  </si>
  <si>
    <t xml:space="preserve">        TA53.102</t>
  </si>
  <si>
    <t xml:space="preserve">        TA53.103</t>
  </si>
  <si>
    <t xml:space="preserve">        TA53.104</t>
  </si>
  <si>
    <t xml:space="preserve">      Implementation of GIS RFP requirement across Tabuk Region</t>
  </si>
  <si>
    <t xml:space="preserve">        TA53.105</t>
  </si>
  <si>
    <t xml:space="preserve">        TA53.107</t>
  </si>
  <si>
    <t xml:space="preserve">        TA53.106</t>
  </si>
  <si>
    <t xml:space="preserve">        TA53.108</t>
  </si>
  <si>
    <t xml:space="preserve">        TA53.109</t>
  </si>
  <si>
    <t xml:space="preserve">        TA53.110</t>
  </si>
  <si>
    <t xml:space="preserve">        TA53.111</t>
  </si>
  <si>
    <t xml:space="preserve">        TA53.112</t>
  </si>
  <si>
    <t xml:space="preserve">      تنفيذ شبكات المياه والخطوط الرئيسية بمدينة ضباء</t>
  </si>
  <si>
    <t xml:space="preserve">        TA53.113</t>
  </si>
  <si>
    <t xml:space="preserve">        TA53.115</t>
  </si>
  <si>
    <t xml:space="preserve">        TA53.114</t>
  </si>
  <si>
    <t xml:space="preserve">        TA53.116</t>
  </si>
  <si>
    <t xml:space="preserve">        TA53.117</t>
  </si>
  <si>
    <t xml:space="preserve">        TA53.118</t>
  </si>
  <si>
    <t xml:space="preserve">        TA53.119</t>
  </si>
  <si>
    <t xml:space="preserve">        TA53.120</t>
  </si>
  <si>
    <t xml:space="preserve">      تنفيذ خطوط  المياه الرئيسية و شبكة التوزيع  في قرية العامود ونبع داما</t>
  </si>
  <si>
    <t xml:space="preserve">        TA53.121</t>
  </si>
  <si>
    <t xml:space="preserve">        TA53.123</t>
  </si>
  <si>
    <t xml:space="preserve">        TA53.122</t>
  </si>
  <si>
    <t xml:space="preserve">        TA53.124</t>
  </si>
  <si>
    <t xml:space="preserve">        TA53.125</t>
  </si>
  <si>
    <t xml:space="preserve">        TA53.126</t>
  </si>
  <si>
    <t xml:space="preserve">        TA53.127</t>
  </si>
  <si>
    <t xml:space="preserve">        TA53.128</t>
  </si>
  <si>
    <t xml:space="preserve">      مشروع انشاء الطرق الموصلة الى محطات الضخ والمعالجة بمنطقة تبوك</t>
  </si>
  <si>
    <t xml:space="preserve">        TA53.132</t>
  </si>
  <si>
    <t xml:space="preserve">        TA53.133</t>
  </si>
  <si>
    <t xml:space="preserve">        TA53.134</t>
  </si>
  <si>
    <t xml:space="preserve">        TA53.135</t>
  </si>
  <si>
    <t xml:space="preserve">        TA53.136</t>
  </si>
  <si>
    <t xml:space="preserve">      انشاء بحيرات وأحواض التجفيف والتبخير للمياه  بمنطقة تبوك</t>
  </si>
  <si>
    <t xml:space="preserve">        TA53.140</t>
  </si>
  <si>
    <t xml:space="preserve">        TA53.141</t>
  </si>
  <si>
    <t xml:space="preserve">        TA53.142</t>
  </si>
  <si>
    <t xml:space="preserve">        TA53.143</t>
  </si>
  <si>
    <t xml:space="preserve">        TA53.144</t>
  </si>
  <si>
    <t xml:space="preserve">      مشروع تنفيذ الحماية من أخطار السيول لمواقع محطات الضخ والمعالجة بمنطقة تبوك</t>
  </si>
  <si>
    <t xml:space="preserve">        TA53.148</t>
  </si>
  <si>
    <t xml:space="preserve">        TA53.149</t>
  </si>
  <si>
    <t xml:space="preserve">        TA53.150</t>
  </si>
  <si>
    <t xml:space="preserve">        TA53.151</t>
  </si>
  <si>
    <t xml:space="preserve">        TA53.152</t>
  </si>
  <si>
    <t xml:space="preserve">      إعادة تأهيل محطة معالجة مياه الصرف الصحي بتبوك</t>
  </si>
  <si>
    <t xml:space="preserve">        TA53.157</t>
  </si>
  <si>
    <t xml:space="preserve">        TA53.158</t>
  </si>
  <si>
    <t xml:space="preserve">        TA53.159</t>
  </si>
  <si>
    <t xml:space="preserve">        TA53.160</t>
  </si>
  <si>
    <t xml:space="preserve">      تنفيذ البنية التحتية لجرعات الكلور الآلي في الخزانات الموجودة بمنطقة تبوك</t>
  </si>
  <si>
    <t xml:space="preserve">        TA53.165</t>
  </si>
  <si>
    <t xml:space="preserve">        TA53.166</t>
  </si>
  <si>
    <t xml:space="preserve">        TA53.167</t>
  </si>
  <si>
    <t xml:space="preserve">        TA53.168</t>
  </si>
  <si>
    <t xml:space="preserve">      تنفيذ شبكات  الصرف الصحي لاحياء  شرق تبوك ( المرحلة الاولى)</t>
  </si>
  <si>
    <t xml:space="preserve">        TA53.173</t>
  </si>
  <si>
    <t xml:space="preserve">        TA53.174</t>
  </si>
  <si>
    <t xml:space="preserve">        TA53.175</t>
  </si>
  <si>
    <t xml:space="preserve">        TA53.176</t>
  </si>
  <si>
    <t xml:space="preserve">      مشروع تنفيذ شبكات وخطوط رئيسية للمياه باحياء شرق تبوك ( الجزء الأول )</t>
  </si>
  <si>
    <t xml:space="preserve">        TA53.181</t>
  </si>
  <si>
    <t xml:space="preserve">        TA53.182</t>
  </si>
  <si>
    <t xml:space="preserve">        TA53.183</t>
  </si>
  <si>
    <t xml:space="preserve">        TA53.184</t>
  </si>
  <si>
    <t xml:space="preserve">      أعمال ربط الخطوط الرئيسية ومحطات الضخ لشبكات مدينة تبوك بالمشروع الشامل والخطوط الناقلة</t>
  </si>
  <si>
    <t xml:space="preserve">        TA53.189</t>
  </si>
  <si>
    <t xml:space="preserve">        TA53.190</t>
  </si>
  <si>
    <t xml:space="preserve">        TA53.191</t>
  </si>
  <si>
    <t xml:space="preserve">        TA53.192</t>
  </si>
  <si>
    <t xml:space="preserve">      انشاء خزانات تشغيلية في مدينة تبوك في مواقع السنابل والشفا بمدينة تبوك</t>
  </si>
  <si>
    <t xml:space="preserve">        TA53.197</t>
  </si>
  <si>
    <t xml:space="preserve">        TA53.198</t>
  </si>
  <si>
    <t xml:space="preserve">        TA53.199</t>
  </si>
  <si>
    <t xml:space="preserve">        TA53.200</t>
  </si>
  <si>
    <t xml:space="preserve">      تنفيذ شبكات  الصرف الصحي لاحياء  شرق تبوك ( المرحلة الثانبة)</t>
  </si>
  <si>
    <t xml:space="preserve">        TA53.205</t>
  </si>
  <si>
    <t xml:space="preserve">        TA53.206</t>
  </si>
  <si>
    <t xml:space="preserve">        TA53.207</t>
  </si>
  <si>
    <t xml:space="preserve">        TA53.208</t>
  </si>
  <si>
    <t xml:space="preserve">      توريد وتركيب مهمات ميكانيكية وكهربائية بمواقع أعمال المياه</t>
  </si>
  <si>
    <t xml:space="preserve">        TA53.213</t>
  </si>
  <si>
    <t xml:space="preserve">        TA53.214</t>
  </si>
  <si>
    <t xml:space="preserve">        TA53.215</t>
  </si>
  <si>
    <t xml:space="preserve">        TA53.216</t>
  </si>
  <si>
    <t xml:space="preserve">      مشروع عقد شبكات وأعمال مواقع  مياه الشرب بمركز العيينة - تبوك</t>
  </si>
  <si>
    <t xml:space="preserve">        TA53.221</t>
  </si>
  <si>
    <t xml:space="preserve">        TA53.222</t>
  </si>
  <si>
    <t xml:space="preserve">        TA53.223</t>
  </si>
  <si>
    <t xml:space="preserve">        TA53.224</t>
  </si>
  <si>
    <t xml:space="preserve">      استكمال مشروع توسعة محطة المعالجة بأملج</t>
  </si>
  <si>
    <t xml:space="preserve">        TA53.229</t>
  </si>
  <si>
    <t xml:space="preserve">        TA53.230</t>
  </si>
  <si>
    <t xml:space="preserve">        TA53.231</t>
  </si>
  <si>
    <t xml:space="preserve">        TA53.232</t>
  </si>
  <si>
    <t xml:space="preserve">      تنفيذ مشاريع إيصال خدمات الصرف الصحي لمخططات الإسكان بتبوك ( 3 مواقع)</t>
  </si>
  <si>
    <t xml:space="preserve">        TA53.237</t>
  </si>
  <si>
    <t xml:space="preserve">        TA53.238</t>
  </si>
  <si>
    <t xml:space="preserve">        TA53.239</t>
  </si>
  <si>
    <t xml:space="preserve">        TA53.240</t>
  </si>
  <si>
    <t xml:space="preserve">      مشروع ايصال المياه لمنفذ الدرة الحدودي</t>
  </si>
  <si>
    <t xml:space="preserve">        TA53.245</t>
  </si>
  <si>
    <t xml:space="preserve">        TA53.246</t>
  </si>
  <si>
    <t xml:space="preserve">        TA53.247</t>
  </si>
  <si>
    <t xml:space="preserve">        TA53.248</t>
  </si>
  <si>
    <t xml:space="preserve">      مشروع ايصال المياه لمنفذ حالة عمار الحدودي</t>
  </si>
  <si>
    <t xml:space="preserve">        TA53.253</t>
  </si>
  <si>
    <t xml:space="preserve">        TA53.254</t>
  </si>
  <si>
    <t xml:space="preserve">        TA53.255</t>
  </si>
  <si>
    <t xml:space="preserve">        TA53.256</t>
  </si>
  <si>
    <t xml:space="preserve">      تنفيذ نظام لنقل مياه الصرف الصحي للمنطقة السكنية لمنقذ الدرة بحقل</t>
  </si>
  <si>
    <t xml:space="preserve">        TA53.261</t>
  </si>
  <si>
    <t xml:space="preserve">        TA53.262</t>
  </si>
  <si>
    <t xml:space="preserve">        TA53.263</t>
  </si>
  <si>
    <t xml:space="preserve">        TA53.264</t>
  </si>
  <si>
    <t xml:space="preserve">      احلال وتجديد  شبكات المياه بمنطقة تبوك المرحلة الأولى</t>
  </si>
  <si>
    <t xml:space="preserve">        TA53.269</t>
  </si>
  <si>
    <t xml:space="preserve">        TA53.270</t>
  </si>
  <si>
    <t xml:space="preserve">        TA53.271</t>
  </si>
  <si>
    <t xml:space="preserve">        TA53.272</t>
  </si>
  <si>
    <t xml:space="preserve">      مشروع استكمال تنفيذ شبكات وتوصيلات الصرف الصحي بحي السبخة بحقل</t>
  </si>
  <si>
    <t xml:space="preserve">        TA53.277</t>
  </si>
  <si>
    <t xml:space="preserve">        TA53.278</t>
  </si>
  <si>
    <t xml:space="preserve">        TA53.279</t>
  </si>
  <si>
    <t xml:space="preserve">        TA53.280</t>
  </si>
  <si>
    <t xml:space="preserve">      انشاء خطوط رئيسية وشبكات الصرف الصحي بتبوك المرحلة الخامسة عشر</t>
  </si>
  <si>
    <t xml:space="preserve">        TA53.286</t>
  </si>
  <si>
    <t xml:space="preserve">        TA53.287</t>
  </si>
  <si>
    <t xml:space="preserve">        TA53.288</t>
  </si>
  <si>
    <t xml:space="preserve">      تنفيذ شبكة صرف صحي لاحياء شمال تبوك ( المرحلة الثانية )</t>
  </si>
  <si>
    <t xml:space="preserve">        TA53.294</t>
  </si>
  <si>
    <t xml:space="preserve">        TA53.295</t>
  </si>
  <si>
    <t xml:space="preserve">        TA53.296</t>
  </si>
  <si>
    <t xml:space="preserve">      مشروع انشاء محطة تنقية مياه الشرب للقليبة بمنطقة تبوك سعة 1000 م3-يوم</t>
  </si>
  <si>
    <t xml:space="preserve">        TA53.302</t>
  </si>
  <si>
    <t xml:space="preserve">        TA53.303</t>
  </si>
  <si>
    <t xml:space="preserve">        TA53.304</t>
  </si>
  <si>
    <t xml:space="preserve">      مشروع انشاء محطة تنقية مياه الشرب لفجر  بمنطقة تبوك سعة 500 م3\يوم</t>
  </si>
  <si>
    <t xml:space="preserve">        TA53.310</t>
  </si>
  <si>
    <t xml:space="preserve">        TA53.311</t>
  </si>
  <si>
    <t xml:space="preserve">        TA53.312</t>
  </si>
  <si>
    <t xml:space="preserve">      مشروع استكمال شبكات المياه وأعمال الربط للخطوط الرئيسية وأعمال مواقع المياه بمدينة تبوك</t>
  </si>
  <si>
    <t xml:space="preserve">        TA53.318</t>
  </si>
  <si>
    <t xml:space="preserve">        TA53.319</t>
  </si>
  <si>
    <t xml:space="preserve">        TA53.320</t>
  </si>
  <si>
    <t xml:space="preserve">      مشروع انشاء خطوط ناقلة وموقع اعمال مياه ومحطة ضخ بمدينة حقل</t>
  </si>
  <si>
    <t xml:space="preserve">        TA53.326</t>
  </si>
  <si>
    <t xml:space="preserve">        TA53.327</t>
  </si>
  <si>
    <t xml:space="preserve">        TA53.328</t>
  </si>
  <si>
    <t xml:space="preserve">      مشروع انشاء شبكات مياه الشرب لحي الرايس بمدينة تبوك</t>
  </si>
  <si>
    <t xml:space="preserve">        TA53.334</t>
  </si>
  <si>
    <t xml:space="preserve">        TA53.335</t>
  </si>
  <si>
    <t xml:space="preserve">        TA53.336</t>
  </si>
  <si>
    <t xml:space="preserve">      اعمال الرفع المساحي لاراضي  واصول المياه والصرف الصحي المستقبلية بمنطقة اتبوك</t>
  </si>
  <si>
    <t xml:space="preserve">        TA53.342</t>
  </si>
  <si>
    <t xml:space="preserve">        TA53.343</t>
  </si>
  <si>
    <t xml:space="preserve">        TA53.344</t>
  </si>
  <si>
    <t xml:space="preserve">      استكمال انشاء خطوط رئيسية وشبكات الصرف الصحي بتبوك المرحلة الثالثة عشر</t>
  </si>
  <si>
    <t xml:space="preserve">        TA53.350</t>
  </si>
  <si>
    <t xml:space="preserve">        TA53.351</t>
  </si>
  <si>
    <t xml:space="preserve">        TA53.352</t>
  </si>
  <si>
    <t xml:space="preserve">      مشروع استكمال شبكات الصرف الصحي في حي الرحمانية تيماء المرحلة السادسة</t>
  </si>
  <si>
    <t xml:space="preserve">        TA53.358</t>
  </si>
  <si>
    <t xml:space="preserve">        TA53.359</t>
  </si>
  <si>
    <t xml:space="preserve">        TA53.360</t>
  </si>
  <si>
    <t xml:space="preserve">      شبكات المياه باحياء النظيم وجنوب تبوك</t>
  </si>
  <si>
    <t xml:space="preserve">        TA53.366</t>
  </si>
  <si>
    <t xml:space="preserve">        TA53.367</t>
  </si>
  <si>
    <t xml:space="preserve">        TA53.368</t>
  </si>
  <si>
    <t xml:space="preserve">      انشاء مصبات الصهاريج بمحطات معالجة الصرف الصحي بمنطقة تبوك</t>
  </si>
  <si>
    <t xml:space="preserve">        TA53.374</t>
  </si>
  <si>
    <t xml:space="preserve">        TA53.375</t>
  </si>
  <si>
    <t xml:space="preserve">        TA53.376</t>
  </si>
  <si>
    <t xml:space="preserve">      تنفيذ نظام لنقل مياه الصرف الصحي لمنفذ الدرة بحقل</t>
  </si>
  <si>
    <t xml:space="preserve">        TA53.382</t>
  </si>
  <si>
    <t xml:space="preserve">        TA53.383</t>
  </si>
  <si>
    <t xml:space="preserve">        TA53.384</t>
  </si>
  <si>
    <t xml:space="preserve">      تنفيذ شبكة صرف صحي لاحياء شمال تبوك ( المرحلة الأولى )</t>
  </si>
  <si>
    <t xml:space="preserve">        TA53.390</t>
  </si>
  <si>
    <t xml:space="preserve">        TA53.391</t>
  </si>
  <si>
    <t xml:space="preserve">        TA53.392</t>
  </si>
  <si>
    <t xml:space="preserve">      مشروع إعادة تأهيل شبكات المياه بمنطقة تبوك</t>
  </si>
  <si>
    <t xml:space="preserve">        TA53.398</t>
  </si>
  <si>
    <t xml:space="preserve">        TA53.399</t>
  </si>
  <si>
    <t xml:space="preserve">        TA53.400</t>
  </si>
  <si>
    <t xml:space="preserve">      استكمال مشروع انشاء شبكات مياه الشرب بقرية المعظم بتبوك</t>
  </si>
  <si>
    <t xml:space="preserve">        TA53.406</t>
  </si>
  <si>
    <t xml:space="preserve">        TA53.407</t>
  </si>
  <si>
    <t xml:space="preserve">        TA53.408</t>
  </si>
  <si>
    <t xml:space="preserve">      استكمال مشروع توسعة محطة المعالجة باملج الى المرحلة الثلاثية</t>
  </si>
  <si>
    <t xml:space="preserve">        TA53.414</t>
  </si>
  <si>
    <t xml:space="preserve">        TA53.415</t>
  </si>
  <si>
    <t xml:space="preserve">        TA53.416</t>
  </si>
  <si>
    <t xml:space="preserve">      استكمال شبكات مياه المرحلة التاسعة في مدينة تبوك احياء النخيل و التعاون و غرناطة</t>
  </si>
  <si>
    <t xml:space="preserve">        TA53.422</t>
  </si>
  <si>
    <t xml:space="preserve">        TA53.423</t>
  </si>
  <si>
    <t xml:space="preserve">        TA53.424</t>
  </si>
  <si>
    <t xml:space="preserve">      MU.S</t>
  </si>
  <si>
    <t>1ST PACKAGE. MADINAH BUSINESS UNIT START</t>
  </si>
  <si>
    <t xml:space="preserve">      MU.F</t>
  </si>
  <si>
    <t>1ST PACKAGE. MADINAH BUSINESS UNIT FINISH</t>
  </si>
  <si>
    <t xml:space="preserve">      Implementation of SCADA RFP requirement across Madinah Region</t>
  </si>
  <si>
    <t xml:space="preserve">        MA356.1</t>
  </si>
  <si>
    <t xml:space="preserve">        MA356.2</t>
  </si>
  <si>
    <t xml:space="preserve">        MA356.3</t>
  </si>
  <si>
    <t xml:space="preserve">        MA356.4</t>
  </si>
  <si>
    <t xml:space="preserve">        MA356.5</t>
  </si>
  <si>
    <t xml:space="preserve">        MA356.6</t>
  </si>
  <si>
    <t xml:space="preserve">        MA356.7</t>
  </si>
  <si>
    <t xml:space="preserve">        MA356.8</t>
  </si>
  <si>
    <t xml:space="preserve">      كشف وإصلاح التسربات الغير ظاهرة بمحافظات (العلا, خيبر, وادي الفرع,  المهد, الحناكية و قرى المدينة)</t>
  </si>
  <si>
    <t xml:space="preserve">        MA356.9</t>
  </si>
  <si>
    <t xml:space="preserve">        MA356.11</t>
  </si>
  <si>
    <t xml:space="preserve">        MA356.10</t>
  </si>
  <si>
    <t xml:space="preserve">        MA356.12</t>
  </si>
  <si>
    <t xml:space="preserve">        MA356.13</t>
  </si>
  <si>
    <t xml:space="preserve">        MA356.14</t>
  </si>
  <si>
    <t xml:space="preserve">        MA356.15</t>
  </si>
  <si>
    <t xml:space="preserve">        MA356.16</t>
  </si>
  <si>
    <t xml:space="preserve">      كشف وإصلاح التسربات الغير ظاهرة بمحافظات ينبع وبدر والعيص</t>
  </si>
  <si>
    <t xml:space="preserve">        MA356.17</t>
  </si>
  <si>
    <t xml:space="preserve">        MA356.19</t>
  </si>
  <si>
    <t xml:space="preserve">        MA356.18</t>
  </si>
  <si>
    <t xml:space="preserve">        MA356.20</t>
  </si>
  <si>
    <t xml:space="preserve">        MA356.21</t>
  </si>
  <si>
    <t xml:space="preserve">        MA356.22</t>
  </si>
  <si>
    <t xml:space="preserve">        MA356.23</t>
  </si>
  <si>
    <t xml:space="preserve">        MA356.24</t>
  </si>
  <si>
    <t xml:space="preserve">      إنشاء مشاريع تقديم خدمة  صرف صحي  لمخططات الإسكان في الحناكية (3 مواقع).</t>
  </si>
  <si>
    <t xml:space="preserve">        MA356.25</t>
  </si>
  <si>
    <t xml:space="preserve">        MA356.27</t>
  </si>
  <si>
    <t xml:space="preserve">        MA356.26</t>
  </si>
  <si>
    <t xml:space="preserve">        MA356.28</t>
  </si>
  <si>
    <t xml:space="preserve">        MA356.29</t>
  </si>
  <si>
    <t xml:space="preserve">        MA356.30</t>
  </si>
  <si>
    <t xml:space="preserve">        MA356.31</t>
  </si>
  <si>
    <t xml:space="preserve">        MA356.32</t>
  </si>
  <si>
    <t xml:space="preserve">      إنشاء مشاريع تقديم خدمة  صرف صحي  لمخططات الإسكان في الحناكية (3 مواقع).-1</t>
  </si>
  <si>
    <t xml:space="preserve">        MA356.33</t>
  </si>
  <si>
    <t xml:space="preserve">        MA356.35</t>
  </si>
  <si>
    <t xml:space="preserve">        MA356.34</t>
  </si>
  <si>
    <t xml:space="preserve">        MA356.36</t>
  </si>
  <si>
    <t xml:space="preserve">        MA356.37</t>
  </si>
  <si>
    <t xml:space="preserve">        MA356.38</t>
  </si>
  <si>
    <t xml:space="preserve">        MA356.39</t>
  </si>
  <si>
    <t xml:space="preserve">        MA356.40</t>
  </si>
  <si>
    <t xml:space="preserve">      انشاء خطوط رئيسية وشبكات الصرف الصحي بابار الماشي</t>
  </si>
  <si>
    <t xml:space="preserve">        MA356.41</t>
  </si>
  <si>
    <t xml:space="preserve">        MA356.43</t>
  </si>
  <si>
    <t xml:space="preserve">        MA356.42</t>
  </si>
  <si>
    <t xml:space="preserve">        MA356.44</t>
  </si>
  <si>
    <t xml:space="preserve">        MA356.45</t>
  </si>
  <si>
    <t xml:space="preserve">        MA356.46</t>
  </si>
  <si>
    <t xml:space="preserve">        MA356.47</t>
  </si>
  <si>
    <t xml:space="preserve">        MA356.48</t>
  </si>
  <si>
    <t xml:space="preserve">      تنفيد الخطوط الرئيسية والفرعية والخزانات والتوصيلات المنزلية بوادى ريم</t>
  </si>
  <si>
    <t xml:space="preserve">        MA356.49</t>
  </si>
  <si>
    <t xml:space="preserve">        MA356.51</t>
  </si>
  <si>
    <t xml:space="preserve">        MA356.50</t>
  </si>
  <si>
    <t xml:space="preserve">        MA356.52</t>
  </si>
  <si>
    <t xml:space="preserve">        MA356.53</t>
  </si>
  <si>
    <t xml:space="preserve">        MA356.54</t>
  </si>
  <si>
    <t xml:space="preserve">        MA356.55</t>
  </si>
  <si>
    <t xml:space="preserve">        MA356.56</t>
  </si>
  <si>
    <t xml:space="preserve">      مشروع محطة ضخ المياه والخط الناقل من العمق إلى ثرب</t>
  </si>
  <si>
    <t xml:space="preserve">        MA356.57</t>
  </si>
  <si>
    <t xml:space="preserve">        MA356.59</t>
  </si>
  <si>
    <t xml:space="preserve">        MA356.58</t>
  </si>
  <si>
    <t xml:space="preserve">        MA356.60</t>
  </si>
  <si>
    <t xml:space="preserve">        MA356.61</t>
  </si>
  <si>
    <t xml:space="preserve">        MA356.62</t>
  </si>
  <si>
    <t xml:space="preserve">        MA356.63</t>
  </si>
  <si>
    <t xml:space="preserve">        MA356.64</t>
  </si>
  <si>
    <t xml:space="preserve">      تنفيذ محطة ضخ مياه وخزان عالي  في اليتمة</t>
  </si>
  <si>
    <t xml:space="preserve">        MA356.65</t>
  </si>
  <si>
    <t xml:space="preserve">        MA356.67</t>
  </si>
  <si>
    <t xml:space="preserve">        MA356.66</t>
  </si>
  <si>
    <t xml:space="preserve">        MA356.68</t>
  </si>
  <si>
    <t xml:space="preserve">        MA356.69</t>
  </si>
  <si>
    <t xml:space="preserve">        MA356.70</t>
  </si>
  <si>
    <t xml:space="preserve">        MA356.71</t>
  </si>
  <si>
    <t xml:space="preserve">        MA356.72</t>
  </si>
  <si>
    <t xml:space="preserve">      مشروع انشاء شبكات مياه بالعذيب</t>
  </si>
  <si>
    <t xml:space="preserve">        MA356.73</t>
  </si>
  <si>
    <t xml:space="preserve">        MA356.75</t>
  </si>
  <si>
    <t xml:space="preserve">        MA356.74</t>
  </si>
  <si>
    <t xml:space="preserve">        MA356.76</t>
  </si>
  <si>
    <t xml:space="preserve">        MA356.77</t>
  </si>
  <si>
    <t xml:space="preserve">        MA356.78</t>
  </si>
  <si>
    <t xml:space="preserve">        MA356.79</t>
  </si>
  <si>
    <t xml:space="preserve">        MA356.80</t>
  </si>
  <si>
    <t xml:space="preserve">      Implementation of GIS RFP requirement across Madinah Region.</t>
  </si>
  <si>
    <t xml:space="preserve">        MA356.81</t>
  </si>
  <si>
    <t xml:space="preserve">        MA356.83</t>
  </si>
  <si>
    <t xml:space="preserve">        MA356.82</t>
  </si>
  <si>
    <t xml:space="preserve">        MA356.84</t>
  </si>
  <si>
    <t xml:space="preserve">        MA356.85</t>
  </si>
  <si>
    <t xml:space="preserve">        MA356.86</t>
  </si>
  <si>
    <t xml:space="preserve">        MA356.87</t>
  </si>
  <si>
    <t xml:space="preserve">        MA356.88</t>
  </si>
  <si>
    <t xml:space="preserve">      عقد دراسات بيئية للمحطات والمرادم الصحية بالقطاع الشمالي الغربي</t>
  </si>
  <si>
    <t xml:space="preserve">        MA356.89</t>
  </si>
  <si>
    <t xml:space="preserve">        MA356.91</t>
  </si>
  <si>
    <t xml:space="preserve">        MA356.90</t>
  </si>
  <si>
    <t xml:space="preserve">        MA356.92</t>
  </si>
  <si>
    <t xml:space="preserve">        MA356.93</t>
  </si>
  <si>
    <t xml:space="preserve">        MA356.94</t>
  </si>
  <si>
    <t xml:space="preserve">        MA356.95</t>
  </si>
  <si>
    <t xml:space="preserve">        MA356.96</t>
  </si>
  <si>
    <t xml:space="preserve">      تنفيذ محطة ضخ الصرف الصحي الرئيسية شمال شرق ينبع</t>
  </si>
  <si>
    <t xml:space="preserve">        MA356.97</t>
  </si>
  <si>
    <t xml:space="preserve">        MA356.99</t>
  </si>
  <si>
    <t xml:space="preserve">        MA356.98</t>
  </si>
  <si>
    <t xml:space="preserve">        MA356.100</t>
  </si>
  <si>
    <t xml:space="preserve">        MA356.101</t>
  </si>
  <si>
    <t xml:space="preserve">        MA356.102</t>
  </si>
  <si>
    <t xml:space="preserve">        MA356.103</t>
  </si>
  <si>
    <t xml:space="preserve">        MA356.104</t>
  </si>
  <si>
    <t xml:space="preserve">      مشروع إيصال المياه لاسكان منسوبي وزارة الحرس الوطني بينبع</t>
  </si>
  <si>
    <t xml:space="preserve">        MA356.105</t>
  </si>
  <si>
    <t xml:space="preserve">        MA356.107</t>
  </si>
  <si>
    <t xml:space="preserve">        MA356.106</t>
  </si>
  <si>
    <t xml:space="preserve">        MA356.108</t>
  </si>
  <si>
    <t xml:space="preserve">        MA356.109</t>
  </si>
  <si>
    <t xml:space="preserve">        MA356.110</t>
  </si>
  <si>
    <t xml:space="preserve">        MA356.111</t>
  </si>
  <si>
    <t xml:space="preserve">        MA356.112</t>
  </si>
  <si>
    <t xml:space="preserve">      إنشاء مشاريع تقديم خدمة  صرف صحي  لخطة الإسكان في بدر وينبع (6 مواقع)</t>
  </si>
  <si>
    <t xml:space="preserve">        MA356.113</t>
  </si>
  <si>
    <t xml:space="preserve">        MA356.115</t>
  </si>
  <si>
    <t xml:space="preserve">        MA356.114</t>
  </si>
  <si>
    <t xml:space="preserve">        MA356.116</t>
  </si>
  <si>
    <t xml:space="preserve">        MA356.117</t>
  </si>
  <si>
    <t xml:space="preserve">        MA356.118</t>
  </si>
  <si>
    <t xml:space="preserve">        MA356.119</t>
  </si>
  <si>
    <t xml:space="preserve">        MA356.120</t>
  </si>
  <si>
    <t xml:space="preserve">      شبكات وخطوط مياه متفرقة بمدينة ينبع ( الجزء الأول )</t>
  </si>
  <si>
    <t xml:space="preserve">        MA356.121</t>
  </si>
  <si>
    <t xml:space="preserve">        MA356.123</t>
  </si>
  <si>
    <t xml:space="preserve">        MA356.122</t>
  </si>
  <si>
    <t xml:space="preserve">        MA356.124</t>
  </si>
  <si>
    <t xml:space="preserve">        MA356.125</t>
  </si>
  <si>
    <t xml:space="preserve">        MA356.126</t>
  </si>
  <si>
    <t xml:space="preserve">        MA356.127</t>
  </si>
  <si>
    <t xml:space="preserve">        MA356.128</t>
  </si>
  <si>
    <t xml:space="preserve">      خطوط وشبكات لخدمة محافظة ينبع والعيص</t>
  </si>
  <si>
    <t xml:space="preserve">        MA356.129</t>
  </si>
  <si>
    <t xml:space="preserve">        MA356.131</t>
  </si>
  <si>
    <t xml:space="preserve">        MA356.130</t>
  </si>
  <si>
    <t xml:space="preserve">        MA356.132</t>
  </si>
  <si>
    <t xml:space="preserve">        MA356.133</t>
  </si>
  <si>
    <t xml:space="preserve">        MA356.134</t>
  </si>
  <si>
    <t xml:space="preserve">        MA356.135</t>
  </si>
  <si>
    <t xml:space="preserve">        MA356.136</t>
  </si>
  <si>
    <t xml:space="preserve">      استكمال اعمال تنفيذ محطة معالجة مياه الصرف الصحي بينبع النخل المرحلة الثانية</t>
  </si>
  <si>
    <t xml:space="preserve">        MA356.140</t>
  </si>
  <si>
    <t xml:space="preserve">        MA356.141</t>
  </si>
  <si>
    <t xml:space="preserve">        MA356.142</t>
  </si>
  <si>
    <t xml:space="preserve">        MA356.143</t>
  </si>
  <si>
    <t xml:space="preserve">        MA356.144</t>
  </si>
  <si>
    <t xml:space="preserve">      تنفيذ خط مياه الصرف الصحي من المنطقة المركزية الى محطة المعالجة بالمدينة المنورة (المرحلة الاولى)</t>
  </si>
  <si>
    <t xml:space="preserve">        MA356.148</t>
  </si>
  <si>
    <t xml:space="preserve">        MA356.149</t>
  </si>
  <si>
    <t xml:space="preserve">        MA356.150</t>
  </si>
  <si>
    <t xml:space="preserve">        MA356.151</t>
  </si>
  <si>
    <t xml:space="preserve">        MA356.152</t>
  </si>
  <si>
    <t xml:space="preserve">      تنفيذ شبكات وخطوط المياه بالنخيل والصمد بمنطقة المدينة المنورة</t>
  </si>
  <si>
    <t xml:space="preserve">        MA356.157</t>
  </si>
  <si>
    <t xml:space="preserve">        MA356.158</t>
  </si>
  <si>
    <t xml:space="preserve">        MA356.159</t>
  </si>
  <si>
    <t xml:space="preserve">        MA356.160</t>
  </si>
  <si>
    <t xml:space="preserve">      تنقيذ شبكات وخطوط مياه قرى المدينة المنورة ( الجزء الأول )</t>
  </si>
  <si>
    <t xml:space="preserve">        MA356.165</t>
  </si>
  <si>
    <t xml:space="preserve">        MA356.166</t>
  </si>
  <si>
    <t xml:space="preserve">        MA356.167</t>
  </si>
  <si>
    <t xml:space="preserve">        MA356.168</t>
  </si>
  <si>
    <t xml:space="preserve">      ترحيل خطوط وتنفيذ شبكات بمناطق متفرقة (المرحلة الثالثة)</t>
  </si>
  <si>
    <t xml:space="preserve">        MA356.173</t>
  </si>
  <si>
    <t xml:space="preserve">        MA356.174</t>
  </si>
  <si>
    <t xml:space="preserve">        MA356.175</t>
  </si>
  <si>
    <t xml:space="preserve">        MA356.176</t>
  </si>
  <si>
    <t xml:space="preserve">      تنفيذ شبكة توزيع  للمياه  بالمندسة</t>
  </si>
  <si>
    <t xml:space="preserve">        MA356.181</t>
  </si>
  <si>
    <t xml:space="preserve">        MA356.182</t>
  </si>
  <si>
    <t xml:space="preserve">        MA356.183</t>
  </si>
  <si>
    <t xml:space="preserve">        MA356.184</t>
  </si>
  <si>
    <t xml:space="preserve">      ترحيل خطوط وتنفيذ شبكات بمناطق متفرقة (المرحلة الرابعة)</t>
  </si>
  <si>
    <t xml:space="preserve">        MA356.189</t>
  </si>
  <si>
    <t xml:space="preserve">        MA356.190</t>
  </si>
  <si>
    <t xml:space="preserve">        MA356.191</t>
  </si>
  <si>
    <t xml:space="preserve">        MA356.192</t>
  </si>
  <si>
    <t xml:space="preserve">      تنفيذ شبكات  الصرف الصحي  في وسط الحناكية</t>
  </si>
  <si>
    <t xml:space="preserve">        MA356.197</t>
  </si>
  <si>
    <t xml:space="preserve">        MA356.198</t>
  </si>
  <si>
    <t xml:space="preserve">        MA356.199</t>
  </si>
  <si>
    <t xml:space="preserve">        MA356.200</t>
  </si>
  <si>
    <t xml:space="preserve">      تنفيذ شبكات  الصرف الصحي بالمنطقة السكنية  القائمة في شمال الحناكية</t>
  </si>
  <si>
    <t xml:space="preserve">        MA356.205</t>
  </si>
  <si>
    <t xml:space="preserve">        MA356.206</t>
  </si>
  <si>
    <t xml:space="preserve">        MA356.207</t>
  </si>
  <si>
    <t xml:space="preserve">        MA356.208</t>
  </si>
  <si>
    <t xml:space="preserve">      تنفيذ خطوط وشبكات الصرف الصحي بمحافظة خيبر( الجزء الأول )</t>
  </si>
  <si>
    <t xml:space="preserve">        MA356.213</t>
  </si>
  <si>
    <t xml:space="preserve">        MA356.214</t>
  </si>
  <si>
    <t xml:space="preserve">        MA356.215</t>
  </si>
  <si>
    <t xml:space="preserve">        MA356.216</t>
  </si>
  <si>
    <t xml:space="preserve">      تنفيد الخطوط الرئيسية والفرعية والخزانات بالجفر</t>
  </si>
  <si>
    <t xml:space="preserve">        MA356.221</t>
  </si>
  <si>
    <t xml:space="preserve">        MA356.222</t>
  </si>
  <si>
    <t xml:space="preserve">        MA356.223</t>
  </si>
  <si>
    <t xml:space="preserve">        MA356.224</t>
  </si>
  <si>
    <t xml:space="preserve">      تنفيذ خطوط وشبكات توزيع المياه بمحافظة المهد</t>
  </si>
  <si>
    <t xml:space="preserve">        MA356.229</t>
  </si>
  <si>
    <t xml:space="preserve">        MA356.230</t>
  </si>
  <si>
    <t xml:space="preserve">        MA356.231</t>
  </si>
  <si>
    <t xml:space="preserve">        MA356.232</t>
  </si>
  <si>
    <t xml:space="preserve">      تنقيذ شبكات وخطوط مياه قرى المدينة المنورة ( الجزء الثاني)</t>
  </si>
  <si>
    <t xml:space="preserve">        MA356.237</t>
  </si>
  <si>
    <t xml:space="preserve">        MA356.238</t>
  </si>
  <si>
    <t xml:space="preserve">        MA356.239</t>
  </si>
  <si>
    <t xml:space="preserve">        MA356.240</t>
  </si>
  <si>
    <t xml:space="preserve">      مشروع انشاء شبكات مياه بمدائن صالح</t>
  </si>
  <si>
    <t xml:space="preserve">        MA356.245</t>
  </si>
  <si>
    <t xml:space="preserve">        MA356.246</t>
  </si>
  <si>
    <t xml:space="preserve">        MA356.247</t>
  </si>
  <si>
    <t xml:space="preserve">        MA356.248</t>
  </si>
  <si>
    <t xml:space="preserve">      تنفيذ شبكات وخطوط مياه للسويرقية والعقيلية</t>
  </si>
  <si>
    <t xml:space="preserve">        MA356.253</t>
  </si>
  <si>
    <t xml:space="preserve">        MA356.254</t>
  </si>
  <si>
    <t xml:space="preserve">        MA356.255</t>
  </si>
  <si>
    <t xml:space="preserve">        MA356.256</t>
  </si>
  <si>
    <t xml:space="preserve">      تنفيذ شبكات وخطوط المياه بمحافظة خيبر</t>
  </si>
  <si>
    <t xml:space="preserve">        MA356.261</t>
  </si>
  <si>
    <t xml:space="preserve">        MA356.262</t>
  </si>
  <si>
    <t xml:space="preserve">        MA356.263</t>
  </si>
  <si>
    <t xml:space="preserve">        MA356.264</t>
  </si>
  <si>
    <t xml:space="preserve">      تنفيذ خط مياه رئيسي وخزان  وشبكة توزيع رئيسية لوادي الريم وقراها</t>
  </si>
  <si>
    <t xml:space="preserve">        MA356.269</t>
  </si>
  <si>
    <t xml:space="preserve">        MA356.270</t>
  </si>
  <si>
    <t xml:space="preserve">        MA356.271</t>
  </si>
  <si>
    <t xml:space="preserve">        MA356.272</t>
  </si>
  <si>
    <t xml:space="preserve">      تنفيذ خطوط وشبكات الصرف الصحي بمحافظة العلا ( الجزء الاول )</t>
  </si>
  <si>
    <t xml:space="preserve">        MA356.277</t>
  </si>
  <si>
    <t xml:space="preserve">        MA356.278</t>
  </si>
  <si>
    <t xml:space="preserve">        MA356.279</t>
  </si>
  <si>
    <t xml:space="preserve">        MA356.280</t>
  </si>
  <si>
    <t xml:space="preserve">      توريد وتركيب مضخات ابار وخطوط الانابيب وملحقاتها لحقل ابار العشاش</t>
  </si>
  <si>
    <t xml:space="preserve">        MA356.285</t>
  </si>
  <si>
    <t xml:space="preserve">        MA356.286</t>
  </si>
  <si>
    <t xml:space="preserve">        MA356.287</t>
  </si>
  <si>
    <t xml:space="preserve">        MA356.288</t>
  </si>
  <si>
    <t xml:space="preserve">      نقل ومعالجة الحماه من محطة معالجة مياه الصرف الصحي بالمدينة المنورة ( الجزء الأول )</t>
  </si>
  <si>
    <t xml:space="preserve">        MA356.293</t>
  </si>
  <si>
    <t xml:space="preserve">        MA356.294</t>
  </si>
  <si>
    <t xml:space="preserve">        MA356.295</t>
  </si>
  <si>
    <t xml:space="preserve">        MA356.296</t>
  </si>
  <si>
    <t xml:space="preserve">      عبارة تصريف مياه الفائض لمحطة معالجة الصرف الصحي بالمدينة المنورة</t>
  </si>
  <si>
    <t xml:space="preserve">        MA356.301</t>
  </si>
  <si>
    <t xml:space="preserve">        MA356.302</t>
  </si>
  <si>
    <t xml:space="preserve">        MA356.303</t>
  </si>
  <si>
    <t xml:space="preserve">        MA356.304</t>
  </si>
  <si>
    <t xml:space="preserve">      مشروع انشاء اشياب محطات تعبئة الصهاريج الناقلة للمياه بمنطقة المدينة المنورة</t>
  </si>
  <si>
    <t xml:space="preserve">        MA356.309</t>
  </si>
  <si>
    <t xml:space="preserve">        MA356.310</t>
  </si>
  <si>
    <t xml:space="preserve">        MA356.311</t>
  </si>
  <si>
    <t xml:space="preserve">        MA356.312</t>
  </si>
  <si>
    <t xml:space="preserve">      مشروع الخطوط الرئيسية والشبكات بمخطط العوينة والعاقول بالمدينة المنورة</t>
  </si>
  <si>
    <t xml:space="preserve">        MA356.317</t>
  </si>
  <si>
    <t xml:space="preserve">        MA356.318</t>
  </si>
  <si>
    <t xml:space="preserve">        MA356.319</t>
  </si>
  <si>
    <t xml:space="preserve">        MA356.320</t>
  </si>
  <si>
    <t xml:space="preserve">      تنفيذ خطوط وشبكات الصرف الصحي غرب المدينة المنورة</t>
  </si>
  <si>
    <t xml:space="preserve">        MA356.325</t>
  </si>
  <si>
    <t xml:space="preserve">        MA356.326</t>
  </si>
  <si>
    <t xml:space="preserve">        MA356.327</t>
  </si>
  <si>
    <t xml:space="preserve">        MA356.328</t>
  </si>
  <si>
    <t xml:space="preserve">      تنفيذ خطوط الرئيسية للصرف الصحي شرق المدينة المنورة</t>
  </si>
  <si>
    <t xml:space="preserve">        MA356.333</t>
  </si>
  <si>
    <t xml:space="preserve">        MA356.334</t>
  </si>
  <si>
    <t xml:space="preserve">        MA356.335</t>
  </si>
  <si>
    <t xml:space="preserve">        MA356.336</t>
  </si>
  <si>
    <t xml:space="preserve">      تنفيذ خطوط وشبكات الصرف الصحي شمال المدينة المنورة</t>
  </si>
  <si>
    <t xml:space="preserve">        MA356.341</t>
  </si>
  <si>
    <t xml:space="preserve">        MA356.342</t>
  </si>
  <si>
    <t xml:space="preserve">        MA356.343</t>
  </si>
  <si>
    <t xml:space="preserve">        MA356.344</t>
  </si>
  <si>
    <t xml:space="preserve">      تنفيذ خطوط وشبكات مياه منطقة غرب المدينة المنورة</t>
  </si>
  <si>
    <t xml:space="preserve">        MA356.349</t>
  </si>
  <si>
    <t xml:space="preserve">        MA356.350</t>
  </si>
  <si>
    <t xml:space="preserve">        MA356.351</t>
  </si>
  <si>
    <t xml:space="preserve">        MA356.352</t>
  </si>
  <si>
    <t xml:space="preserve">      تنفيذ الخطوط الرئيسية والفرعية لايصال خدمة الصرف الصحي الى مستشفى التخصصي بحمراء الأسد</t>
  </si>
  <si>
    <t xml:space="preserve">        MA356.357</t>
  </si>
  <si>
    <t xml:space="preserve">        MA356.358</t>
  </si>
  <si>
    <t xml:space="preserve">        MA356.359</t>
  </si>
  <si>
    <t xml:space="preserve">        MA356.360</t>
  </si>
  <si>
    <t xml:space="preserve">      شبكات مياه في الحناكية و الصميد</t>
  </si>
  <si>
    <t xml:space="preserve">        MA356.366</t>
  </si>
  <si>
    <t xml:space="preserve">        MA356.367</t>
  </si>
  <si>
    <t xml:space="preserve">        MA356.368</t>
  </si>
  <si>
    <t xml:space="preserve">      تنقيذ شبكات وخطوط مياه قرى المدينة المنورة ( الجزء الثالث )</t>
  </si>
  <si>
    <t xml:space="preserve">        MA356.374</t>
  </si>
  <si>
    <t xml:space="preserve">        MA356.375</t>
  </si>
  <si>
    <t xml:space="preserve">        MA356.376</t>
  </si>
  <si>
    <t xml:space="preserve">      مشروع إنشاء خط مياه رئيسي من المسيجيد الى هبت مع محطة ضخ في المسيجيد ومحطة أخرى في بئر الروحاء</t>
  </si>
  <si>
    <t xml:space="preserve">        MA356.382</t>
  </si>
  <si>
    <t xml:space="preserve">        MA356.383</t>
  </si>
  <si>
    <t xml:space="preserve">        MA356.384</t>
  </si>
  <si>
    <t xml:space="preserve">      ترحيل خطوط وتنفيذ شبكات بمناطق متفرقة (المرحلة الاولى)</t>
  </si>
  <si>
    <t xml:space="preserve">        MA356.390</t>
  </si>
  <si>
    <t xml:space="preserve">        MA356.391</t>
  </si>
  <si>
    <t xml:space="preserve">        MA356.392</t>
  </si>
  <si>
    <t xml:space="preserve">      تنفيذ خطوط وشبكات الصرف الصحي بمحافظة المهد ( الجزء الاول )</t>
  </si>
  <si>
    <t xml:space="preserve">        MA356.398</t>
  </si>
  <si>
    <t xml:space="preserve">        MA356.399</t>
  </si>
  <si>
    <t xml:space="preserve">        MA356.400</t>
  </si>
  <si>
    <t xml:space="preserve">      تنفيذ خطوط وشبكات الصرف الصحي بمحافظة بدر ( الجزء الأول )</t>
  </si>
  <si>
    <t xml:space="preserve">        MA356.406</t>
  </si>
  <si>
    <t xml:space="preserve">        MA356.407</t>
  </si>
  <si>
    <t xml:space="preserve">        MA356.408</t>
  </si>
  <si>
    <t xml:space="preserve">      تنفيذ خطوط وشبكات توزيع المياه بمحافظة وادي الفرع</t>
  </si>
  <si>
    <t xml:space="preserve">        MA356.414</t>
  </si>
  <si>
    <t xml:space="preserve">        MA356.415</t>
  </si>
  <si>
    <t xml:space="preserve">        MA356.416</t>
  </si>
  <si>
    <t xml:space="preserve">      مشروع انشاء شبكات مياه بقريتي المعتدل وقاع الحاج</t>
  </si>
  <si>
    <t xml:space="preserve">        MA356.422</t>
  </si>
  <si>
    <t xml:space="preserve">        MA356.423</t>
  </si>
  <si>
    <t xml:space="preserve">        MA356.424</t>
  </si>
  <si>
    <t xml:space="preserve">      إتفاقية الخدمات الهندسية الاستشارية لإعداد الدراسات والتصاميم والهندسة القيمية</t>
  </si>
  <si>
    <t xml:space="preserve">        MA356.430</t>
  </si>
  <si>
    <t xml:space="preserve">        MA356.431</t>
  </si>
  <si>
    <t xml:space="preserve">        MA356.432</t>
  </si>
  <si>
    <t xml:space="preserve">      إتفاقية الخدمات الهندسية الاستشارية لإعداد الدراسات والتصاميم والهندسة القيمية-1</t>
  </si>
  <si>
    <t xml:space="preserve">        MA356.438</t>
  </si>
  <si>
    <t xml:space="preserve">        MA356.439</t>
  </si>
  <si>
    <t xml:space="preserve">        MA356.440</t>
  </si>
  <si>
    <t xml:space="preserve">      إتفاقية الخدمات الهندسية الاستشارية للإشراف على مشاريع المياه والصرف الصحي</t>
  </si>
  <si>
    <t xml:space="preserve">        MA356.446</t>
  </si>
  <si>
    <t xml:space="preserve">        MA356.447</t>
  </si>
  <si>
    <t xml:space="preserve">        MA356.448</t>
  </si>
  <si>
    <t xml:space="preserve">      إتفاقية الخدمات الهندسية الاستشارية للإشراف على مشاريع المياه والصرف الصحي-1</t>
  </si>
  <si>
    <t xml:space="preserve">        MA356.454</t>
  </si>
  <si>
    <t xml:space="preserve">        MA356.455</t>
  </si>
  <si>
    <t xml:space="preserve">        MA356.456</t>
  </si>
  <si>
    <t xml:space="preserve">      تنفيذ خطوط الصرف الصحي الرئيسية بمخططات الرانوناء واحياء جنوب المدينة</t>
  </si>
  <si>
    <t xml:space="preserve">        MA356.462</t>
  </si>
  <si>
    <t xml:space="preserve">        MA356.463</t>
  </si>
  <si>
    <t xml:space="preserve">        MA356.464</t>
  </si>
  <si>
    <t xml:space="preserve">      تنفيذ شبكات الصرف الصحي  بمخططات الرانوناء واحياء جنوب المدينة ( المرحلة الأولى )</t>
  </si>
  <si>
    <t xml:space="preserve">        MA356.470</t>
  </si>
  <si>
    <t xml:space="preserve">        MA356.471</t>
  </si>
  <si>
    <t xml:space="preserve">        MA356.472</t>
  </si>
  <si>
    <t xml:space="preserve">      تنفيذ خط الصرف الصحي الرئيسي بالدعيثة</t>
  </si>
  <si>
    <t xml:space="preserve">        MA356.478</t>
  </si>
  <si>
    <t xml:space="preserve">        MA356.479</t>
  </si>
  <si>
    <t xml:space="preserve">        MA356.480</t>
  </si>
  <si>
    <t xml:space="preserve">      مشروع تنفيذ شبكات الصرف الصحي باحياء الجرف بالمدينة المنورة</t>
  </si>
  <si>
    <t xml:space="preserve">        MA356.486</t>
  </si>
  <si>
    <t xml:space="preserve">        MA356.487</t>
  </si>
  <si>
    <t xml:space="preserve">        MA356.488</t>
  </si>
  <si>
    <t xml:space="preserve">      مشروع انشاء شبكات وخطوط الصرف الصحي بحي الاصيفيرين بالمدينة المنورة</t>
  </si>
  <si>
    <t xml:space="preserve">        MA356.494</t>
  </si>
  <si>
    <t xml:space="preserve">        MA356.495</t>
  </si>
  <si>
    <t xml:space="preserve">        MA356.496</t>
  </si>
  <si>
    <t xml:space="preserve">      اعمال الرفع المساحي لاراضي  واصول المياه والصرف الصحي المستقبلية بمنطقة المدينة المنورة</t>
  </si>
  <si>
    <t xml:space="preserve">        MA356.502</t>
  </si>
  <si>
    <t xml:space="preserve">        MA356.503</t>
  </si>
  <si>
    <t xml:space="preserve">        MA356.504</t>
  </si>
  <si>
    <t xml:space="preserve">      احلال شبكات و خطوط مياه - المدينة المنورة</t>
  </si>
  <si>
    <t xml:space="preserve">        MA356.510</t>
  </si>
  <si>
    <t xml:space="preserve">        MA356.511</t>
  </si>
  <si>
    <t xml:space="preserve">        MA356.512</t>
  </si>
  <si>
    <t xml:space="preserve">      تنفيذ شبكات الصرف الصحي بمحافظات منطقة المدينة المنورة (خطوط رئيسية)</t>
  </si>
  <si>
    <t xml:space="preserve">        MA356.518</t>
  </si>
  <si>
    <t xml:space="preserve">        MA356.519</t>
  </si>
  <si>
    <t xml:space="preserve">        MA356.520</t>
  </si>
  <si>
    <t xml:space="preserve">      تنفيذ شبكات وخطوط مياه بالعوينة والعاقول بالمدينة المنورة</t>
  </si>
  <si>
    <t xml:space="preserve">        MA356.526</t>
  </si>
  <si>
    <t xml:space="preserve">        MA356.527</t>
  </si>
  <si>
    <t xml:space="preserve">        MA356.528</t>
  </si>
  <si>
    <t xml:space="preserve">      تنفيذ شبكات وخطوط المياه  بالصويدرة بمنطقة المدينة المنورة</t>
  </si>
  <si>
    <t xml:space="preserve">        MA356.534</t>
  </si>
  <si>
    <t xml:space="preserve">        MA356.535</t>
  </si>
  <si>
    <t xml:space="preserve">        MA356.536</t>
  </si>
  <si>
    <t xml:space="preserve">      تنفيذ شبكة توزيع المياه في حي المحاميد</t>
  </si>
  <si>
    <t xml:space="preserve">        MA356.542</t>
  </si>
  <si>
    <t xml:space="preserve">        MA356.543</t>
  </si>
  <si>
    <t xml:space="preserve">        MA356.544</t>
  </si>
  <si>
    <t xml:space="preserve">      تنفيذ خط خروج خزانات غرب المدينة</t>
  </si>
  <si>
    <t xml:space="preserve">        MA356.550</t>
  </si>
  <si>
    <t xml:space="preserve">        MA356.551</t>
  </si>
  <si>
    <t xml:space="preserve">        MA356.552</t>
  </si>
  <si>
    <t xml:space="preserve">      مشروع إستكمال تنفيذ الخطوط الرئيسية والشبكات الفرعية لمخططات شوران ( المرحلة الأولى )</t>
  </si>
  <si>
    <t xml:space="preserve">        MA356.558</t>
  </si>
  <si>
    <t xml:space="preserve">        MA356.559</t>
  </si>
  <si>
    <t xml:space="preserve">        MA356.560</t>
  </si>
  <si>
    <t xml:space="preserve">      تنفيذ شبكات وخطوط المياه بمنطقة جنوب المدينة المنورة</t>
  </si>
  <si>
    <t xml:space="preserve">        MA356.566</t>
  </si>
  <si>
    <t xml:space="preserve">        MA356.567</t>
  </si>
  <si>
    <t xml:space="preserve">        MA356.568</t>
  </si>
  <si>
    <t xml:space="preserve">      خطوط وشبكات المياه بمنطقة شمال وشرق المدينة</t>
  </si>
  <si>
    <t xml:space="preserve">        MA356.574</t>
  </si>
  <si>
    <t xml:space="preserve">        MA356.575</t>
  </si>
  <si>
    <t xml:space="preserve">        MA356.576</t>
  </si>
  <si>
    <t xml:space="preserve">      مشروع تنفيذ خط المياه الرئيسي في الدائري الثالث شرق المدينة المنورة</t>
  </si>
  <si>
    <t xml:space="preserve">        MA356.582</t>
  </si>
  <si>
    <t xml:space="preserve">        MA356.583</t>
  </si>
  <si>
    <t xml:space="preserve">        MA356.584</t>
  </si>
  <si>
    <t xml:space="preserve">      إحلال خطوط الاسبستوس ببدر</t>
  </si>
  <si>
    <t xml:space="preserve">        MA356.590</t>
  </si>
  <si>
    <t xml:space="preserve">        MA356.591</t>
  </si>
  <si>
    <t xml:space="preserve">        MA356.592</t>
  </si>
  <si>
    <t xml:space="preserve">      مشروع شبكات المياه لايصال الخدمة لمستشفى التخصصي بحمراء الأسد</t>
  </si>
  <si>
    <t xml:space="preserve">        MA356.598</t>
  </si>
  <si>
    <t xml:space="preserve">        MA356.599</t>
  </si>
  <si>
    <t xml:space="preserve">        MA356.600</t>
  </si>
  <si>
    <t xml:space="preserve">      مشروع إستكمال تنفيذ الخطوط الرئيسية والشبكات الفرعية لمخططات شوران ( المرحلة الثانية )</t>
  </si>
  <si>
    <t xml:space="preserve">        MA356.606</t>
  </si>
  <si>
    <t xml:space="preserve">        MA356.607</t>
  </si>
  <si>
    <t xml:space="preserve">        MA356.608</t>
  </si>
  <si>
    <t xml:space="preserve">      خطوط مياه متفرقة بالمدينة المنورة (الجزء الاول)</t>
  </si>
  <si>
    <t xml:space="preserve">        MA356.614</t>
  </si>
  <si>
    <t xml:space="preserve">        MA356.615</t>
  </si>
  <si>
    <t xml:space="preserve">        MA356.616</t>
  </si>
  <si>
    <t xml:space="preserve">      تنفيذ شبكات صرف صحي متفرقة بالمدينة المنورة ( الجزء الأول )</t>
  </si>
  <si>
    <t xml:space="preserve">        MA356.622</t>
  </si>
  <si>
    <t xml:space="preserve">        MA356.623</t>
  </si>
  <si>
    <t xml:space="preserve">        MA356.624</t>
  </si>
  <si>
    <t xml:space="preserve">      تنفيذ خطوط وشبكات توزيع المياه بمحافظة بدر</t>
  </si>
  <si>
    <t xml:space="preserve">        MA356.630</t>
  </si>
  <si>
    <t xml:space="preserve">        MA356.631</t>
  </si>
  <si>
    <t xml:space="preserve">        MA356.632</t>
  </si>
  <si>
    <t xml:space="preserve">      تنفيذ خطوط وشبكات توزيع المياه لمحافظة العيص ( المرحلة الأولى )</t>
  </si>
  <si>
    <t xml:space="preserve">        MA356.638</t>
  </si>
  <si>
    <t xml:space="preserve">        MA356.639</t>
  </si>
  <si>
    <t xml:space="preserve">        MA356.640</t>
  </si>
  <si>
    <t xml:space="preserve">      تنفيذ مشاريع إيصال خدمات الصرف الصحي لمخططات الإسكان بالمدينة المنورة ( 4 مواقع )</t>
  </si>
  <si>
    <t xml:space="preserve">        MA356.646</t>
  </si>
  <si>
    <t xml:space="preserve">        MA356.647</t>
  </si>
  <si>
    <t xml:space="preserve">        MA356.648</t>
  </si>
  <si>
    <t xml:space="preserve">      تنفيذ خط المياه الرئيسي الخاص من موقع الخزانات الاستراتيجية الى المسجد النبوي ومنطقة التطوير</t>
  </si>
  <si>
    <t xml:space="preserve">        MA356.654</t>
  </si>
  <si>
    <t xml:space="preserve">        MA356.655</t>
  </si>
  <si>
    <t xml:space="preserve">        MA356.656</t>
  </si>
  <si>
    <t xml:space="preserve">      خط المياه الرئيسي بالدائري الأوسط بالمدينة المنورة</t>
  </si>
  <si>
    <t xml:space="preserve">        MA356.662</t>
  </si>
  <si>
    <t xml:space="preserve">        MA356.663</t>
  </si>
  <si>
    <t xml:space="preserve">        MA356.664</t>
  </si>
  <si>
    <t xml:space="preserve">      تنفيذ خط المياه الرئيسي لتغذية توسعة المطار</t>
  </si>
  <si>
    <t xml:space="preserve">        MA356.670</t>
  </si>
  <si>
    <t xml:space="preserve">        MA356.671</t>
  </si>
  <si>
    <t xml:space="preserve">        MA356.672</t>
  </si>
  <si>
    <t xml:space="preserve">      مشروع استكمال شبكات الصرف الصحى لحى البرماوية</t>
  </si>
  <si>
    <t xml:space="preserve">        MA356.678</t>
  </si>
  <si>
    <t xml:space="preserve">        MA356.679</t>
  </si>
  <si>
    <t xml:space="preserve">        MA356.680</t>
  </si>
  <si>
    <t xml:space="preserve">      تنفيذ خطوط وشبكات الصرف الصحي مخطط جبل عير</t>
  </si>
  <si>
    <t xml:space="preserve">        MA356.686</t>
  </si>
  <si>
    <t xml:space="preserve">        MA356.687</t>
  </si>
  <si>
    <t xml:space="preserve">        MA356.688</t>
  </si>
  <si>
    <t xml:space="preserve">      استبدال خطوط وشبكات المياه المتهالكة  بالمدينة المنورة</t>
  </si>
  <si>
    <t xml:space="preserve">        MA356.694</t>
  </si>
  <si>
    <t xml:space="preserve">        MA356.695</t>
  </si>
  <si>
    <t xml:space="preserve">        MA356.696</t>
  </si>
  <si>
    <t xml:space="preserve">      خطوط فرعية وتوصيلات منزلية للصرف الصحي مع إعادة تاهيل محطة الضخ بينبع</t>
  </si>
  <si>
    <t xml:space="preserve">        MA356.702</t>
  </si>
  <si>
    <t xml:space="preserve">        MA356.703</t>
  </si>
  <si>
    <t xml:space="preserve">        MA356.704</t>
  </si>
  <si>
    <t xml:space="preserve">      تنفيذ توصيلات منزلية للصرف الصحي محافظة ينبع</t>
  </si>
  <si>
    <t xml:space="preserve">        MA356.710</t>
  </si>
  <si>
    <t xml:space="preserve">        MA356.711</t>
  </si>
  <si>
    <t xml:space="preserve">        MA356.712</t>
  </si>
  <si>
    <t xml:space="preserve">      إحلال شبكات وخطوط مياه بمدينة ينبع</t>
  </si>
  <si>
    <t xml:space="preserve">        MA356.718</t>
  </si>
  <si>
    <t xml:space="preserve">        MA356.719</t>
  </si>
  <si>
    <t xml:space="preserve">        MA356.720</t>
  </si>
  <si>
    <t xml:space="preserve">7. Testing &amp; Commissioning </t>
  </si>
  <si>
    <t>13.12.2025</t>
  </si>
  <si>
    <t>19.08.2027</t>
  </si>
  <si>
    <t>24.01.2026</t>
  </si>
  <si>
    <t>02.10.2027</t>
  </si>
  <si>
    <t>13.09.2027</t>
  </si>
  <si>
    <t>21.10.2027</t>
  </si>
  <si>
    <t>10.09.2025</t>
  </si>
  <si>
    <t>30.05.2028</t>
  </si>
  <si>
    <t>06.12.2025</t>
  </si>
  <si>
    <t>16.05.2028</t>
  </si>
  <si>
    <t>12.01.2026</t>
  </si>
  <si>
    <t>14.06.2028</t>
  </si>
  <si>
    <t>22.10.2025</t>
  </si>
  <si>
    <t>27.07.2028</t>
  </si>
  <si>
    <t>17.01.2026</t>
  </si>
  <si>
    <t>11.05.2026</t>
  </si>
  <si>
    <t>11.01.2026</t>
  </si>
  <si>
    <t>31.07.2028</t>
  </si>
  <si>
    <t>08.04.2026</t>
  </si>
  <si>
    <t>13.09.2028</t>
  </si>
  <si>
    <t>18.10.2028</t>
  </si>
  <si>
    <t>07.08.2028</t>
  </si>
  <si>
    <t>21.01.2026</t>
  </si>
  <si>
    <t>05.06.2028</t>
  </si>
  <si>
    <t>02.01.2028</t>
  </si>
  <si>
    <t>07.09.2028</t>
  </si>
  <si>
    <t>AP232</t>
  </si>
  <si>
    <t>تنفيذ البنية التحتية لجرعات الكلور الآلي في الخزانات الموجودة بمنطقة  المدينة المنورة</t>
  </si>
  <si>
    <t>شركة غدير التكنولوجيا للمقاولات</t>
  </si>
  <si>
    <t>11.07.2028</t>
  </si>
  <si>
    <t>20.07.2026</t>
  </si>
  <si>
    <t>23.07.2028</t>
  </si>
  <si>
    <t>10.06.2028</t>
  </si>
  <si>
    <t>29.07.2028</t>
  </si>
  <si>
    <t>24.11.2025</t>
  </si>
  <si>
    <t>06.06.2028</t>
  </si>
  <si>
    <t>04.11.2027</t>
  </si>
  <si>
    <t>15.08.2028</t>
  </si>
  <si>
    <t>16.07.2028</t>
  </si>
  <si>
    <t>09.09.2028</t>
  </si>
  <si>
    <t>18.10.2025</t>
  </si>
  <si>
    <t>10.08.2027</t>
  </si>
  <si>
    <t>20.11.2025</t>
  </si>
  <si>
    <t>08.07.2027</t>
  </si>
  <si>
    <t>01.09.2027</t>
  </si>
  <si>
    <t>04.04.2024</t>
  </si>
  <si>
    <t>21.01.2027</t>
  </si>
  <si>
    <t>25.08.2024</t>
  </si>
  <si>
    <t>19.03.20.24</t>
  </si>
  <si>
    <t>20.01.2027</t>
  </si>
  <si>
    <t>29.08.2024</t>
  </si>
  <si>
    <t>19.05.2025</t>
  </si>
  <si>
    <t>18.05.2030</t>
  </si>
  <si>
    <t>20.08.2023</t>
  </si>
  <si>
    <t>19.08.2028</t>
  </si>
  <si>
    <t>P1487</t>
  </si>
  <si>
    <t>04.12.2024</t>
  </si>
  <si>
    <t>24.04.2027</t>
  </si>
  <si>
    <t>04.03.2025</t>
  </si>
  <si>
    <t>03.05.2027</t>
  </si>
  <si>
    <t>05.05.2027</t>
  </si>
  <si>
    <t>24.06.2027</t>
  </si>
  <si>
    <t>22.05.2025</t>
  </si>
  <si>
    <t>30.10.2027</t>
  </si>
  <si>
    <t>14.01.2026</t>
  </si>
  <si>
    <t>06.02.2027</t>
  </si>
  <si>
    <t>30.03.2026</t>
  </si>
  <si>
    <t>09.02.2027</t>
  </si>
  <si>
    <t>P1490</t>
  </si>
  <si>
    <t>مشروع رفع كفاءة محطات الضخ بمدينة تبوك</t>
  </si>
  <si>
    <t>Saudi Bashayer Construction Company</t>
  </si>
  <si>
    <t>P1496</t>
  </si>
  <si>
    <t>مشروع استكمال شبكات المياه وأعمال الربط للخطوط الرئيسية وأعمال مواقع المياه و الخزانات  بمدينة تبوك</t>
  </si>
  <si>
    <t>26.12.2024</t>
  </si>
  <si>
    <t>09.11.2026</t>
  </si>
  <si>
    <t>31.05.2025</t>
  </si>
  <si>
    <t>02.11.2026</t>
  </si>
  <si>
    <t>01.08.2026</t>
  </si>
  <si>
    <t>17.11.2026</t>
  </si>
  <si>
    <t>P1513</t>
  </si>
  <si>
    <t>01.10.2024</t>
  </si>
  <si>
    <t>30.07.2026</t>
  </si>
  <si>
    <t>30.11.2024</t>
  </si>
  <si>
    <t>28.07.2026</t>
  </si>
  <si>
    <t>11.11.2025</t>
  </si>
  <si>
    <t>27.12.2026</t>
  </si>
  <si>
    <t>P841-1</t>
  </si>
  <si>
    <t>مشروع خفض الفاقد وإدارة الضغوط في القطاع الشمالي الغربي</t>
  </si>
  <si>
    <t xml:space="preserve">حول الى إدارة التشغيل الذكي </t>
  </si>
  <si>
    <t>Giza Arabia Systems</t>
  </si>
  <si>
    <t>P846-1</t>
  </si>
  <si>
    <t>تنفيذ خطوط الصرف الصحي الرئيسية  بمخططات الرانوناء واحياء جنوب المدينة</t>
  </si>
  <si>
    <t>20.03.2024</t>
  </si>
  <si>
    <t>03.04.2027</t>
  </si>
  <si>
    <t>10.09.2024</t>
  </si>
  <si>
    <t>28.03.2027</t>
  </si>
  <si>
    <t>05.04.2027</t>
  </si>
  <si>
    <t>P846-2</t>
  </si>
  <si>
    <t>24.01.2024</t>
  </si>
  <si>
    <t>18.01.2026</t>
  </si>
  <si>
    <t>05.03.2024</t>
  </si>
  <si>
    <t>01.01.2026</t>
  </si>
  <si>
    <t>09.07.2024</t>
  </si>
  <si>
    <t>24.12.2025</t>
  </si>
  <si>
    <t>09.11.2024</t>
  </si>
  <si>
    <t>27.12.2025</t>
  </si>
  <si>
    <t>23.10.2025</t>
  </si>
  <si>
    <t>31.12.2025</t>
  </si>
  <si>
    <t>P849-1</t>
  </si>
  <si>
    <t>08.01.2024</t>
  </si>
  <si>
    <t>21.11.2026</t>
  </si>
  <si>
    <t>01.02.2024</t>
  </si>
  <si>
    <t>06.10.2026</t>
  </si>
  <si>
    <t>18.11.2026</t>
  </si>
  <si>
    <t>P851</t>
  </si>
  <si>
    <t>30.12.2023</t>
  </si>
  <si>
    <t>04.10.2026</t>
  </si>
  <si>
    <t>06.01.2024</t>
  </si>
  <si>
    <t>26.09.2026</t>
  </si>
  <si>
    <t>05.10.2026</t>
  </si>
  <si>
    <t>15.10.2026</t>
  </si>
  <si>
    <t>28.04.2024</t>
  </si>
  <si>
    <t>25.01.2027</t>
  </si>
  <si>
    <t>06.08.2024</t>
  </si>
  <si>
    <t>26.01.2027</t>
  </si>
  <si>
    <t>02.08.2025</t>
  </si>
  <si>
    <t>16.03.2027</t>
  </si>
  <si>
    <t>29.12.2026</t>
  </si>
  <si>
    <t>17.03.2027</t>
  </si>
  <si>
    <t>02.11.2024</t>
  </si>
  <si>
    <t>31.05.2027</t>
  </si>
  <si>
    <t>23.06.2025</t>
  </si>
  <si>
    <t>30.11.2025</t>
  </si>
  <si>
    <t>03.06.2027</t>
  </si>
  <si>
    <t>P892</t>
  </si>
  <si>
    <t>16.01.2024</t>
  </si>
  <si>
    <t>P893</t>
  </si>
  <si>
    <t>11.12.2023</t>
  </si>
  <si>
    <t>15.09.2026</t>
  </si>
  <si>
    <t>12.10.2024</t>
  </si>
  <si>
    <t>22.08.2026</t>
  </si>
  <si>
    <t>10.08.2026</t>
  </si>
  <si>
    <t>21.09.2026</t>
  </si>
  <si>
    <t>24.02.2024</t>
  </si>
  <si>
    <t>01.04.2027</t>
  </si>
  <si>
    <t>01.09.2025</t>
  </si>
  <si>
    <t>23.01.2027</t>
  </si>
  <si>
    <t>17.04.2027</t>
  </si>
  <si>
    <t>P895-2</t>
  </si>
  <si>
    <t>27.09.2027</t>
  </si>
  <si>
    <t>05.07.2025</t>
  </si>
  <si>
    <t>30.08.2026</t>
  </si>
  <si>
    <t>20.05.2026</t>
  </si>
  <si>
    <t>29.09.2026</t>
  </si>
  <si>
    <t>27.05.2024</t>
  </si>
  <si>
    <t>16.04.2025</t>
  </si>
  <si>
    <t>09.09.2024</t>
  </si>
  <si>
    <t>09.04.2025</t>
  </si>
  <si>
    <t>15.04.2025</t>
  </si>
  <si>
    <t>04.07.2024</t>
  </si>
  <si>
    <t>15.04.2027</t>
  </si>
  <si>
    <t>14.07.2024</t>
  </si>
  <si>
    <t>25.05.2027</t>
  </si>
  <si>
    <t>05.04.2026</t>
  </si>
  <si>
    <t>30.05.2027</t>
  </si>
  <si>
    <t>19.05.2024</t>
  </si>
  <si>
    <t>15.05.2027</t>
  </si>
  <si>
    <t>01.07.2025</t>
  </si>
  <si>
    <t>20.09.2026</t>
  </si>
  <si>
    <t>19.05.2027</t>
  </si>
  <si>
    <t>P911</t>
  </si>
  <si>
    <t>09.12.2024</t>
  </si>
  <si>
    <t>13.07.2027</t>
  </si>
  <si>
    <t>02.05.2027</t>
  </si>
  <si>
    <t>11.08.2027</t>
  </si>
  <si>
    <t>12.08.2027</t>
  </si>
  <si>
    <t>09.09.2027</t>
  </si>
  <si>
    <t>P912</t>
  </si>
  <si>
    <t>15.04.2024</t>
  </si>
  <si>
    <t>26.04.2026</t>
  </si>
  <si>
    <t>06.05.2026</t>
  </si>
  <si>
    <t>07.05.2026</t>
  </si>
  <si>
    <t>12.05.2026</t>
  </si>
  <si>
    <t>AP240</t>
  </si>
  <si>
    <t>19.11.2024</t>
  </si>
  <si>
    <t>12.09.2026</t>
  </si>
  <si>
    <t>30.01.2025</t>
  </si>
  <si>
    <t>03.08.2026</t>
  </si>
  <si>
    <t>23.11.2025</t>
  </si>
  <si>
    <t>24.09.2026</t>
  </si>
  <si>
    <t>11.12.2024</t>
  </si>
  <si>
    <t>12.10.2026</t>
  </si>
  <si>
    <t>05.02.2025</t>
  </si>
  <si>
    <t>10.12.2025</t>
  </si>
  <si>
    <t>17.10.2026</t>
  </si>
  <si>
    <t>04.07.2027</t>
  </si>
  <si>
    <t>14.08.2025</t>
  </si>
  <si>
    <t>09.03.2027</t>
  </si>
  <si>
    <t>02.04.2026</t>
  </si>
  <si>
    <t>P903</t>
  </si>
  <si>
    <t>21.12.2024</t>
  </si>
  <si>
    <t>25.09.2027</t>
  </si>
  <si>
    <t>17.02.2025</t>
  </si>
  <si>
    <t>11.09.2027</t>
  </si>
  <si>
    <t>30.09.2027</t>
  </si>
  <si>
    <t>01.12.2024</t>
  </si>
  <si>
    <t>08.10.2026</t>
  </si>
  <si>
    <t>21.07.2026</t>
  </si>
  <si>
    <t>25.08.2026</t>
  </si>
  <si>
    <t>10.01.2027</t>
  </si>
  <si>
    <t>P864</t>
  </si>
  <si>
    <t>08.12.2024</t>
  </si>
  <si>
    <t>17.08.2025</t>
  </si>
  <si>
    <t>13.10.2026</t>
  </si>
  <si>
    <t>08.01.2025</t>
  </si>
  <si>
    <t>08.08.2027</t>
  </si>
  <si>
    <t>26.02.2025</t>
  </si>
  <si>
    <t>19.03.2025</t>
  </si>
  <si>
    <t>15.10.2027</t>
  </si>
  <si>
    <t>09.10.2024</t>
  </si>
  <si>
    <t>10.02.2026</t>
  </si>
  <si>
    <t>01.01.2025</t>
  </si>
  <si>
    <t>09.02.2026</t>
  </si>
  <si>
    <t>05.02.2026</t>
  </si>
  <si>
    <t>27.05.2026</t>
  </si>
  <si>
    <t>04.05.2025</t>
  </si>
  <si>
    <t>24.02.2027</t>
  </si>
  <si>
    <t>26.10.2025</t>
  </si>
  <si>
    <t>04.03.2027</t>
  </si>
  <si>
    <t>07.03.2027</t>
  </si>
  <si>
    <t>03.04.2025</t>
  </si>
  <si>
    <t>01.01.2028</t>
  </si>
  <si>
    <t>09.08.2025</t>
  </si>
  <si>
    <t>05.01.2028</t>
  </si>
  <si>
    <t>15.12.2027</t>
  </si>
  <si>
    <t>27.01.2028</t>
  </si>
  <si>
    <t>04.12.2025</t>
  </si>
  <si>
    <t>19.09.2027</t>
  </si>
  <si>
    <t>14.03.2026</t>
  </si>
  <si>
    <t>24.08.2027</t>
  </si>
  <si>
    <t>06.10.2027</t>
  </si>
  <si>
    <t>14.06.2025</t>
  </si>
  <si>
    <t>28.11.2026</t>
  </si>
  <si>
    <t>17.12.2026</t>
  </si>
  <si>
    <t>08.07.2028</t>
  </si>
  <si>
    <t>25.03.2026</t>
  </si>
  <si>
    <t>17.07.2028</t>
  </si>
  <si>
    <t>18.07.2028</t>
  </si>
  <si>
    <t>08.10.2028</t>
  </si>
  <si>
    <t>15.12.2025</t>
  </si>
  <si>
    <t>06.09.2028</t>
  </si>
  <si>
    <t>14.11.2026</t>
  </si>
  <si>
    <t>18.09.2028</t>
  </si>
  <si>
    <t>16.12.2027</t>
  </si>
  <si>
    <t>11.10.2028</t>
  </si>
  <si>
    <t>15.07.2028</t>
  </si>
  <si>
    <t>29.06.2026</t>
  </si>
  <si>
    <t>19.07.2028</t>
  </si>
  <si>
    <t>29.03..2028</t>
  </si>
  <si>
    <t>01.06.2025</t>
  </si>
  <si>
    <t>04.02.2026</t>
  </si>
  <si>
    <t>15.07.2025</t>
  </si>
  <si>
    <t>12.02.2026</t>
  </si>
  <si>
    <t>22.11.2025</t>
  </si>
  <si>
    <t>19.02.2026</t>
  </si>
  <si>
    <t>12.05.2025</t>
  </si>
  <si>
    <t>18.02.2027</t>
  </si>
  <si>
    <t>21.06.2025</t>
  </si>
  <si>
    <t>14.02.2027</t>
  </si>
  <si>
    <t>15.03.2027</t>
  </si>
  <si>
    <t>29.11.20225</t>
  </si>
  <si>
    <t>01.07.2028</t>
  </si>
  <si>
    <t>20.02.2027</t>
  </si>
  <si>
    <t>10.08.2028</t>
  </si>
  <si>
    <t>06.08.2028</t>
  </si>
  <si>
    <t>31.08.2028</t>
  </si>
  <si>
    <t>27.03.2027</t>
  </si>
  <si>
    <t>19.07.2025</t>
  </si>
  <si>
    <t>25.03.2027</t>
  </si>
  <si>
    <t>01.02.2027</t>
  </si>
  <si>
    <t>09.07.2025</t>
  </si>
  <si>
    <t>09.04.2028</t>
  </si>
  <si>
    <t>25.08.2025</t>
  </si>
  <si>
    <t>27.03.2028</t>
  </si>
  <si>
    <t>24.03.2026</t>
  </si>
  <si>
    <t>13.04.2028</t>
  </si>
  <si>
    <t>P841-2</t>
  </si>
  <si>
    <t>23.03.2025</t>
  </si>
  <si>
    <t>20.12.2027</t>
  </si>
  <si>
    <t>23.04.2025</t>
  </si>
  <si>
    <t>16.11.2027</t>
  </si>
  <si>
    <t>17.05.2025</t>
  </si>
  <si>
    <t>22.12.2027</t>
  </si>
  <si>
    <t>P845</t>
  </si>
  <si>
    <t>11.02.2024</t>
  </si>
  <si>
    <t>05.11.2026</t>
  </si>
  <si>
    <t>01.05.2024</t>
  </si>
  <si>
    <t>13.05.2026</t>
  </si>
  <si>
    <t>24.10.2026</t>
  </si>
  <si>
    <t>07.11.2026</t>
  </si>
  <si>
    <t>P854</t>
  </si>
  <si>
    <t>31.12.2024</t>
  </si>
  <si>
    <t>16.08.2026</t>
  </si>
  <si>
    <t>04.08.2025</t>
  </si>
  <si>
    <t>06.08.2026</t>
  </si>
  <si>
    <t>17.08.2026</t>
  </si>
  <si>
    <t>29.08.2026</t>
  </si>
  <si>
    <t>P883</t>
  </si>
  <si>
    <t>14.05.2024</t>
  </si>
  <si>
    <t>28.09.2026</t>
  </si>
  <si>
    <t>30.07.2024</t>
  </si>
  <si>
    <t>31.08.2026</t>
  </si>
  <si>
    <t>30.09.2026</t>
  </si>
  <si>
    <t>P891</t>
  </si>
  <si>
    <t>تنفيذ خطوط وشبكات مياه بمخططات حي السلام وحي طيبة</t>
  </si>
  <si>
    <t>المشاريع الملحة</t>
  </si>
  <si>
    <t>تحت التنفيذ-  تم تسليم ابتدائي</t>
  </si>
  <si>
    <t>8. Handover and Closeout Stage.</t>
  </si>
  <si>
    <t>تحت التنفيذ / تم الاستلام الابتدائي</t>
  </si>
  <si>
    <t>P897</t>
  </si>
  <si>
    <t>مشروع تنفيذ خطوط وتوصيلات المياه المنزلية بأحياء المدينة المنورة</t>
  </si>
  <si>
    <t>تحت التنفيذ- تم التسليم الابتدائي</t>
  </si>
  <si>
    <t>P816-1</t>
  </si>
  <si>
    <t>تنفيذ الخط الرئيسي للصرف الصحي لخدمة توسعة المطار بالمدينة المنورة</t>
  </si>
  <si>
    <t>تم دمجه تحت مشروع اخر</t>
  </si>
  <si>
    <t>تم دمجه  تحت P816-2</t>
  </si>
  <si>
    <t>P867</t>
  </si>
  <si>
    <t>تنفيذ خطوط وشبكات الصرف الصحي شرق المدينة المنورة</t>
  </si>
  <si>
    <t>تم دمجه تحت P855</t>
  </si>
  <si>
    <t>P896-2</t>
  </si>
  <si>
    <t xml:space="preserve">تنفيذ خزان تشغيلي غرب المدينة المنورة </t>
  </si>
  <si>
    <t>تم التوافق مع الهيئة السعودية للمياه على استخدام خزان التحلية القائم كبوابة والربط مباشرة على خط الخروج، وبناء عليه سيتم حذف المشروع والاستفادة بتكاليفه</t>
  </si>
  <si>
    <t>AP252</t>
  </si>
  <si>
    <t>بناء مشاريع تقديم خدمة  صرف صحي  لخطط الإسكان في العلا (3 مواقع</t>
  </si>
  <si>
    <t>تم دمجه  تحت مشروع P856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</si>
</sst>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43" formatCode="_(* #,##0.00_);_(* \(#,##0.00\);_(* &quot;-&quot;??_);_(@_)"/>
    <numFmt numFmtId="164" formatCode="[$SAR]\ #,##0"/>
    <numFmt numFmtId="165" formatCode="[$-409]mmm/yy;@"/>
    <numFmt numFmtId="166" formatCode="[$-409]d/mmm/yyyy;@"/>
    <numFmt numFmtId="167" formatCode="0.000"/>
    <numFmt numFmtId="168" formatCode="[$SAR]\ #,##0.00"/>
    <numFmt numFmtId="169" formatCode="yyyy\-mm\-dd;@"/>
    <numFmt numFmtId="170" formatCode="[$-409]d\-mmm\-yy;@"/>
    <numFmt numFmtId="171" formatCode="m/d/yyyy;@"/>
    <numFmt numFmtId="172" formatCode="[$-409]dd/mmm/yy;@"/>
  </numFmts>
  <fonts count="28">
    <font>
      <sz val="11"/>
      <color theme="1"/>
      <name val="Calibri"/>
      <family val="2"/>
      <scheme val="minor"/>
    </font>
    <font>
      <sz val="11"/>
      <color theme="1"/>
      <name val="Calibri"/>
      <family val="2"/>
      <scheme val="minor"/>
    </font>
    <font>
      <sz val="22"/>
      <color theme="1"/>
      <name val="Calibri"/>
      <family val="2"/>
      <scheme val="minor"/>
    </font>
    <font>
      <b/>
      <sz val="22"/>
      <color theme="1"/>
      <name val="Calibri"/>
      <family val="2"/>
      <scheme val="minor"/>
    </font>
    <font>
      <sz val="16"/>
      <color theme="0"/>
      <name val="Calibri"/>
      <family val="2"/>
      <scheme val="minor"/>
    </font>
    <font>
      <b/>
      <sz val="18"/>
      <color theme="0"/>
      <name val="Calibri"/>
      <family val="2"/>
      <scheme val="minor"/>
    </font>
    <font>
      <sz val="16"/>
      <color rgb="FFFF0000"/>
      <name val="Calibri"/>
      <family val="2"/>
      <scheme val="minor"/>
    </font>
    <font>
      <sz val="16"/>
      <color theme="1"/>
      <name val="Calibri"/>
      <family val="2"/>
      <scheme val="minor"/>
    </font>
    <font>
      <sz val="16"/>
      <color rgb="FF000000"/>
      <name val="Calibri"/>
      <family val="2"/>
    </font>
    <font>
      <sz val="16"/>
      <name val="Calibri"/>
      <family val="2"/>
      <scheme val="minor"/>
    </font>
    <font>
      <sz val="16"/>
      <color rgb="FFFF0000"/>
      <name val="Calibri"/>
      <family val="2"/>
    </font>
    <font>
      <sz val="18"/>
      <color rgb="FFFF0000"/>
      <name val="Arial"/>
      <family val="2"/>
    </font>
    <font>
      <sz val="18"/>
      <color rgb="FFFF0000"/>
      <name val="Calibri"/>
      <family val="2"/>
      <scheme val="minor"/>
    </font>
    <font>
      <sz val="17"/>
      <color rgb="FFFF0000"/>
      <name val="Sakkal Majalla"/>
      <charset val="178"/>
    </font>
    <font>
      <sz val="14"/>
      <color theme="1"/>
      <name val="Calibri"/>
      <family val="2"/>
      <scheme val="minor"/>
    </font>
    <font>
      <sz val="8"/>
      <name val="Calibri"/>
      <family val="2"/>
      <scheme val="minor"/>
    </font>
    <font>
      <sz val="16"/>
      <color theme="9" tint="-0.249977111117893"/>
      <name val="Calibri"/>
      <family val="2"/>
      <scheme val="minor"/>
    </font>
    <font>
      <b/>
      <sz val="16"/>
      <color rgb="FF000000"/>
      <name val="Calibri"/>
      <family val="2"/>
    </font>
    <font>
      <sz val="11"/>
      <color theme="1"/>
      <name val="Calibri"/>
      <family val="2"/>
    </font>
    <font>
      <sz val="11"/>
      <color rgb="FF000000"/>
      <name val="Calibri"/>
      <family val="2"/>
    </font>
    <font>
      <sz val="16"/>
      <color theme="1"/>
      <name val="Calibri"/>
      <family val="2"/>
    </font>
    <font>
      <sz val="20"/>
      <color theme="1"/>
      <name val="Calibri"/>
      <family val="2"/>
      <scheme val="minor"/>
    </font>
    <font>
      <sz val="16"/>
      <color theme="1"/>
      <name val="Sakkal Majalla"/>
      <charset val="178"/>
    </font>
    <font>
      <sz val="10"/>
      <name val="Arial"/>
      <family val="2"/>
    </font>
    <font>
      <sz val="10"/>
      <color rgb="FF00B0F0"/>
      <name val="Arial"/>
      <family val="2"/>
    </font>
    <font>
      <sz val="10"/>
      <name val="Arial"/>
      <family val="2"/>
    </font>
    <font>
      <sz val="16"/>
      <color rgb="FF0070C0"/>
      <name val="Calibri"/>
      <family val="2"/>
    </font>
    <font>
      <sz val="16"/>
      <name val="Calibri"/>
      <family val="2"/>
    </font>
  </fonts>
  <fills count="12">
    <fill>
      <patternFill patternType="none"/>
    </fill>
    <fill>
      <patternFill patternType="gray125"/>
    </fill>
    <fill>
      <patternFill patternType="solid">
        <fgColor theme="3"/>
        <bgColor indexed="64"/>
      </patternFill>
    </fill>
    <fill>
      <patternFill patternType="solid">
        <fgColor theme="9" tint="-0.49998474074526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00B0F0"/>
        <bgColor indexed="64"/>
      </patternFill>
    </fill>
  </fills>
  <borders count="47">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indexed="64"/>
      </right>
      <top/>
      <bottom style="thin">
        <color rgb="FF000000"/>
      </bottom>
      <diagonal/>
    </border>
    <border>
      <left style="thin">
        <color indexed="64"/>
      </left>
      <right style="thin">
        <color indexed="64"/>
      </right>
      <top style="hair">
        <color indexed="64"/>
      </top>
      <bottom style="hair">
        <color indexed="64"/>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style="thin">
        <color theme="0" tint="-4.9989318521683403E-2"/>
      </top>
      <bottom/>
      <diagonal/>
    </border>
    <border>
      <left style="thin">
        <color indexed="64"/>
      </left>
      <right style="thin">
        <color indexed="64"/>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medium">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medium">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right style="thin">
        <color auto="1"/>
      </right>
      <top style="thin">
        <color auto="1"/>
      </top>
      <bottom style="thick">
        <color auto="1"/>
      </bottom>
      <diagonal/>
    </border>
    <border>
      <left style="thick">
        <color auto="1"/>
      </left>
      <right style="thin">
        <color auto="1"/>
      </right>
      <top/>
      <bottom style="thin">
        <color auto="1"/>
      </bottom>
      <diagonal/>
    </border>
    <border>
      <left style="thick">
        <color auto="1"/>
      </left>
      <right style="thin">
        <color auto="1"/>
      </right>
      <top style="thin">
        <color auto="1"/>
      </top>
      <bottom/>
      <diagonal/>
    </border>
    <border>
      <left/>
      <right/>
      <top style="thin">
        <color auto="1"/>
      </top>
      <bottom style="thin">
        <color auto="1"/>
      </bottom>
      <diagonal/>
    </border>
    <border>
      <left/>
      <right/>
      <top style="thin">
        <color auto="1"/>
      </top>
      <bottom/>
      <diagonal/>
    </border>
    <border>
      <left/>
      <right/>
      <top style="thick">
        <color auto="1"/>
      </top>
      <bottom style="thin">
        <color auto="1"/>
      </bottom>
      <diagonal/>
    </border>
    <border>
      <left/>
      <right/>
      <top style="thin">
        <color auto="1"/>
      </top>
      <bottom style="thick">
        <color auto="1"/>
      </bottom>
      <diagonal/>
    </border>
    <border>
      <left/>
      <right/>
      <top/>
      <bottom style="thin">
        <color auto="1"/>
      </bottom>
      <diagonal/>
    </border>
  </borders>
  <cellStyleXfs count="5">
    <xf numFmtId="0" fontId="0" fillId="0" borderId="0"/>
    <xf numFmtId="43" fontId="1" fillId="0" borderId="0" applyFont="0" applyFill="0" applyBorder="0" applyAlignment="0" applyProtection="0"/>
    <xf numFmtId="0" fontId="1" fillId="0" borderId="0"/>
    <xf numFmtId="0" fontId="25" fillId="0" borderId="0"/>
    <xf numFmtId="0" fontId="23" fillId="0" borderId="0"/>
  </cellStyleXfs>
  <cellXfs count="358">
    <xf numFmtId="0" fontId="0" fillId="0" borderId="0" xfId="0"/>
    <xf numFmtId="0" fontId="2" fillId="0" borderId="0" xfId="0" applyFont="1"/>
    <xf numFmtId="0" fontId="2" fillId="0" borderId="0" xfId="0" applyFont="1" applyAlignment="1">
      <alignment horizontal="center" wrapText="1"/>
    </xf>
    <xf numFmtId="4" fontId="2" fillId="0" borderId="0" xfId="0" applyNumberFormat="1" applyFont="1" applyAlignment="1">
      <alignment horizontal="center" wrapText="1"/>
    </xf>
    <xf numFmtId="0" fontId="2" fillId="0" borderId="0" xfId="0" applyFont="1" applyAlignment="1">
      <alignment wrapText="1"/>
    </xf>
    <xf numFmtId="0" fontId="3" fillId="0" borderId="0" xfId="0" applyFont="1" applyAlignment="1">
      <alignment horizontal="center" vertical="center"/>
    </xf>
    <xf numFmtId="0" fontId="2" fillId="0" borderId="0" xfId="0" applyFont="1" applyAlignment="1">
      <alignment horizontal="center" vertical="center" wrapText="1"/>
    </xf>
    <xf numFmtId="0" fontId="6" fillId="4" borderId="1" xfId="0" applyFont="1" applyFill="1" applyBorder="1" applyAlignment="1" applyProtection="1">
      <alignment horizontal="center" vertical="center" wrapText="1"/>
      <protection locked="0"/>
    </xf>
    <xf numFmtId="0" fontId="7" fillId="0" borderId="0" xfId="0" applyFont="1" applyAlignment="1">
      <alignment wrapText="1"/>
    </xf>
    <xf numFmtId="0" fontId="8" fillId="0" borderId="0" xfId="0" applyFont="1" applyAlignment="1">
      <alignment horizontal="center" vertical="center"/>
    </xf>
    <xf numFmtId="166" fontId="8" fillId="0" borderId="0" xfId="0" applyNumberFormat="1" applyFont="1" applyAlignment="1">
      <alignment horizontal="center" vertical="center"/>
    </xf>
    <xf numFmtId="0" fontId="0" fillId="0" borderId="0" xfId="0" applyAlignment="1">
      <alignment wrapText="1"/>
    </xf>
    <xf numFmtId="0" fontId="8" fillId="0" borderId="0" xfId="1" applyNumberFormat="1" applyFont="1" applyAlignment="1">
      <alignment horizontal="center" vertical="center"/>
    </xf>
    <xf numFmtId="0" fontId="7" fillId="0" borderId="0" xfId="0" applyFont="1"/>
    <xf numFmtId="0" fontId="7" fillId="0" borderId="0" xfId="0" applyFont="1" applyAlignment="1">
      <alignment horizontal="center" wrapText="1"/>
    </xf>
    <xf numFmtId="4" fontId="7" fillId="0" borderId="0" xfId="0" applyNumberFormat="1" applyFont="1" applyAlignment="1">
      <alignment horizontal="center" wrapText="1"/>
    </xf>
    <xf numFmtId="0" fontId="8" fillId="0" borderId="0" xfId="0" applyFont="1" applyAlignment="1">
      <alignment horizontal="center" vertical="center" wrapText="1"/>
    </xf>
    <xf numFmtId="0" fontId="8" fillId="0" borderId="0" xfId="0" applyFont="1" applyAlignment="1">
      <alignment horizontal="center" vertical="center" wrapText="1" readingOrder="2"/>
    </xf>
    <xf numFmtId="167" fontId="3" fillId="5" borderId="0" xfId="0" applyNumberFormat="1" applyFont="1" applyFill="1" applyAlignment="1">
      <alignment horizontal="center" vertical="center"/>
    </xf>
    <xf numFmtId="0" fontId="2" fillId="5" borderId="0" xfId="0" applyFont="1" applyFill="1" applyAlignment="1">
      <alignment horizontal="center" vertical="center" wrapText="1"/>
    </xf>
    <xf numFmtId="0" fontId="3" fillId="5" borderId="0" xfId="0" applyFont="1" applyFill="1" applyAlignment="1">
      <alignment horizontal="center" vertical="center"/>
    </xf>
    <xf numFmtId="0" fontId="5" fillId="3" borderId="0" xfId="0" applyFont="1" applyFill="1" applyAlignment="1" applyProtection="1">
      <alignment horizontal="center" vertical="center" wrapText="1"/>
      <protection locked="0"/>
    </xf>
    <xf numFmtId="0" fontId="11" fillId="0" borderId="0" xfId="0" applyFont="1" applyAlignment="1">
      <alignment horizontal="right" vertical="center" wrapText="1" readingOrder="2"/>
    </xf>
    <xf numFmtId="165" fontId="8" fillId="6" borderId="0" xfId="0" applyNumberFormat="1" applyFont="1" applyFill="1" applyAlignment="1">
      <alignment horizontal="center" vertical="center"/>
    </xf>
    <xf numFmtId="165" fontId="10" fillId="0" borderId="0" xfId="0" applyNumberFormat="1" applyFont="1" applyAlignment="1">
      <alignment horizontal="right" vertical="center"/>
    </xf>
    <xf numFmtId="0" fontId="13" fillId="0" borderId="0" xfId="0" applyFont="1" applyAlignment="1" applyProtection="1">
      <alignment horizontal="right" vertical="center"/>
      <protection locked="0"/>
    </xf>
    <xf numFmtId="165" fontId="10" fillId="0" borderId="0" xfId="0" applyNumberFormat="1" applyFont="1" applyAlignment="1">
      <alignment horizontal="right" vertical="center" wrapText="1"/>
    </xf>
    <xf numFmtId="167" fontId="3" fillId="0" borderId="0" xfId="0" applyNumberFormat="1" applyFont="1" applyAlignment="1">
      <alignment horizontal="center" vertical="center"/>
    </xf>
    <xf numFmtId="164" fontId="7" fillId="0" borderId="3" xfId="0" applyNumberFormat="1" applyFont="1" applyBorder="1" applyAlignment="1">
      <alignment horizontal="center" vertical="center"/>
    </xf>
    <xf numFmtId="0" fontId="8" fillId="0" borderId="3" xfId="0" applyFont="1" applyBorder="1" applyAlignment="1">
      <alignment horizontal="center" vertical="center"/>
    </xf>
    <xf numFmtId="164" fontId="7" fillId="0" borderId="3" xfId="0" applyNumberFormat="1" applyFont="1" applyBorder="1" applyAlignment="1">
      <alignment horizontal="center" vertical="center" wrapText="1"/>
    </xf>
    <xf numFmtId="164" fontId="6" fillId="0" borderId="3" xfId="0" applyNumberFormat="1" applyFont="1" applyBorder="1" applyAlignment="1">
      <alignment horizontal="center" vertical="center" wrapText="1"/>
    </xf>
    <xf numFmtId="164" fontId="7" fillId="4" borderId="3" xfId="0" applyNumberFormat="1" applyFont="1" applyFill="1" applyBorder="1" applyAlignment="1">
      <alignment horizontal="center" vertical="center"/>
    </xf>
    <xf numFmtId="164" fontId="16" fillId="0" borderId="3" xfId="0" applyNumberFormat="1" applyFont="1" applyBorder="1" applyAlignment="1">
      <alignment horizontal="center" vertical="center"/>
    </xf>
    <xf numFmtId="164" fontId="6" fillId="4" borderId="3" xfId="0" applyNumberFormat="1" applyFont="1" applyFill="1" applyBorder="1" applyAlignment="1">
      <alignment horizontal="center" vertical="center"/>
    </xf>
    <xf numFmtId="0" fontId="4" fillId="0" borderId="2" xfId="0" applyFont="1" applyBorder="1" applyAlignment="1" applyProtection="1">
      <alignment horizontal="center" vertical="center" wrapText="1"/>
      <protection locked="0"/>
    </xf>
    <xf numFmtId="43" fontId="4" fillId="0" borderId="2" xfId="1" applyFont="1" applyFill="1" applyBorder="1" applyAlignment="1" applyProtection="1">
      <alignment horizontal="center" vertical="center" wrapText="1"/>
      <protection locked="0"/>
    </xf>
    <xf numFmtId="164" fontId="8" fillId="0" borderId="3" xfId="0" applyNumberFormat="1" applyFont="1" applyBorder="1" applyAlignment="1">
      <alignment horizontal="center" vertical="center"/>
    </xf>
    <xf numFmtId="14" fontId="8" fillId="0" borderId="0" xfId="0" applyNumberFormat="1" applyFont="1" applyAlignment="1">
      <alignment horizontal="center" vertical="center"/>
    </xf>
    <xf numFmtId="14" fontId="4" fillId="0" borderId="2" xfId="0" applyNumberFormat="1" applyFont="1" applyBorder="1" applyAlignment="1" applyProtection="1">
      <alignment horizontal="center" vertical="center" wrapText="1"/>
      <protection locked="0"/>
    </xf>
    <xf numFmtId="0" fontId="10" fillId="4" borderId="0" xfId="0" applyFont="1" applyFill="1" applyAlignment="1">
      <alignment horizontal="center" vertical="center" wrapText="1"/>
    </xf>
    <xf numFmtId="165" fontId="10" fillId="4" borderId="0" xfId="0" applyNumberFormat="1" applyFont="1" applyFill="1" applyAlignment="1">
      <alignment horizontal="right" vertical="center"/>
    </xf>
    <xf numFmtId="0" fontId="8" fillId="4" borderId="0" xfId="0" applyFont="1" applyFill="1" applyAlignment="1">
      <alignment horizontal="center" vertical="center" wrapText="1"/>
    </xf>
    <xf numFmtId="0" fontId="8" fillId="0" borderId="4" xfId="0" applyFont="1" applyBorder="1" applyAlignment="1">
      <alignment horizontal="center" vertical="center"/>
    </xf>
    <xf numFmtId="0" fontId="10" fillId="0" borderId="4" xfId="0" applyFont="1" applyBorder="1" applyAlignment="1">
      <alignment horizontal="center" vertical="center" wrapText="1"/>
    </xf>
    <xf numFmtId="165" fontId="8" fillId="0" borderId="4" xfId="0" applyNumberFormat="1" applyFont="1" applyBorder="1" applyAlignment="1">
      <alignment horizontal="center" vertical="center"/>
    </xf>
    <xf numFmtId="165" fontId="10" fillId="0" borderId="4" xfId="0" applyNumberFormat="1" applyFont="1" applyBorder="1" applyAlignment="1">
      <alignment horizontal="center" vertical="center"/>
    </xf>
    <xf numFmtId="0" fontId="8" fillId="0" borderId="4" xfId="0" applyFont="1" applyBorder="1" applyAlignment="1">
      <alignment horizontal="center" vertical="center" wrapText="1"/>
    </xf>
    <xf numFmtId="165" fontId="8" fillId="0" borderId="4" xfId="0" applyNumberFormat="1" applyFont="1" applyBorder="1" applyAlignment="1">
      <alignment horizontal="center" vertical="center" wrapText="1"/>
    </xf>
    <xf numFmtId="0" fontId="20" fillId="0" borderId="4" xfId="0" applyFont="1" applyBorder="1" applyAlignment="1">
      <alignment horizontal="center" vertical="center"/>
    </xf>
    <xf numFmtId="0" fontId="4" fillId="2" borderId="5" xfId="0" applyFont="1" applyFill="1" applyBorder="1" applyAlignment="1" applyProtection="1">
      <alignment horizontal="center" vertical="center" wrapText="1"/>
      <protection locked="0"/>
    </xf>
    <xf numFmtId="4" fontId="4" fillId="2" borderId="5" xfId="0" applyNumberFormat="1" applyFont="1" applyFill="1" applyBorder="1" applyAlignment="1" applyProtection="1">
      <alignment horizontal="center" vertical="center" wrapText="1"/>
      <protection locked="0"/>
    </xf>
    <xf numFmtId="0" fontId="5" fillId="3" borderId="6" xfId="0" applyFont="1" applyFill="1" applyBorder="1" applyAlignment="1" applyProtection="1">
      <alignment horizontal="center" vertical="center" wrapText="1"/>
      <protection locked="0"/>
    </xf>
    <xf numFmtId="0" fontId="7" fillId="0" borderId="4" xfId="0" applyFont="1" applyBorder="1" applyAlignment="1">
      <alignment horizontal="center" vertical="center"/>
    </xf>
    <xf numFmtId="168" fontId="14" fillId="0" borderId="4" xfId="1" applyNumberFormat="1" applyFont="1" applyFill="1" applyBorder="1" applyAlignment="1">
      <alignment horizontal="center" vertical="center"/>
    </xf>
    <xf numFmtId="164" fontId="7" fillId="0" borderId="4" xfId="0" applyNumberFormat="1" applyFont="1" applyBorder="1" applyAlignment="1">
      <alignment horizontal="center" vertical="center"/>
    </xf>
    <xf numFmtId="0" fontId="9" fillId="0" borderId="4" xfId="0" applyFont="1" applyBorder="1" applyAlignment="1">
      <alignment horizontal="center" vertical="center"/>
    </xf>
    <xf numFmtId="0" fontId="7" fillId="0" borderId="4" xfId="0" applyFont="1" applyBorder="1" applyAlignment="1">
      <alignment horizontal="right" vertical="center"/>
    </xf>
    <xf numFmtId="0" fontId="6" fillId="0" borderId="4" xfId="0" applyFont="1" applyBorder="1" applyAlignment="1">
      <alignment horizontal="center" vertical="center"/>
    </xf>
    <xf numFmtId="168" fontId="14" fillId="0" borderId="4" xfId="0" applyNumberFormat="1" applyFont="1" applyBorder="1" applyAlignment="1">
      <alignment horizontal="center" vertical="center"/>
    </xf>
    <xf numFmtId="0" fontId="7" fillId="7" borderId="4" xfId="0" applyFont="1" applyFill="1" applyBorder="1" applyAlignment="1">
      <alignment horizontal="center" vertical="center"/>
    </xf>
    <xf numFmtId="164" fontId="7" fillId="4" borderId="4" xfId="0" applyNumberFormat="1" applyFont="1" applyFill="1" applyBorder="1" applyAlignment="1">
      <alignment horizontal="center" vertical="center"/>
    </xf>
    <xf numFmtId="0" fontId="7" fillId="4" borderId="4" xfId="0" applyFont="1" applyFill="1" applyBorder="1" applyAlignment="1">
      <alignment horizontal="right" vertical="center"/>
    </xf>
    <xf numFmtId="0" fontId="22" fillId="0" borderId="0" xfId="0" applyFont="1" applyAlignment="1">
      <alignment horizontal="right" vertical="center" wrapText="1"/>
    </xf>
    <xf numFmtId="0" fontId="18" fillId="0" borderId="0" xfId="0" applyFont="1" applyAlignment="1">
      <alignment horizontal="right" vertical="center" wrapText="1"/>
    </xf>
    <xf numFmtId="170" fontId="19" fillId="0" borderId="0" xfId="0" applyNumberFormat="1" applyFont="1" applyAlignment="1">
      <alignment horizontal="center" vertical="center" wrapText="1"/>
    </xf>
    <xf numFmtId="169" fontId="24" fillId="0" borderId="0" xfId="0" applyNumberFormat="1" applyFont="1" applyAlignment="1">
      <alignment horizontal="center" vertical="center" wrapText="1" readingOrder="1"/>
    </xf>
    <xf numFmtId="0" fontId="22" fillId="0" borderId="0" xfId="0" applyFont="1" applyAlignment="1">
      <alignment horizontal="right" vertical="center"/>
    </xf>
    <xf numFmtId="165" fontId="8" fillId="6" borderId="4" xfId="0" applyNumberFormat="1" applyFont="1" applyFill="1" applyBorder="1" applyAlignment="1">
      <alignment horizontal="center" vertical="center"/>
    </xf>
    <xf numFmtId="164" fontId="7" fillId="0" borderId="4" xfId="0" applyNumberFormat="1" applyFont="1" applyBorder="1" applyAlignment="1">
      <alignment horizontal="center" vertical="center" wrapText="1"/>
    </xf>
    <xf numFmtId="164" fontId="6" fillId="0" borderId="4" xfId="0" applyNumberFormat="1" applyFont="1" applyBorder="1" applyAlignment="1">
      <alignment horizontal="center" vertical="center"/>
    </xf>
    <xf numFmtId="164" fontId="16" fillId="0" borderId="4" xfId="0" applyNumberFormat="1" applyFont="1" applyBorder="1" applyAlignment="1">
      <alignment horizontal="center" vertical="center"/>
    </xf>
    <xf numFmtId="164" fontId="6"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right" vertical="center" wrapText="1"/>
    </xf>
    <xf numFmtId="49" fontId="8" fillId="0" borderId="4" xfId="0" applyNumberFormat="1" applyFont="1" applyBorder="1" applyAlignment="1">
      <alignment horizontal="center" vertical="center"/>
    </xf>
    <xf numFmtId="49" fontId="10" fillId="0" borderId="4" xfId="0" applyNumberFormat="1" applyFont="1" applyBorder="1" applyAlignment="1">
      <alignment horizontal="center" vertical="center"/>
    </xf>
    <xf numFmtId="0" fontId="8" fillId="0" borderId="7" xfId="0" applyFont="1" applyBorder="1" applyAlignment="1">
      <alignment horizontal="center" vertical="center" wrapText="1"/>
    </xf>
    <xf numFmtId="0" fontId="10" fillId="0" borderId="7" xfId="0" applyFont="1" applyBorder="1" applyAlignment="1">
      <alignment horizontal="center" vertical="center" wrapText="1"/>
    </xf>
    <xf numFmtId="165" fontId="8" fillId="0" borderId="7" xfId="0" applyNumberFormat="1" applyFont="1" applyBorder="1" applyAlignment="1">
      <alignment horizontal="center" vertical="center" wrapText="1"/>
    </xf>
    <xf numFmtId="165" fontId="10" fillId="0" borderId="7" xfId="0" applyNumberFormat="1" applyFont="1" applyBorder="1" applyAlignment="1">
      <alignment horizontal="center" vertical="center" wrapText="1"/>
    </xf>
    <xf numFmtId="14" fontId="8" fillId="9" borderId="8" xfId="0" applyNumberFormat="1" applyFont="1" applyFill="1" applyBorder="1" applyAlignment="1">
      <alignment horizontal="center" vertical="center" wrapText="1"/>
    </xf>
    <xf numFmtId="14" fontId="10" fillId="9" borderId="8" xfId="0" applyNumberFormat="1" applyFont="1" applyFill="1" applyBorder="1" applyAlignment="1">
      <alignment horizontal="center" vertical="center" wrapText="1"/>
    </xf>
    <xf numFmtId="165" fontId="8" fillId="0" borderId="8" xfId="0" applyNumberFormat="1" applyFont="1" applyBorder="1" applyAlignment="1">
      <alignment horizontal="center" vertical="center" wrapText="1"/>
    </xf>
    <xf numFmtId="165" fontId="10" fillId="0" borderId="8" xfId="0" applyNumberFormat="1" applyFont="1" applyBorder="1" applyAlignment="1">
      <alignment horizontal="center" vertical="center" wrapText="1"/>
    </xf>
    <xf numFmtId="0" fontId="5" fillId="3" borderId="11" xfId="0" applyFont="1" applyFill="1" applyBorder="1" applyAlignment="1" applyProtection="1">
      <alignment horizontal="center" vertical="center" wrapText="1"/>
      <protection locked="0"/>
    </xf>
    <xf numFmtId="0" fontId="5" fillId="3" borderId="12" xfId="0" applyFont="1" applyFill="1" applyBorder="1" applyAlignment="1" applyProtection="1">
      <alignment horizontal="center" vertical="center" wrapText="1"/>
      <protection locked="0"/>
    </xf>
    <xf numFmtId="14" fontId="8" fillId="9" borderId="13" xfId="0" applyNumberFormat="1" applyFont="1" applyFill="1" applyBorder="1" applyAlignment="1">
      <alignment horizontal="center" vertical="center" wrapText="1"/>
    </xf>
    <xf numFmtId="14" fontId="8" fillId="9" borderId="14" xfId="0" applyNumberFormat="1" applyFont="1" applyFill="1" applyBorder="1" applyAlignment="1">
      <alignment horizontal="center" vertical="center" wrapText="1"/>
    </xf>
    <xf numFmtId="14" fontId="8" fillId="9" borderId="7" xfId="0" applyNumberFormat="1" applyFont="1" applyFill="1" applyBorder="1" applyAlignment="1">
      <alignment horizontal="center" vertical="center" wrapText="1"/>
    </xf>
    <xf numFmtId="14" fontId="10" fillId="9" borderId="7" xfId="0" applyNumberFormat="1" applyFont="1" applyFill="1" applyBorder="1" applyAlignment="1">
      <alignment horizontal="center" vertical="center" wrapText="1"/>
    </xf>
    <xf numFmtId="14" fontId="8" fillId="0" borderId="7" xfId="0" applyNumberFormat="1" applyFont="1" applyBorder="1" applyAlignment="1">
      <alignment horizontal="center" vertical="center" wrapText="1"/>
    </xf>
    <xf numFmtId="14" fontId="10" fillId="0" borderId="7" xfId="0" applyNumberFormat="1" applyFont="1" applyBorder="1" applyAlignment="1">
      <alignment horizontal="center" vertical="center" wrapText="1"/>
    </xf>
    <xf numFmtId="14" fontId="8" fillId="0" borderId="8" xfId="0" applyNumberFormat="1" applyFont="1" applyBorder="1" applyAlignment="1">
      <alignment horizontal="center" vertical="center" wrapText="1"/>
    </xf>
    <xf numFmtId="0" fontId="8" fillId="9" borderId="13" xfId="0" applyFont="1" applyFill="1" applyBorder="1" applyAlignment="1">
      <alignment horizontal="center" vertical="center" wrapText="1"/>
    </xf>
    <xf numFmtId="0" fontId="8" fillId="9" borderId="14" xfId="0" applyFont="1" applyFill="1" applyBorder="1" applyAlignment="1">
      <alignment horizontal="center" vertical="center" wrapText="1"/>
    </xf>
    <xf numFmtId="165" fontId="8" fillId="0" borderId="13" xfId="0" applyNumberFormat="1" applyFont="1" applyBorder="1" applyAlignment="1">
      <alignment horizontal="center" vertical="center" wrapText="1"/>
    </xf>
    <xf numFmtId="165" fontId="8" fillId="0" borderId="14" xfId="0" applyNumberFormat="1" applyFont="1" applyBorder="1" applyAlignment="1">
      <alignment horizontal="center" vertical="center" wrapText="1"/>
    </xf>
    <xf numFmtId="165" fontId="10" fillId="0" borderId="13" xfId="0" applyNumberFormat="1" applyFont="1" applyBorder="1" applyAlignment="1">
      <alignment horizontal="center" vertical="center" wrapText="1"/>
    </xf>
    <xf numFmtId="165" fontId="10" fillId="0" borderId="14" xfId="0" applyNumberFormat="1" applyFont="1" applyBorder="1" applyAlignment="1">
      <alignment horizontal="center" vertical="center" wrapText="1"/>
    </xf>
    <xf numFmtId="14" fontId="8" fillId="0" borderId="13" xfId="0" applyNumberFormat="1" applyFont="1" applyBorder="1" applyAlignment="1">
      <alignment horizontal="center" vertical="center" wrapText="1"/>
    </xf>
    <xf numFmtId="14" fontId="8" fillId="0" borderId="14" xfId="0" applyNumberFormat="1" applyFont="1" applyBorder="1" applyAlignment="1">
      <alignment horizontal="center" vertical="center" wrapText="1"/>
    </xf>
    <xf numFmtId="171" fontId="8" fillId="0" borderId="7" xfId="0" applyNumberFormat="1" applyFont="1" applyBorder="1" applyAlignment="1">
      <alignment horizontal="center" vertical="center" wrapText="1"/>
    </xf>
    <xf numFmtId="0" fontId="8" fillId="9" borderId="8" xfId="0" applyFont="1" applyFill="1" applyBorder="1" applyAlignment="1">
      <alignment horizontal="center" vertical="center"/>
    </xf>
    <xf numFmtId="0" fontId="8" fillId="0" borderId="8" xfId="0" applyFont="1" applyBorder="1" applyAlignment="1">
      <alignment horizontal="center" vertical="center"/>
    </xf>
    <xf numFmtId="165" fontId="8" fillId="0" borderId="8" xfId="0" applyNumberFormat="1" applyFont="1" applyBorder="1" applyAlignment="1">
      <alignment horizontal="center" vertical="center"/>
    </xf>
    <xf numFmtId="165" fontId="10" fillId="0" borderId="8" xfId="0" applyNumberFormat="1" applyFont="1" applyBorder="1" applyAlignment="1">
      <alignment horizontal="center" vertical="center"/>
    </xf>
    <xf numFmtId="14" fontId="8" fillId="9" borderId="13" xfId="0" applyNumberFormat="1" applyFont="1" applyFill="1" applyBorder="1" applyAlignment="1">
      <alignment horizontal="center" vertical="center"/>
    </xf>
    <xf numFmtId="14" fontId="10" fillId="9" borderId="14" xfId="0" applyNumberFormat="1" applyFont="1" applyFill="1" applyBorder="1" applyAlignment="1">
      <alignment horizontal="center" vertical="center"/>
    </xf>
    <xf numFmtId="14" fontId="10" fillId="0" borderId="14" xfId="0" applyNumberFormat="1" applyFont="1" applyBorder="1" applyAlignment="1">
      <alignment horizontal="center" vertical="center"/>
    </xf>
    <xf numFmtId="14" fontId="8" fillId="0" borderId="13" xfId="0" applyNumberFormat="1" applyFont="1" applyBorder="1" applyAlignment="1">
      <alignment horizontal="center" vertical="center"/>
    </xf>
    <xf numFmtId="0" fontId="8" fillId="0" borderId="7" xfId="0" applyFont="1" applyBorder="1" applyAlignment="1">
      <alignment horizontal="center" vertical="center"/>
    </xf>
    <xf numFmtId="165" fontId="8" fillId="0" borderId="7" xfId="0" applyNumberFormat="1" applyFont="1" applyBorder="1" applyAlignment="1">
      <alignment horizontal="center" vertical="center"/>
    </xf>
    <xf numFmtId="165" fontId="10" fillId="0" borderId="7" xfId="0" applyNumberFormat="1" applyFont="1" applyBorder="1" applyAlignment="1">
      <alignment horizontal="center" vertical="center"/>
    </xf>
    <xf numFmtId="0" fontId="8" fillId="0" borderId="8" xfId="0" applyFont="1" applyBorder="1" applyAlignment="1">
      <alignment horizontal="center" vertical="center" wrapText="1"/>
    </xf>
    <xf numFmtId="0" fontId="20" fillId="0" borderId="8" xfId="0" applyFont="1" applyBorder="1" applyAlignment="1">
      <alignment horizontal="center" vertical="center" wrapText="1"/>
    </xf>
    <xf numFmtId="0" fontId="8" fillId="0" borderId="13" xfId="0" applyFont="1" applyBorder="1" applyAlignment="1">
      <alignment horizontal="center" vertical="center"/>
    </xf>
    <xf numFmtId="0" fontId="8" fillId="0" borderId="14" xfId="0" applyFont="1" applyBorder="1" applyAlignment="1">
      <alignment horizontal="center" vertical="center"/>
    </xf>
    <xf numFmtId="165" fontId="8" fillId="0" borderId="13" xfId="0" applyNumberFormat="1" applyFont="1" applyBorder="1" applyAlignment="1">
      <alignment horizontal="center" vertical="center"/>
    </xf>
    <xf numFmtId="165" fontId="8" fillId="0" borderId="14" xfId="0" applyNumberFormat="1" applyFont="1" applyBorder="1" applyAlignment="1">
      <alignment horizontal="center" vertical="center"/>
    </xf>
    <xf numFmtId="0" fontId="8" fillId="0" borderId="15" xfId="0" applyFont="1" applyBorder="1" applyAlignment="1">
      <alignment horizontal="center" vertical="center"/>
    </xf>
    <xf numFmtId="0" fontId="8" fillId="0" borderId="16" xfId="0" applyFont="1" applyBorder="1" applyAlignment="1">
      <alignment horizontal="center" vertical="center"/>
    </xf>
    <xf numFmtId="170" fontId="8" fillId="9" borderId="14" xfId="0" applyNumberFormat="1" applyFont="1" applyFill="1" applyBorder="1" applyAlignment="1">
      <alignment horizontal="center" vertical="center" wrapText="1"/>
    </xf>
    <xf numFmtId="170" fontId="8" fillId="9" borderId="13" xfId="0" applyNumberFormat="1" applyFont="1" applyFill="1" applyBorder="1" applyAlignment="1">
      <alignment horizontal="center" vertical="center"/>
    </xf>
    <xf numFmtId="170" fontId="10" fillId="9" borderId="14" xfId="0" applyNumberFormat="1" applyFont="1" applyFill="1" applyBorder="1" applyAlignment="1">
      <alignment horizontal="center" vertical="center"/>
    </xf>
    <xf numFmtId="170" fontId="10" fillId="0" borderId="14" xfId="0" applyNumberFormat="1" applyFont="1" applyBorder="1" applyAlignment="1">
      <alignment horizontal="center" vertical="center"/>
    </xf>
    <xf numFmtId="170" fontId="8" fillId="0" borderId="13" xfId="0" applyNumberFormat="1" applyFont="1" applyBorder="1" applyAlignment="1">
      <alignment horizontal="center" vertical="center"/>
    </xf>
    <xf numFmtId="170" fontId="8" fillId="0" borderId="15" xfId="0" applyNumberFormat="1" applyFont="1" applyBorder="1" applyAlignment="1">
      <alignment horizontal="center" vertical="center"/>
    </xf>
    <xf numFmtId="170" fontId="10" fillId="0" borderId="16" xfId="0" applyNumberFormat="1" applyFont="1" applyBorder="1" applyAlignment="1">
      <alignment horizontal="center" vertical="center"/>
    </xf>
    <xf numFmtId="170" fontId="8" fillId="9" borderId="13" xfId="0" applyNumberFormat="1" applyFont="1" applyFill="1" applyBorder="1" applyAlignment="1">
      <alignment horizontal="center" vertical="center" wrapText="1"/>
    </xf>
    <xf numFmtId="170" fontId="8" fillId="9" borderId="8" xfId="0" applyNumberFormat="1" applyFont="1" applyFill="1" applyBorder="1" applyAlignment="1">
      <alignment horizontal="center" vertical="center" wrapText="1"/>
    </xf>
    <xf numFmtId="170" fontId="8" fillId="9" borderId="7" xfId="0" applyNumberFormat="1" applyFont="1" applyFill="1" applyBorder="1" applyAlignment="1">
      <alignment horizontal="center" vertical="center" wrapText="1"/>
    </xf>
    <xf numFmtId="170" fontId="10" fillId="9" borderId="8" xfId="0" applyNumberFormat="1" applyFont="1" applyFill="1" applyBorder="1" applyAlignment="1">
      <alignment horizontal="center" vertical="center" wrapText="1"/>
    </xf>
    <xf numFmtId="170" fontId="10" fillId="9" borderId="7" xfId="0" applyNumberFormat="1" applyFont="1" applyFill="1" applyBorder="1" applyAlignment="1">
      <alignment horizontal="center" vertical="center" wrapText="1"/>
    </xf>
    <xf numFmtId="170" fontId="8" fillId="0" borderId="7" xfId="0" applyNumberFormat="1" applyFont="1" applyBorder="1" applyAlignment="1">
      <alignment horizontal="center" vertical="center" wrapText="1"/>
    </xf>
    <xf numFmtId="170" fontId="8" fillId="9" borderId="15" xfId="0" applyNumberFormat="1" applyFont="1" applyFill="1" applyBorder="1" applyAlignment="1">
      <alignment horizontal="center" vertical="center" wrapText="1"/>
    </xf>
    <xf numFmtId="170" fontId="8" fillId="9" borderId="16" xfId="0" applyNumberFormat="1" applyFont="1" applyFill="1" applyBorder="1" applyAlignment="1">
      <alignment horizontal="center" vertical="center" wrapText="1"/>
    </xf>
    <xf numFmtId="170" fontId="8" fillId="9" borderId="8" xfId="0" applyNumberFormat="1" applyFont="1" applyFill="1" applyBorder="1" applyAlignment="1">
      <alignment horizontal="center" vertical="center"/>
    </xf>
    <xf numFmtId="0" fontId="7" fillId="11" borderId="4" xfId="0" applyFont="1" applyFill="1" applyBorder="1" applyAlignment="1">
      <alignment horizontal="right" vertical="center"/>
    </xf>
    <xf numFmtId="164" fontId="10" fillId="0" borderId="4" xfId="0" applyNumberFormat="1" applyFont="1" applyBorder="1" applyAlignment="1">
      <alignment horizontal="center" vertical="center"/>
    </xf>
    <xf numFmtId="165" fontId="10" fillId="0" borderId="0" xfId="0" applyNumberFormat="1" applyFont="1" applyAlignment="1">
      <alignment horizontal="center" vertical="center"/>
    </xf>
    <xf numFmtId="164" fontId="10" fillId="0" borderId="3" xfId="0" applyNumberFormat="1" applyFont="1" applyBorder="1" applyAlignment="1">
      <alignment horizontal="center" vertical="center"/>
    </xf>
    <xf numFmtId="166" fontId="8" fillId="0" borderId="0" xfId="0" applyNumberFormat="1" applyFont="1" applyAlignment="1">
      <alignment horizontal="center" vertical="center" wrapText="1"/>
    </xf>
    <xf numFmtId="0" fontId="7" fillId="0" borderId="17" xfId="0" applyFont="1" applyBorder="1" applyAlignment="1">
      <alignment horizontal="center" vertical="center"/>
    </xf>
    <xf numFmtId="168" fontId="14" fillId="0" borderId="17" xfId="1" applyNumberFormat="1" applyFont="1" applyFill="1" applyBorder="1" applyAlignment="1">
      <alignment horizontal="center" vertical="center"/>
    </xf>
    <xf numFmtId="164" fontId="7" fillId="0" borderId="17" xfId="0" applyNumberFormat="1" applyFont="1" applyBorder="1" applyAlignment="1">
      <alignment horizontal="center" vertical="center"/>
    </xf>
    <xf numFmtId="0" fontId="8" fillId="0" borderId="17" xfId="0" applyFont="1" applyBorder="1" applyAlignment="1">
      <alignment horizontal="center" vertical="center"/>
    </xf>
    <xf numFmtId="172" fontId="8" fillId="0" borderId="13" xfId="0" applyNumberFormat="1" applyFont="1" applyBorder="1" applyAlignment="1">
      <alignment horizontal="center" vertical="center"/>
    </xf>
    <xf numFmtId="172" fontId="8" fillId="0" borderId="14" xfId="0" applyNumberFormat="1" applyFont="1" applyBorder="1" applyAlignment="1">
      <alignment horizontal="center" vertical="center"/>
    </xf>
    <xf numFmtId="172" fontId="8" fillId="0" borderId="13" xfId="0" applyNumberFormat="1" applyFont="1" applyBorder="1" applyAlignment="1">
      <alignment horizontal="center" vertical="center" wrapText="1"/>
    </xf>
    <xf numFmtId="172" fontId="8" fillId="0" borderId="14" xfId="0" applyNumberFormat="1" applyFont="1" applyBorder="1" applyAlignment="1">
      <alignment horizontal="center" vertical="center" wrapText="1"/>
    </xf>
    <xf numFmtId="172" fontId="20" fillId="0" borderId="13" xfId="0" applyNumberFormat="1" applyFont="1" applyBorder="1" applyAlignment="1">
      <alignment horizontal="center" vertical="center"/>
    </xf>
    <xf numFmtId="14" fontId="0" fillId="0" borderId="0" xfId="0" applyNumberFormat="1"/>
    <xf numFmtId="172" fontId="0" fillId="0" borderId="0" xfId="0" applyNumberFormat="1"/>
    <xf numFmtId="172" fontId="8" fillId="9" borderId="13" xfId="0" applyNumberFormat="1" applyFont="1" applyFill="1" applyBorder="1" applyAlignment="1">
      <alignment horizontal="center" vertical="center" readingOrder="1"/>
    </xf>
    <xf numFmtId="172" fontId="8" fillId="9" borderId="14" xfId="0" applyNumberFormat="1" applyFont="1" applyFill="1" applyBorder="1" applyAlignment="1">
      <alignment horizontal="center" vertical="center" readingOrder="1"/>
    </xf>
    <xf numFmtId="172" fontId="8" fillId="9" borderId="8" xfId="0" applyNumberFormat="1" applyFont="1" applyFill="1" applyBorder="1" applyAlignment="1">
      <alignment horizontal="center" vertical="center" readingOrder="1"/>
    </xf>
    <xf numFmtId="172" fontId="8" fillId="9" borderId="7" xfId="0" applyNumberFormat="1" applyFont="1" applyFill="1" applyBorder="1" applyAlignment="1">
      <alignment horizontal="center" vertical="center" readingOrder="1"/>
    </xf>
    <xf numFmtId="172" fontId="10" fillId="9" borderId="14" xfId="0" applyNumberFormat="1" applyFont="1" applyFill="1" applyBorder="1" applyAlignment="1">
      <alignment horizontal="center" vertical="center" readingOrder="1"/>
    </xf>
    <xf numFmtId="172" fontId="8" fillId="0" borderId="14" xfId="0" applyNumberFormat="1" applyFont="1" applyBorder="1" applyAlignment="1">
      <alignment horizontal="center" vertical="center" readingOrder="1"/>
    </xf>
    <xf numFmtId="172" fontId="8" fillId="0" borderId="13" xfId="0" applyNumberFormat="1" applyFont="1" applyBorder="1" applyAlignment="1">
      <alignment horizontal="center" vertical="center" readingOrder="1"/>
    </xf>
    <xf numFmtId="172" fontId="8" fillId="9" borderId="13" xfId="0" applyNumberFormat="1" applyFont="1" applyFill="1" applyBorder="1" applyAlignment="1">
      <alignment horizontal="center" vertical="center" wrapText="1"/>
    </xf>
    <xf numFmtId="172" fontId="8" fillId="9" borderId="14" xfId="0" applyNumberFormat="1" applyFont="1" applyFill="1" applyBorder="1" applyAlignment="1">
      <alignment horizontal="center" vertical="center" wrapText="1"/>
    </xf>
    <xf numFmtId="172" fontId="8" fillId="9" borderId="8" xfId="0" applyNumberFormat="1" applyFont="1" applyFill="1" applyBorder="1" applyAlignment="1">
      <alignment horizontal="center" vertical="center" wrapText="1"/>
    </xf>
    <xf numFmtId="172" fontId="8" fillId="9" borderId="7" xfId="0" applyNumberFormat="1" applyFont="1" applyFill="1" applyBorder="1" applyAlignment="1">
      <alignment horizontal="center" vertical="center" wrapText="1"/>
    </xf>
    <xf numFmtId="172" fontId="8" fillId="9" borderId="13" xfId="0" applyNumberFormat="1" applyFont="1" applyFill="1" applyBorder="1" applyAlignment="1">
      <alignment horizontal="center" vertical="center"/>
    </xf>
    <xf numFmtId="172" fontId="10" fillId="9" borderId="14" xfId="0" applyNumberFormat="1" applyFont="1" applyFill="1" applyBorder="1" applyAlignment="1">
      <alignment horizontal="center" vertical="center"/>
    </xf>
    <xf numFmtId="172" fontId="10" fillId="0" borderId="14" xfId="0" applyNumberFormat="1" applyFont="1" applyBorder="1" applyAlignment="1">
      <alignment horizontal="center" vertical="center"/>
    </xf>
    <xf numFmtId="172" fontId="20" fillId="0" borderId="13" xfId="0" applyNumberFormat="1" applyFont="1" applyBorder="1" applyAlignment="1">
      <alignment horizontal="center" vertical="center" readingOrder="1"/>
    </xf>
    <xf numFmtId="172" fontId="20" fillId="0" borderId="14" xfId="0" applyNumberFormat="1" applyFont="1" applyBorder="1" applyAlignment="1">
      <alignment horizontal="center" vertical="center" readingOrder="1"/>
    </xf>
    <xf numFmtId="172" fontId="26" fillId="0" borderId="14" xfId="0" applyNumberFormat="1" applyFont="1" applyBorder="1" applyAlignment="1">
      <alignment horizontal="center" vertical="center" readingOrder="1"/>
    </xf>
    <xf numFmtId="172" fontId="10" fillId="9" borderId="7" xfId="0" applyNumberFormat="1" applyFont="1" applyFill="1" applyBorder="1" applyAlignment="1">
      <alignment horizontal="center" vertical="center" readingOrder="1"/>
    </xf>
    <xf numFmtId="172" fontId="10" fillId="0" borderId="8" xfId="0" applyNumberFormat="1" applyFont="1" applyBorder="1" applyAlignment="1">
      <alignment horizontal="center" vertical="center" wrapText="1"/>
    </xf>
    <xf numFmtId="172" fontId="10" fillId="0" borderId="7" xfId="0" applyNumberFormat="1" applyFont="1" applyBorder="1" applyAlignment="1">
      <alignment horizontal="center" vertical="center" wrapText="1"/>
    </xf>
    <xf numFmtId="172" fontId="10" fillId="0" borderId="13" xfId="0" applyNumberFormat="1" applyFont="1" applyBorder="1" applyAlignment="1">
      <alignment horizontal="center" vertical="center" wrapText="1"/>
    </xf>
    <xf numFmtId="172" fontId="10" fillId="0" borderId="14" xfId="0" applyNumberFormat="1" applyFont="1" applyBorder="1" applyAlignment="1">
      <alignment horizontal="center" vertical="center" wrapText="1"/>
    </xf>
    <xf numFmtId="172" fontId="10" fillId="0" borderId="4" xfId="0" applyNumberFormat="1" applyFont="1" applyBorder="1" applyAlignment="1">
      <alignment horizontal="center" vertical="center" wrapText="1"/>
    </xf>
    <xf numFmtId="172" fontId="8" fillId="0" borderId="18" xfId="0" applyNumberFormat="1" applyFont="1" applyBorder="1" applyAlignment="1">
      <alignment horizontal="center" vertical="center"/>
    </xf>
    <xf numFmtId="172" fontId="10" fillId="0" borderId="17" xfId="0" applyNumberFormat="1" applyFont="1" applyBorder="1" applyAlignment="1">
      <alignment horizontal="center" vertical="center"/>
    </xf>
    <xf numFmtId="0" fontId="8" fillId="4" borderId="7" xfId="0" applyFont="1" applyFill="1" applyBorder="1" applyAlignment="1">
      <alignment horizontal="center" vertical="center" wrapText="1"/>
    </xf>
    <xf numFmtId="49" fontId="8" fillId="6" borderId="4" xfId="0" applyNumberFormat="1" applyFont="1" applyFill="1" applyBorder="1" applyAlignment="1">
      <alignment horizontal="center" vertical="center"/>
    </xf>
    <xf numFmtId="49" fontId="20" fillId="6" borderId="4" xfId="0" applyNumberFormat="1" applyFont="1" applyFill="1" applyBorder="1" applyAlignment="1">
      <alignment horizontal="center" vertical="center"/>
    </xf>
    <xf numFmtId="165" fontId="8" fillId="6" borderId="3" xfId="0" applyNumberFormat="1" applyFont="1" applyFill="1" applyBorder="1" applyAlignment="1">
      <alignment horizontal="center" vertical="center"/>
    </xf>
    <xf numFmtId="164" fontId="7" fillId="0" borderId="0" xfId="0" applyNumberFormat="1" applyFont="1" applyAlignment="1">
      <alignment horizontal="center" vertical="center"/>
    </xf>
    <xf numFmtId="0" fontId="11" fillId="0" borderId="3" xfId="0" applyFont="1" applyBorder="1" applyAlignment="1">
      <alignment horizontal="right" vertical="center" wrapText="1" readingOrder="2"/>
    </xf>
    <xf numFmtId="0" fontId="8" fillId="0" borderId="3" xfId="0" applyFont="1" applyBorder="1" applyAlignment="1">
      <alignment horizontal="center" vertical="center" wrapText="1"/>
    </xf>
    <xf numFmtId="165" fontId="27" fillId="0" borderId="4" xfId="0" applyNumberFormat="1" applyFont="1" applyBorder="1" applyAlignment="1">
      <alignment horizontal="center" vertical="center" wrapText="1"/>
    </xf>
    <xf numFmtId="169" fontId="7" fillId="0" borderId="4" xfId="0" applyNumberFormat="1" applyFont="1" applyBorder="1" applyAlignment="1">
      <alignment horizontal="center" vertical="center"/>
    </xf>
    <xf numFmtId="170" fontId="7" fillId="0" borderId="4" xfId="0" applyNumberFormat="1" applyFont="1" applyBorder="1" applyAlignment="1">
      <alignment horizontal="center" vertical="center"/>
    </xf>
    <xf numFmtId="165" fontId="8" fillId="0" borderId="17" xfId="0" applyNumberFormat="1" applyFont="1" applyBorder="1" applyAlignment="1">
      <alignment horizontal="center" vertical="center"/>
    </xf>
    <xf numFmtId="165" fontId="27" fillId="0" borderId="7" xfId="0" applyNumberFormat="1" applyFont="1" applyBorder="1" applyAlignment="1">
      <alignment horizontal="center" vertical="center" wrapText="1"/>
    </xf>
    <xf numFmtId="172" fontId="20" fillId="0" borderId="13" xfId="0" applyNumberFormat="1" applyFont="1" applyBorder="1" applyAlignment="1">
      <alignment horizontal="center" vertical="center" wrapText="1"/>
    </xf>
    <xf numFmtId="172" fontId="20" fillId="0" borderId="14" xfId="0" applyNumberFormat="1" applyFont="1" applyBorder="1" applyAlignment="1">
      <alignment horizontal="center" vertical="center"/>
    </xf>
    <xf numFmtId="172" fontId="20" fillId="0" borderId="14" xfId="0" applyNumberFormat="1" applyFont="1" applyBorder="1" applyAlignment="1">
      <alignment horizontal="center" vertical="center" wrapText="1"/>
    </xf>
    <xf numFmtId="164" fontId="10" fillId="0" borderId="0" xfId="0" applyNumberFormat="1" applyFont="1" applyAlignment="1">
      <alignment horizontal="center" vertical="center"/>
    </xf>
    <xf numFmtId="0" fontId="7" fillId="0" borderId="17" xfId="0" applyFont="1" applyBorder="1" applyAlignment="1">
      <alignment horizontal="right" vertical="center"/>
    </xf>
    <xf numFmtId="0" fontId="7" fillId="0" borderId="22" xfId="0" applyFont="1" applyBorder="1" applyAlignment="1">
      <alignment horizontal="center" vertical="center"/>
    </xf>
    <xf numFmtId="0" fontId="7" fillId="0" borderId="22" xfId="0" applyFont="1" applyBorder="1" applyAlignment="1">
      <alignment horizontal="right" vertical="center"/>
    </xf>
    <xf numFmtId="168" fontId="14" fillId="0" borderId="22" xfId="1" applyNumberFormat="1" applyFont="1" applyFill="1" applyBorder="1" applyAlignment="1">
      <alignment horizontal="center" vertical="center"/>
    </xf>
    <xf numFmtId="164" fontId="7" fillId="0" borderId="22" xfId="0" applyNumberFormat="1" applyFont="1" applyBorder="1" applyAlignment="1">
      <alignment horizontal="center" vertical="center"/>
    </xf>
    <xf numFmtId="0" fontId="8" fillId="0" borderId="22" xfId="0" applyFont="1" applyBorder="1" applyAlignment="1">
      <alignment horizontal="center" vertical="center"/>
    </xf>
    <xf numFmtId="165" fontId="8" fillId="0" borderId="22" xfId="0" applyNumberFormat="1" applyFont="1" applyBorder="1" applyAlignment="1">
      <alignment horizontal="center" vertical="center"/>
    </xf>
    <xf numFmtId="0" fontId="8" fillId="0" borderId="23" xfId="0" applyFont="1" applyBorder="1" applyAlignment="1">
      <alignment horizontal="center" vertical="center" wrapText="1"/>
    </xf>
    <xf numFmtId="172" fontId="8" fillId="9" borderId="24" xfId="0" applyNumberFormat="1" applyFont="1" applyFill="1" applyBorder="1" applyAlignment="1">
      <alignment horizontal="center" vertical="center" readingOrder="1"/>
    </xf>
    <xf numFmtId="172" fontId="8" fillId="9" borderId="25" xfId="0" applyNumberFormat="1" applyFont="1" applyFill="1" applyBorder="1" applyAlignment="1">
      <alignment horizontal="center" vertical="center" readingOrder="1"/>
    </xf>
    <xf numFmtId="172" fontId="8" fillId="9" borderId="26" xfId="0" applyNumberFormat="1" applyFont="1" applyFill="1" applyBorder="1" applyAlignment="1">
      <alignment horizontal="center" vertical="center" readingOrder="1"/>
    </xf>
    <xf numFmtId="172" fontId="8" fillId="9" borderId="23" xfId="0" applyNumberFormat="1" applyFont="1" applyFill="1" applyBorder="1" applyAlignment="1">
      <alignment horizontal="center" vertical="center" readingOrder="1"/>
    </xf>
    <xf numFmtId="172" fontId="10" fillId="9" borderId="25" xfId="0" applyNumberFormat="1" applyFont="1" applyFill="1" applyBorder="1" applyAlignment="1">
      <alignment horizontal="center" vertical="center" readingOrder="1"/>
    </xf>
    <xf numFmtId="172" fontId="8" fillId="0" borderId="25" xfId="0" applyNumberFormat="1" applyFont="1" applyBorder="1" applyAlignment="1">
      <alignment horizontal="center" vertical="center" readingOrder="1"/>
    </xf>
    <xf numFmtId="172" fontId="8" fillId="0" borderId="24" xfId="0" applyNumberFormat="1" applyFont="1" applyBorder="1" applyAlignment="1">
      <alignment horizontal="center" vertical="center" readingOrder="1"/>
    </xf>
    <xf numFmtId="0" fontId="7" fillId="0" borderId="28" xfId="0" applyFont="1" applyBorder="1" applyAlignment="1">
      <alignment horizontal="right" vertical="center"/>
    </xf>
    <xf numFmtId="0" fontId="7" fillId="0" borderId="28" xfId="0" applyFont="1" applyBorder="1" applyAlignment="1">
      <alignment horizontal="center" vertical="center"/>
    </xf>
    <xf numFmtId="164" fontId="7" fillId="0" borderId="28" xfId="0" applyNumberFormat="1" applyFont="1" applyBorder="1" applyAlignment="1">
      <alignment horizontal="center" vertical="center"/>
    </xf>
    <xf numFmtId="165" fontId="8" fillId="0" borderId="28" xfId="0" applyNumberFormat="1" applyFont="1" applyBorder="1" applyAlignment="1">
      <alignment horizontal="center" vertical="center"/>
    </xf>
    <xf numFmtId="0" fontId="7" fillId="0" borderId="33" xfId="0" applyFont="1" applyBorder="1" applyAlignment="1">
      <alignment horizontal="center" vertical="center"/>
    </xf>
    <xf numFmtId="0" fontId="9" fillId="0" borderId="33" xfId="0" applyFont="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right" vertical="center"/>
    </xf>
    <xf numFmtId="0" fontId="7" fillId="0" borderId="35" xfId="0" applyFont="1" applyBorder="1" applyAlignment="1">
      <alignment horizontal="center" vertical="center"/>
    </xf>
    <xf numFmtId="164" fontId="7" fillId="0" borderId="35" xfId="0" applyNumberFormat="1" applyFont="1" applyBorder="1" applyAlignment="1">
      <alignment horizontal="center" vertical="center"/>
    </xf>
    <xf numFmtId="0" fontId="8" fillId="0" borderId="35" xfId="0" applyFont="1" applyBorder="1" applyAlignment="1">
      <alignment horizontal="center" vertical="center"/>
    </xf>
    <xf numFmtId="165" fontId="8" fillId="0" borderId="35" xfId="0" applyNumberFormat="1" applyFont="1" applyBorder="1" applyAlignment="1">
      <alignment horizontal="center" vertical="center"/>
    </xf>
    <xf numFmtId="49" fontId="8" fillId="0" borderId="35" xfId="0" applyNumberFormat="1" applyFont="1" applyBorder="1" applyAlignment="1">
      <alignment horizontal="center" vertical="center"/>
    </xf>
    <xf numFmtId="0" fontId="8" fillId="0" borderId="36" xfId="0" applyFont="1" applyBorder="1" applyAlignment="1">
      <alignment horizontal="center" vertical="center" wrapText="1"/>
    </xf>
    <xf numFmtId="49" fontId="8" fillId="0" borderId="22" xfId="0" applyNumberFormat="1" applyFont="1" applyBorder="1" applyAlignment="1">
      <alignment horizontal="center" vertical="center"/>
    </xf>
    <xf numFmtId="168" fontId="14" fillId="0" borderId="35" xfId="1" applyNumberFormat="1" applyFont="1" applyFill="1" applyBorder="1" applyAlignment="1">
      <alignment horizontal="center" vertical="center"/>
    </xf>
    <xf numFmtId="49" fontId="8" fillId="0" borderId="28" xfId="0" applyNumberFormat="1" applyFont="1" applyBorder="1" applyAlignment="1">
      <alignment horizontal="center" vertical="center"/>
    </xf>
    <xf numFmtId="0" fontId="7" fillId="0" borderId="41" xfId="0" applyFont="1" applyBorder="1" applyAlignment="1">
      <alignment horizontal="center" vertical="center"/>
    </xf>
    <xf numFmtId="172" fontId="27" fillId="9" borderId="13" xfId="0" applyNumberFormat="1" applyFont="1" applyFill="1" applyBorder="1" applyAlignment="1">
      <alignment horizontal="center" vertical="center" wrapText="1"/>
    </xf>
    <xf numFmtId="172" fontId="27" fillId="9" borderId="14" xfId="0" applyNumberFormat="1" applyFont="1" applyFill="1" applyBorder="1" applyAlignment="1">
      <alignment horizontal="center" vertical="center" wrapText="1"/>
    </xf>
    <xf numFmtId="172" fontId="27" fillId="0" borderId="8" xfId="0" applyNumberFormat="1" applyFont="1" applyBorder="1" applyAlignment="1">
      <alignment horizontal="center" vertical="center" wrapText="1"/>
    </xf>
    <xf numFmtId="172" fontId="27" fillId="0" borderId="7" xfId="0" applyNumberFormat="1" applyFont="1" applyBorder="1" applyAlignment="1">
      <alignment horizontal="center" vertical="center" wrapText="1"/>
    </xf>
    <xf numFmtId="172" fontId="27" fillId="0" borderId="13" xfId="0" applyNumberFormat="1" applyFont="1" applyBorder="1" applyAlignment="1">
      <alignment horizontal="center" vertical="center" wrapText="1"/>
    </xf>
    <xf numFmtId="172" fontId="27" fillId="0" borderId="14" xfId="0" applyNumberFormat="1" applyFont="1" applyBorder="1" applyAlignment="1">
      <alignment horizontal="center" vertical="center" wrapText="1"/>
    </xf>
    <xf numFmtId="172" fontId="27" fillId="0" borderId="13" xfId="0" applyNumberFormat="1" applyFont="1" applyBorder="1" applyAlignment="1">
      <alignment horizontal="center" vertical="center"/>
    </xf>
    <xf numFmtId="172" fontId="27" fillId="0" borderId="14" xfId="0" applyNumberFormat="1" applyFont="1" applyBorder="1" applyAlignment="1">
      <alignment horizontal="center" vertical="center"/>
    </xf>
    <xf numFmtId="172" fontId="27" fillId="9" borderId="18" xfId="0" applyNumberFormat="1" applyFont="1" applyFill="1" applyBorder="1" applyAlignment="1">
      <alignment horizontal="center" vertical="center" wrapText="1"/>
    </xf>
    <xf numFmtId="172" fontId="27" fillId="9" borderId="20" xfId="0" applyNumberFormat="1" applyFont="1" applyFill="1" applyBorder="1" applyAlignment="1">
      <alignment horizontal="center" vertical="center" wrapText="1"/>
    </xf>
    <xf numFmtId="172" fontId="27" fillId="9" borderId="30" xfId="0" applyNumberFormat="1" applyFont="1" applyFill="1" applyBorder="1" applyAlignment="1">
      <alignment horizontal="center" vertical="center" wrapText="1"/>
    </xf>
    <xf numFmtId="172" fontId="27" fillId="9" borderId="31" xfId="0" applyNumberFormat="1" applyFont="1" applyFill="1" applyBorder="1" applyAlignment="1">
      <alignment horizontal="center" vertical="center" wrapText="1"/>
    </xf>
    <xf numFmtId="172" fontId="27" fillId="9" borderId="32" xfId="0" applyNumberFormat="1" applyFont="1" applyFill="1" applyBorder="1" applyAlignment="1">
      <alignment horizontal="center" vertical="center" wrapText="1"/>
    </xf>
    <xf numFmtId="172" fontId="27" fillId="9" borderId="29" xfId="0" applyNumberFormat="1" applyFont="1" applyFill="1" applyBorder="1" applyAlignment="1">
      <alignment horizontal="center" vertical="center" wrapText="1"/>
    </xf>
    <xf numFmtId="172" fontId="27" fillId="9" borderId="30" xfId="0" applyNumberFormat="1" applyFont="1" applyFill="1" applyBorder="1" applyAlignment="1">
      <alignment horizontal="center" vertical="center"/>
    </xf>
    <xf numFmtId="172" fontId="27" fillId="9" borderId="31" xfId="0" applyNumberFormat="1" applyFont="1" applyFill="1" applyBorder="1" applyAlignment="1">
      <alignment horizontal="center" vertical="center"/>
    </xf>
    <xf numFmtId="0" fontId="27" fillId="0" borderId="7" xfId="0" applyFont="1" applyBorder="1" applyAlignment="1">
      <alignment horizontal="center" vertical="center" wrapText="1"/>
    </xf>
    <xf numFmtId="172" fontId="27" fillId="9" borderId="8" xfId="0" applyNumberFormat="1" applyFont="1" applyFill="1" applyBorder="1" applyAlignment="1">
      <alignment horizontal="center" vertical="center" wrapText="1"/>
    </xf>
    <xf numFmtId="172" fontId="27" fillId="9" borderId="7" xfId="0" applyNumberFormat="1" applyFont="1" applyFill="1" applyBorder="1" applyAlignment="1">
      <alignment horizontal="center" vertical="center" wrapText="1"/>
    </xf>
    <xf numFmtId="172" fontId="27" fillId="9" borderId="13" xfId="0" applyNumberFormat="1" applyFont="1" applyFill="1" applyBorder="1" applyAlignment="1">
      <alignment horizontal="center" vertical="center"/>
    </xf>
    <xf numFmtId="172" fontId="27" fillId="9" borderId="14" xfId="0" applyNumberFormat="1" applyFont="1" applyFill="1" applyBorder="1" applyAlignment="1">
      <alignment horizontal="center" vertical="center"/>
    </xf>
    <xf numFmtId="172" fontId="27" fillId="9" borderId="21" xfId="0" applyNumberFormat="1" applyFont="1" applyFill="1" applyBorder="1" applyAlignment="1">
      <alignment horizontal="center" vertical="center" wrapText="1"/>
    </xf>
    <xf numFmtId="172" fontId="27" fillId="9" borderId="19" xfId="0" applyNumberFormat="1" applyFont="1" applyFill="1" applyBorder="1" applyAlignment="1">
      <alignment horizontal="center" vertical="center" wrapText="1"/>
    </xf>
    <xf numFmtId="172" fontId="27" fillId="9" borderId="18" xfId="0" applyNumberFormat="1" applyFont="1" applyFill="1" applyBorder="1" applyAlignment="1">
      <alignment horizontal="center" vertical="center"/>
    </xf>
    <xf numFmtId="172" fontId="27" fillId="9" borderId="20" xfId="0" applyNumberFormat="1" applyFont="1" applyFill="1" applyBorder="1" applyAlignment="1">
      <alignment horizontal="center" vertical="center"/>
    </xf>
    <xf numFmtId="172" fontId="27" fillId="9" borderId="37" xfId="0" applyNumberFormat="1" applyFont="1" applyFill="1" applyBorder="1" applyAlignment="1">
      <alignment horizontal="center" vertical="center" wrapText="1"/>
    </xf>
    <xf numFmtId="172" fontId="27" fillId="9" borderId="38" xfId="0" applyNumberFormat="1" applyFont="1" applyFill="1" applyBorder="1" applyAlignment="1">
      <alignment horizontal="center" vertical="center" wrapText="1"/>
    </xf>
    <xf numFmtId="172" fontId="27" fillId="9" borderId="39" xfId="0" applyNumberFormat="1" applyFont="1" applyFill="1" applyBorder="1" applyAlignment="1">
      <alignment horizontal="center" vertical="center" wrapText="1"/>
    </xf>
    <xf numFmtId="172" fontId="27" fillId="9" borderId="36" xfId="0" applyNumberFormat="1" applyFont="1" applyFill="1" applyBorder="1" applyAlignment="1">
      <alignment horizontal="center" vertical="center" wrapText="1"/>
    </xf>
    <xf numFmtId="172" fontId="27" fillId="9" borderId="37" xfId="0" applyNumberFormat="1" applyFont="1" applyFill="1" applyBorder="1" applyAlignment="1">
      <alignment horizontal="center" vertical="center"/>
    </xf>
    <xf numFmtId="172" fontId="27" fillId="9" borderId="38" xfId="0" applyNumberFormat="1" applyFont="1" applyFill="1" applyBorder="1" applyAlignment="1">
      <alignment horizontal="center" vertical="center"/>
    </xf>
    <xf numFmtId="172" fontId="27" fillId="9" borderId="24" xfId="0" applyNumberFormat="1" applyFont="1" applyFill="1" applyBorder="1" applyAlignment="1">
      <alignment horizontal="center" vertical="center" wrapText="1"/>
    </xf>
    <xf numFmtId="172" fontId="27" fillId="9" borderId="25" xfId="0" applyNumberFormat="1" applyFont="1" applyFill="1" applyBorder="1" applyAlignment="1">
      <alignment horizontal="center" vertical="center" wrapText="1"/>
    </xf>
    <xf numFmtId="172" fontId="27" fillId="9" borderId="26" xfId="0" applyNumberFormat="1" applyFont="1" applyFill="1" applyBorder="1" applyAlignment="1">
      <alignment horizontal="center" vertical="center" wrapText="1"/>
    </xf>
    <xf numFmtId="172" fontId="27" fillId="9" borderId="23" xfId="0" applyNumberFormat="1" applyFont="1" applyFill="1" applyBorder="1" applyAlignment="1">
      <alignment horizontal="center" vertical="center" wrapText="1"/>
    </xf>
    <xf numFmtId="172" fontId="27" fillId="9" borderId="24" xfId="0" applyNumberFormat="1" applyFont="1" applyFill="1" applyBorder="1" applyAlignment="1">
      <alignment horizontal="center" vertical="center"/>
    </xf>
    <xf numFmtId="172" fontId="27" fillId="9" borderId="25" xfId="0" applyNumberFormat="1" applyFont="1" applyFill="1" applyBorder="1" applyAlignment="1">
      <alignment horizontal="center" vertical="center"/>
    </xf>
    <xf numFmtId="172" fontId="8" fillId="9" borderId="18" xfId="0" applyNumberFormat="1" applyFont="1" applyFill="1" applyBorder="1" applyAlignment="1">
      <alignment horizontal="center" vertical="center" readingOrder="1"/>
    </xf>
    <xf numFmtId="172" fontId="8" fillId="9" borderId="20" xfId="0" applyNumberFormat="1" applyFont="1" applyFill="1" applyBorder="1" applyAlignment="1">
      <alignment horizontal="center" vertical="center" readingOrder="1"/>
    </xf>
    <xf numFmtId="172" fontId="10" fillId="0" borderId="24" xfId="0" applyNumberFormat="1" applyFont="1" applyBorder="1" applyAlignment="1">
      <alignment horizontal="center" vertical="center" wrapText="1"/>
    </xf>
    <xf numFmtId="172" fontId="10" fillId="0" borderId="25" xfId="0" applyNumberFormat="1" applyFont="1" applyBorder="1" applyAlignment="1">
      <alignment horizontal="center" vertical="center" wrapText="1"/>
    </xf>
    <xf numFmtId="172" fontId="10" fillId="0" borderId="26" xfId="0" applyNumberFormat="1" applyFont="1" applyBorder="1" applyAlignment="1">
      <alignment horizontal="center" vertical="center" wrapText="1"/>
    </xf>
    <xf numFmtId="172" fontId="10" fillId="0" borderId="22" xfId="0" applyNumberFormat="1" applyFont="1" applyBorder="1" applyAlignment="1">
      <alignment horizontal="center" vertical="center" wrapText="1"/>
    </xf>
    <xf numFmtId="172" fontId="10" fillId="0" borderId="13" xfId="0" applyNumberFormat="1" applyFont="1" applyBorder="1" applyAlignment="1">
      <alignment horizontal="center" vertical="center"/>
    </xf>
    <xf numFmtId="172" fontId="8" fillId="0" borderId="46" xfId="0" applyNumberFormat="1" applyFont="1" applyBorder="1" applyAlignment="1">
      <alignment horizontal="center" vertical="center" readingOrder="1"/>
    </xf>
    <xf numFmtId="172" fontId="8" fillId="0" borderId="42" xfId="0" applyNumberFormat="1" applyFont="1" applyBorder="1" applyAlignment="1">
      <alignment horizontal="center" vertical="center" readingOrder="1"/>
    </xf>
    <xf numFmtId="172" fontId="8" fillId="0" borderId="42" xfId="0" applyNumberFormat="1" applyFont="1" applyBorder="1" applyAlignment="1">
      <alignment horizontal="center" vertical="center"/>
    </xf>
    <xf numFmtId="172" fontId="26" fillId="0" borderId="42" xfId="0" applyNumberFormat="1" applyFont="1" applyBorder="1" applyAlignment="1">
      <alignment horizontal="center" vertical="center" readingOrder="1"/>
    </xf>
    <xf numFmtId="4" fontId="2" fillId="0" borderId="0" xfId="0" applyNumberFormat="1" applyFont="1" applyAlignment="1">
      <alignment wrapText="1"/>
    </xf>
    <xf numFmtId="4" fontId="5" fillId="3" borderId="0" xfId="0" applyNumberFormat="1" applyFont="1" applyFill="1" applyAlignment="1" applyProtection="1">
      <alignment horizontal="center" vertical="center" wrapText="1"/>
      <protection locked="0"/>
    </xf>
    <xf numFmtId="4" fontId="27" fillId="0" borderId="42" xfId="0" applyNumberFormat="1" applyFont="1" applyBorder="1" applyAlignment="1">
      <alignment horizontal="center" vertical="center"/>
    </xf>
    <xf numFmtId="4" fontId="27" fillId="9" borderId="44" xfId="0" applyNumberFormat="1" applyFont="1" applyFill="1" applyBorder="1" applyAlignment="1">
      <alignment horizontal="center" vertical="center"/>
    </xf>
    <xf numFmtId="4" fontId="27" fillId="9" borderId="42" xfId="0" applyNumberFormat="1" applyFont="1" applyFill="1" applyBorder="1" applyAlignment="1">
      <alignment horizontal="center" vertical="center"/>
    </xf>
    <xf numFmtId="4" fontId="27" fillId="9" borderId="43" xfId="0" applyNumberFormat="1" applyFont="1" applyFill="1" applyBorder="1" applyAlignment="1">
      <alignment horizontal="center" vertical="center"/>
    </xf>
    <xf numFmtId="4" fontId="27" fillId="9" borderId="45" xfId="0" applyNumberFormat="1" applyFont="1" applyFill="1" applyBorder="1" applyAlignment="1">
      <alignment horizontal="center" vertical="center"/>
    </xf>
    <xf numFmtId="4" fontId="27" fillId="9" borderId="46" xfId="0" applyNumberFormat="1" applyFont="1" applyFill="1" applyBorder="1" applyAlignment="1">
      <alignment horizontal="center" vertical="center"/>
    </xf>
    <xf numFmtId="4" fontId="8" fillId="0" borderId="46" xfId="0" applyNumberFormat="1" applyFont="1" applyBorder="1" applyAlignment="1">
      <alignment horizontal="center" vertical="center" readingOrder="1"/>
    </xf>
    <xf numFmtId="4" fontId="8" fillId="0" borderId="42" xfId="0" applyNumberFormat="1" applyFont="1" applyBorder="1" applyAlignment="1">
      <alignment horizontal="center" vertical="center" readingOrder="1"/>
    </xf>
    <xf numFmtId="4" fontId="8" fillId="0" borderId="42" xfId="0" applyNumberFormat="1" applyFont="1" applyBorder="1" applyAlignment="1">
      <alignment horizontal="center" vertical="center"/>
    </xf>
    <xf numFmtId="4" fontId="20" fillId="0" borderId="42" xfId="0" applyNumberFormat="1" applyFont="1" applyBorder="1" applyAlignment="1">
      <alignment horizontal="center" vertical="center" readingOrder="1"/>
    </xf>
    <xf numFmtId="4" fontId="20" fillId="0" borderId="42" xfId="0" applyNumberFormat="1" applyFont="1" applyBorder="1" applyAlignment="1">
      <alignment horizontal="center" vertical="center"/>
    </xf>
    <xf numFmtId="4" fontId="7" fillId="0" borderId="0" xfId="0" applyNumberFormat="1" applyFont="1" applyAlignment="1">
      <alignment wrapText="1"/>
    </xf>
    <xf numFmtId="49" fontId="8" fillId="6" borderId="7" xfId="0" applyNumberFormat="1" applyFont="1" applyFill="1" applyBorder="1" applyAlignment="1">
      <alignment horizontal="center" vertical="center"/>
    </xf>
    <xf numFmtId="49" fontId="20" fillId="6" borderId="7" xfId="0" applyNumberFormat="1" applyFont="1" applyFill="1" applyBorder="1" applyAlignment="1">
      <alignment horizontal="center" vertical="center"/>
    </xf>
    <xf numFmtId="49" fontId="8" fillId="0" borderId="29" xfId="0" applyNumberFormat="1" applyFont="1" applyBorder="1" applyAlignment="1">
      <alignment horizontal="center" vertical="center"/>
    </xf>
    <xf numFmtId="49" fontId="10" fillId="0" borderId="7" xfId="0" applyNumberFormat="1" applyFont="1" applyBorder="1" applyAlignment="1">
      <alignment horizontal="center" vertical="center"/>
    </xf>
    <xf numFmtId="49" fontId="8" fillId="0" borderId="23" xfId="0" applyNumberFormat="1" applyFont="1" applyBorder="1" applyAlignment="1">
      <alignment horizontal="center" vertical="center"/>
    </xf>
    <xf numFmtId="49" fontId="8" fillId="0" borderId="7" xfId="0" applyNumberFormat="1" applyFont="1" applyBorder="1" applyAlignment="1">
      <alignment horizontal="center" vertical="center"/>
    </xf>
    <xf numFmtId="49" fontId="8" fillId="0" borderId="36" xfId="0" applyNumberFormat="1" applyFont="1" applyBorder="1" applyAlignment="1">
      <alignment horizontal="center" vertical="center"/>
    </xf>
    <xf numFmtId="4" fontId="8" fillId="0" borderId="23" xfId="0" applyNumberFormat="1" applyFont="1" applyBorder="1" applyAlignment="1">
      <alignment horizontal="center" vertical="center"/>
    </xf>
    <xf numFmtId="4" fontId="8" fillId="0" borderId="7" xfId="0" applyNumberFormat="1" applyFont="1" applyBorder="1" applyAlignment="1">
      <alignment horizontal="center" vertical="center"/>
    </xf>
    <xf numFmtId="4" fontId="8" fillId="6" borderId="7" xfId="0" applyNumberFormat="1" applyFont="1" applyFill="1" applyBorder="1" applyAlignment="1">
      <alignment horizontal="center" vertical="center"/>
    </xf>
    <xf numFmtId="4" fontId="8" fillId="6" borderId="4" xfId="0" applyNumberFormat="1" applyFont="1" applyFill="1" applyBorder="1" applyAlignment="1">
      <alignment horizontal="center" vertical="center"/>
    </xf>
    <xf numFmtId="43" fontId="8" fillId="0" borderId="42" xfId="1" applyFont="1" applyBorder="1" applyAlignment="1">
      <alignment horizontal="center" vertical="center" readingOrder="1"/>
    </xf>
    <xf numFmtId="43" fontId="20" fillId="0" borderId="42" xfId="1" applyFont="1" applyBorder="1" applyAlignment="1">
      <alignment horizontal="center" vertical="center" readingOrder="1"/>
    </xf>
    <xf numFmtId="43" fontId="20" fillId="0" borderId="42" xfId="1" applyFont="1" applyBorder="1" applyAlignment="1">
      <alignment horizontal="center" vertical="center"/>
    </xf>
    <xf numFmtId="4" fontId="2" fillId="4" borderId="0" xfId="0" applyNumberFormat="1" applyFont="1" applyFill="1" applyAlignment="1">
      <alignment horizontal="center" wrapText="1"/>
    </xf>
    <xf numFmtId="167" fontId="3" fillId="4" borderId="0" xfId="0" applyNumberFormat="1" applyFont="1" applyFill="1" applyAlignment="1">
      <alignment horizontal="center" vertical="center"/>
    </xf>
    <xf numFmtId="4" fontId="4" fillId="4" borderId="5" xfId="0" applyNumberFormat="1" applyFont="1" applyFill="1" applyBorder="1" applyAlignment="1" applyProtection="1">
      <alignment horizontal="center" vertical="center" wrapText="1"/>
      <protection locked="0"/>
    </xf>
    <xf numFmtId="164" fontId="7" fillId="4" borderId="17" xfId="0" applyNumberFormat="1" applyFont="1" applyFill="1" applyBorder="1" applyAlignment="1">
      <alignment horizontal="center" vertical="center"/>
    </xf>
    <xf numFmtId="164" fontId="7" fillId="4" borderId="28" xfId="0" applyNumberFormat="1" applyFont="1" applyFill="1" applyBorder="1" applyAlignment="1">
      <alignment horizontal="center" vertical="center"/>
    </xf>
    <xf numFmtId="164" fontId="7" fillId="4" borderId="35" xfId="0" applyNumberFormat="1" applyFont="1" applyFill="1" applyBorder="1" applyAlignment="1">
      <alignment horizontal="center" vertical="center"/>
    </xf>
    <xf numFmtId="164" fontId="7" fillId="4" borderId="22" xfId="0" applyNumberFormat="1" applyFont="1" applyFill="1" applyBorder="1" applyAlignment="1">
      <alignment horizontal="center" vertical="center"/>
    </xf>
    <xf numFmtId="43" fontId="7" fillId="4" borderId="22" xfId="1" applyFont="1" applyFill="1" applyBorder="1" applyAlignment="1">
      <alignment horizontal="center" vertical="center"/>
    </xf>
    <xf numFmtId="43" fontId="7" fillId="4" borderId="4" xfId="1" applyFont="1" applyFill="1" applyBorder="1" applyAlignment="1">
      <alignment horizontal="center" vertical="center"/>
    </xf>
    <xf numFmtId="4" fontId="7" fillId="4" borderId="0" xfId="0" applyNumberFormat="1" applyFont="1" applyFill="1" applyAlignment="1">
      <alignment horizontal="center" wrapText="1"/>
    </xf>
    <xf numFmtId="15" fontId="0" fillId="0" borderId="0" xfId="0" applyNumberFormat="1"/>
    <xf numFmtId="8" fontId="0" fillId="0" borderId="0" xfId="0" applyNumberFormat="1"/>
    <xf numFmtId="0" fontId="7" fillId="0" borderId="27" xfId="0" applyFont="1" applyBorder="1" applyAlignment="1">
      <alignment horizontal="center" vertical="center"/>
    </xf>
    <xf numFmtId="0" fontId="9" fillId="0" borderId="40" xfId="0" applyFont="1" applyBorder="1" applyAlignment="1">
      <alignment horizontal="center" vertical="center"/>
    </xf>
    <xf numFmtId="0" fontId="9" fillId="0" borderId="34" xfId="0" applyFont="1" applyBorder="1" applyAlignment="1">
      <alignment horizontal="center" vertical="center"/>
    </xf>
    <xf numFmtId="0" fontId="7" fillId="0" borderId="33" xfId="0" applyFont="1" applyBorder="1" applyAlignment="1">
      <alignment horizontal="center" vertical="center" wrapText="1"/>
    </xf>
    <xf numFmtId="168" fontId="14" fillId="0" borderId="28" xfId="1" applyNumberFormat="1" applyFont="1" applyFill="1" applyBorder="1" applyAlignment="1">
      <alignment horizontal="center" vertical="center"/>
    </xf>
    <xf numFmtId="43" fontId="7" fillId="4" borderId="35" xfId="1" applyFont="1" applyFill="1" applyBorder="1" applyAlignment="1">
      <alignment horizontal="center" vertical="center"/>
    </xf>
    <xf numFmtId="0" fontId="8" fillId="0" borderId="28" xfId="0" applyFont="1" applyBorder="1" applyAlignment="1">
      <alignment horizontal="center" vertical="center"/>
    </xf>
    <xf numFmtId="164" fontId="7" fillId="0" borderId="22" xfId="0" applyNumberFormat="1" applyFont="1" applyBorder="1" applyAlignment="1">
      <alignment horizontal="center" vertical="center" wrapText="1"/>
    </xf>
    <xf numFmtId="164" fontId="7" fillId="0" borderId="17" xfId="0" applyNumberFormat="1" applyFont="1" applyBorder="1" applyAlignment="1">
      <alignment horizontal="center" vertical="center" wrapText="1"/>
    </xf>
    <xf numFmtId="49" fontId="8" fillId="0" borderId="17" xfId="0" applyNumberFormat="1" applyFont="1" applyBorder="1" applyAlignment="1">
      <alignment horizontal="center" vertical="center"/>
    </xf>
    <xf numFmtId="49" fontId="8" fillId="0" borderId="19" xfId="0" applyNumberFormat="1" applyFont="1" applyBorder="1" applyAlignment="1">
      <alignment horizontal="center" vertical="center"/>
    </xf>
    <xf numFmtId="4" fontId="8" fillId="0" borderId="36" xfId="0" applyNumberFormat="1" applyFont="1" applyBorder="1" applyAlignment="1">
      <alignment horizontal="center" vertical="center"/>
    </xf>
    <xf numFmtId="0" fontId="8" fillId="0" borderId="29" xfId="0" applyFont="1" applyBorder="1" applyAlignment="1">
      <alignment horizontal="center" vertical="center" wrapText="1"/>
    </xf>
    <xf numFmtId="0" fontId="8" fillId="0" borderId="19" xfId="0" applyFont="1" applyBorder="1" applyAlignment="1">
      <alignment horizontal="center" vertical="center" wrapText="1"/>
    </xf>
    <xf numFmtId="172" fontId="8" fillId="9" borderId="37" xfId="0" applyNumberFormat="1" applyFont="1" applyFill="1" applyBorder="1" applyAlignment="1">
      <alignment horizontal="center" vertical="center" readingOrder="1"/>
    </xf>
    <xf numFmtId="172" fontId="8" fillId="9" borderId="38" xfId="0" applyNumberFormat="1" applyFont="1" applyFill="1" applyBorder="1" applyAlignment="1">
      <alignment horizontal="center" vertical="center" readingOrder="1"/>
    </xf>
    <xf numFmtId="172" fontId="8" fillId="9" borderId="39" xfId="0" applyNumberFormat="1" applyFont="1" applyFill="1" applyBorder="1" applyAlignment="1">
      <alignment horizontal="center" vertical="center" readingOrder="1"/>
    </xf>
    <xf numFmtId="172" fontId="8" fillId="9" borderId="36" xfId="0" applyNumberFormat="1" applyFont="1" applyFill="1" applyBorder="1" applyAlignment="1">
      <alignment horizontal="center" vertical="center" readingOrder="1"/>
    </xf>
    <xf numFmtId="172" fontId="10" fillId="9" borderId="38" xfId="0" applyNumberFormat="1" applyFont="1" applyFill="1" applyBorder="1" applyAlignment="1">
      <alignment horizontal="center" vertical="center" readingOrder="1"/>
    </xf>
    <xf numFmtId="172" fontId="8" fillId="0" borderId="38" xfId="0" applyNumberFormat="1" applyFont="1" applyBorder="1" applyAlignment="1">
      <alignment horizontal="center" vertical="center" readingOrder="1"/>
    </xf>
    <xf numFmtId="4" fontId="8" fillId="0" borderId="45" xfId="0" applyNumberFormat="1" applyFont="1" applyBorder="1" applyAlignment="1">
      <alignment horizontal="center" vertical="center" readingOrder="1"/>
    </xf>
    <xf numFmtId="172" fontId="8" fillId="0" borderId="37" xfId="0" applyNumberFormat="1" applyFont="1" applyBorder="1" applyAlignment="1">
      <alignment horizontal="center" vertical="center" readingOrder="1"/>
    </xf>
    <xf numFmtId="172" fontId="8" fillId="0" borderId="45" xfId="0" applyNumberFormat="1" applyFont="1" applyBorder="1" applyAlignment="1">
      <alignment horizontal="center" vertical="center" readingOrder="1"/>
    </xf>
    <xf numFmtId="164" fontId="6" fillId="0" borderId="0" xfId="0" applyNumberFormat="1" applyFont="1" applyAlignment="1">
      <alignment horizontal="center" vertical="center" wrapText="1"/>
    </xf>
    <xf numFmtId="0" fontId="13" fillId="0" borderId="3" xfId="0" applyFont="1" applyBorder="1" applyAlignment="1" applyProtection="1">
      <alignment horizontal="right" vertical="center"/>
      <protection locked="0"/>
    </xf>
    <xf numFmtId="0" fontId="2" fillId="4" borderId="0" xfId="0" applyFont="1" applyFill="1" applyAlignment="1">
      <alignment horizontal="center" vertical="center" wrapText="1"/>
    </xf>
    <xf numFmtId="0" fontId="0" fillId="4" borderId="0" xfId="0" applyFill="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21" fillId="7" borderId="0" xfId="0" applyFont="1" applyFill="1" applyAlignment="1">
      <alignment horizontal="center" vertical="center" wrapText="1"/>
    </xf>
    <xf numFmtId="0" fontId="2" fillId="8" borderId="9" xfId="0" applyFont="1" applyFill="1" applyBorder="1" applyAlignment="1">
      <alignment horizontal="center" vertical="center" wrapText="1"/>
    </xf>
    <xf numFmtId="0" fontId="0" fillId="8" borderId="10" xfId="0" applyFill="1" applyBorder="1" applyAlignment="1">
      <alignment horizontal="center" vertical="center" wrapText="1"/>
    </xf>
    <xf numFmtId="0" fontId="2" fillId="5" borderId="0" xfId="0" applyFont="1" applyFill="1" applyAlignment="1">
      <alignment horizontal="center" vertical="center" wrapText="1"/>
    </xf>
    <xf numFmtId="0" fontId="0" fillId="5" borderId="0" xfId="0" applyFill="1" applyAlignment="1">
      <alignment horizontal="center" vertical="center" wrapText="1"/>
    </xf>
    <xf numFmtId="0" fontId="2" fillId="10" borderId="9" xfId="0" applyFont="1" applyFill="1" applyBorder="1" applyAlignment="1">
      <alignment horizontal="center" vertical="center" wrapText="1"/>
    </xf>
    <xf numFmtId="0" fontId="0" fillId="10" borderId="10" xfId="0" applyFill="1" applyBorder="1" applyAlignment="1">
      <alignment horizontal="center" vertical="center" wrapText="1"/>
    </xf>
    <xf numFmtId="0" fontId="21" fillId="7" borderId="11" xfId="0" applyFont="1" applyFill="1" applyBorder="1" applyAlignment="1">
      <alignment horizontal="center" vertical="center" wrapText="1"/>
    </xf>
    <xf numFmtId="0" fontId="21" fillId="7" borderId="12" xfId="0" applyFont="1" applyFill="1" applyBorder="1" applyAlignment="1">
      <alignment horizontal="center" vertical="center" wrapText="1"/>
    </xf>
    <xf numFmtId="0" fontId="21" fillId="8" borderId="11" xfId="0" applyFont="1" applyFill="1" applyBorder="1" applyAlignment="1">
      <alignment horizontal="center" vertical="center" wrapText="1"/>
    </xf>
    <xf numFmtId="0" fontId="21" fillId="8" borderId="0" xfId="0" applyFont="1" applyFill="1" applyAlignment="1">
      <alignment horizontal="center" vertical="center" wrapText="1"/>
    </xf>
    <xf numFmtId="0" fontId="21" fillId="8" borderId="9" xfId="0" applyFont="1" applyFill="1" applyBorder="1" applyAlignment="1">
      <alignment horizontal="center" vertical="center" wrapText="1"/>
    </xf>
    <xf numFmtId="0" fontId="21" fillId="8" borderId="10" xfId="0" applyFont="1" applyFill="1" applyBorder="1" applyAlignment="1">
      <alignment horizontal="center" vertical="center" wrapText="1"/>
    </xf>
  </cellXfs>
  <cellStyles count="5">
    <cellStyle name="Comma" xfId="1" builtinId="3"/>
    <cellStyle name="Normal" xfId="0" builtinId="0"/>
    <cellStyle name="Normal 2" xfId="3" xr:uid="{58DB3504-79EC-43E5-AA56-0E75CBFC473E}"/>
    <cellStyle name="Normal 2 2" xfId="4" xr:uid="{4BBEFDBA-76BC-40D7-97CA-AD5F8A12DDE7}"/>
    <cellStyle name="Normal 3 2" xfId="2" xr:uid="{2AB70826-50D6-42CC-AB5C-C9A9B84A2797}"/>
  </cellStyles>
  <dxfs count="222">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b val="0"/>
        <i val="0"/>
        <strike val="0"/>
        <condense val="0"/>
        <extend val="0"/>
        <outline val="0"/>
        <shadow val="0"/>
        <u val="none"/>
        <vertAlign val="baseline"/>
        <sz val="16"/>
        <color rgb="FF000000"/>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b val="0"/>
        <i val="0"/>
        <strike val="0"/>
        <condense val="0"/>
        <extend val="0"/>
        <outline val="0"/>
        <shadow val="0"/>
        <u val="none"/>
        <vertAlign val="baseline"/>
        <sz val="16"/>
        <color rgb="FF000000"/>
        <name val="Calibri"/>
        <family val="2"/>
        <scheme val="none"/>
      </font>
      <numFmt numFmtId="166" formatCode="[$-409]d/mmm/yyyy;@"/>
      <alignment horizontal="center" vertical="center" textRotation="0" wrapText="1" indent="0" justifyLastLine="0" shrinkToFit="0" readingOrder="0"/>
    </dxf>
    <dxf>
      <font>
        <b val="0"/>
        <i val="0"/>
        <strike val="0"/>
        <condense val="0"/>
        <extend val="0"/>
        <outline val="0"/>
        <shadow val="0"/>
        <u val="none"/>
        <vertAlign val="baseline"/>
        <sz val="16"/>
        <color rgb="FF000000"/>
        <name val="Calibri"/>
        <family val="2"/>
        <scheme val="none"/>
      </font>
      <numFmt numFmtId="166" formatCode="[$-409]d/m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000000"/>
        <name val="Calibri"/>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000000"/>
        <name val="Calibri"/>
        <family val="2"/>
        <scheme val="none"/>
      </font>
      <numFmt numFmtId="166" formatCode="[$-409]d/m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000000"/>
        <name val="Calibri"/>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0000"/>
        <name val="Calibri"/>
        <family val="2"/>
        <scheme val="none"/>
      </font>
      <numFmt numFmtId="164" formatCode="[$SAR]\ #,##0"/>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4" formatCode="[$SAR]\ #,##0"/>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5" formatCode="[$-409]mmm/yy;@"/>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5" formatCode="[$-409]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000000"/>
        <name val="Calibri"/>
        <family val="2"/>
        <scheme val="none"/>
      </font>
      <numFmt numFmtId="165" formatCode="[$-409]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5"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000000"/>
        <name val="Calibri"/>
        <family val="2"/>
        <scheme val="none"/>
      </font>
      <numFmt numFmtId="165" formatCode="[$-409]mmm/yy;@"/>
      <alignment horizontal="center" vertical="center" textRotation="0" wrapText="0" indent="0" justifyLastLine="0" shrinkToFit="0" readingOrder="0"/>
      <border diagonalUp="0" diagonalDown="0">
        <left style="medium">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5"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rgb="FFFF0000"/>
        <name val="Calibri"/>
        <family val="2"/>
        <scheme val="none"/>
      </font>
      <numFmt numFmtId="165" formatCode="[$-409]mmm/yy;@"/>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3" formatCode="dd/mm/yyyy"/>
      <fill>
        <patternFill patternType="none">
          <fgColor indexed="64"/>
          <bgColor auto="1"/>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000000"/>
        <name val="Calibri"/>
        <family val="2"/>
        <scheme val="none"/>
      </font>
      <numFmt numFmtId="173" formatCode="dd/mm/yyyy"/>
      <fill>
        <patternFill patternType="none">
          <fgColor indexed="64"/>
          <bgColor auto="1"/>
        </patternFill>
      </fill>
      <alignment horizontal="center" vertical="center" textRotation="0" wrapText="0" indent="0" justifyLastLine="0" shrinkToFit="0" readingOrder="0"/>
      <border diagonalUp="0" diagonalDown="0">
        <left style="medium">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1" formatCode="m/d/yyyy;@"/>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5" formatCode="[$-409]mmm/yy;@"/>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5" formatCode="[$-409]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5" formatCode="[$-409]mmm/yy;@"/>
      <fill>
        <patternFill patternType="none">
          <fgColor indexed="64"/>
          <bgColor auto="1"/>
        </patternFill>
      </fill>
      <alignment horizontal="center" vertical="center" textRotation="0" wrapText="1" indent="0" justifyLastLine="0" shrinkToFit="0" readingOrder="0"/>
      <border diagonalUp="0" diagonalDown="0">
        <left style="medium">
          <color auto="1"/>
        </left>
        <right style="thin">
          <color auto="1"/>
        </right>
        <top style="thin">
          <color auto="1"/>
        </top>
        <bottom style="thin">
          <color auto="1"/>
        </bottom>
      </border>
    </dxf>
    <dxf>
      <font>
        <b val="0"/>
        <i val="0"/>
        <strike val="0"/>
        <condense val="0"/>
        <extend val="0"/>
        <outline val="0"/>
        <shadow val="0"/>
        <u val="none"/>
        <vertAlign val="baseline"/>
        <sz val="16"/>
        <color rgb="FFFF0000"/>
        <name val="Calibri"/>
        <family val="2"/>
        <scheme val="none"/>
      </font>
      <numFmt numFmtId="173" formatCode="dd/mm/yy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3" formatCode="dd/mm/yy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3"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0" formatCode="General"/>
      <alignment horizontal="center" vertical="center" textRotation="0" wrapText="1" indent="0" justifyLastLine="0" shrinkToFit="0" readingOrder="0"/>
      <border diagonalUp="0" diagonalDown="0">
        <left style="medium">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5" formatCode="[$-409]mmm/yy;@"/>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000000"/>
        <name val="Calibri"/>
        <family val="2"/>
        <scheme val="none"/>
      </font>
      <numFmt numFmtId="165" formatCode="[$-409]mmm/yy;@"/>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000000"/>
        <name val="Calibri"/>
        <family val="2"/>
        <scheme val="none"/>
      </font>
      <numFmt numFmtId="165" formatCode="[$-409]mmm/yy;@"/>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4" formatCode="[$SAR]\ #,##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strike val="0"/>
        <outline val="0"/>
        <shadow val="0"/>
        <u val="none"/>
        <vertAlign val="baseline"/>
        <sz val="16"/>
        <color rgb="FF000000"/>
        <name val="Calibri"/>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strike val="0"/>
        <outline val="0"/>
        <shadow val="0"/>
        <u val="none"/>
        <vertAlign val="baseline"/>
        <sz val="16"/>
        <color theme="1"/>
        <name val="Calibri"/>
        <family val="2"/>
        <scheme val="minor"/>
      </font>
      <numFmt numFmtId="164" formatCode="[$SAR]\ #,##0"/>
      <fill>
        <patternFill patternType="none">
          <fgColor indexed="64"/>
          <bgColor auto="1"/>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b val="0"/>
        <i val="0"/>
        <strike val="0"/>
        <condense val="0"/>
        <extend val="0"/>
        <outline val="0"/>
        <shadow val="0"/>
        <u val="none"/>
        <vertAlign val="baseline"/>
        <sz val="16"/>
        <color theme="0"/>
        <name val="Calibri"/>
        <family val="2"/>
        <scheme val="minor"/>
      </font>
      <numFmt numFmtId="164" formatCode="[$SAR]\ #,##0"/>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8" formatCode="[$SAR]\ #,##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8" formatCode="[$SAR]\ #,##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strike val="0"/>
        <outline val="0"/>
        <shadow val="0"/>
        <u val="none"/>
        <vertAlign val="baseline"/>
        <sz val="16"/>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strike val="0"/>
        <outline val="0"/>
        <shadow val="0"/>
        <u val="none"/>
        <vertAlign val="baseline"/>
        <sz val="16"/>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fill>
        <patternFill patternType="none">
          <fgColor indexed="64"/>
          <bgColor auto="1"/>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auto="1"/>
        </right>
        <top style="thin">
          <color auto="1"/>
        </top>
        <bottom style="thin">
          <color auto="1"/>
        </bottom>
      </border>
      <protection locked="1" hidden="0"/>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fill>
        <patternFill patternType="none">
          <fgColor indexed="64"/>
          <bgColor theme="3"/>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b val="0"/>
        <i val="0"/>
        <strike val="0"/>
        <condense val="0"/>
        <extend val="0"/>
        <outline val="0"/>
        <shadow val="0"/>
        <u val="none"/>
        <vertAlign val="baseline"/>
        <sz val="16"/>
        <color rgb="FF000000"/>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border diagonalUp="0" diagonalDown="0">
        <left/>
        <right/>
        <top style="thin">
          <color rgb="FF000000"/>
        </top>
        <bottom/>
      </border>
    </dxf>
    <dxf>
      <font>
        <b val="0"/>
        <i val="0"/>
        <strike val="0"/>
        <condense val="0"/>
        <extend val="0"/>
        <outline val="0"/>
        <shadow val="0"/>
        <u val="none"/>
        <vertAlign val="baseline"/>
        <sz val="16"/>
        <color rgb="FF000000"/>
        <name val="Calibri"/>
        <family val="2"/>
        <scheme val="none"/>
      </font>
      <numFmt numFmtId="166" formatCode="[$-409]d/mmm/yyyy;@"/>
      <alignment horizontal="center" vertical="center" textRotation="0" wrapText="1" indent="0" justifyLastLine="0" shrinkToFit="0" readingOrder="0"/>
    </dxf>
    <dxf>
      <font>
        <b val="0"/>
        <i val="0"/>
        <strike val="0"/>
        <condense val="0"/>
        <extend val="0"/>
        <outline val="0"/>
        <shadow val="0"/>
        <u val="none"/>
        <vertAlign val="baseline"/>
        <sz val="16"/>
        <color rgb="FF000000"/>
        <name val="Calibri"/>
        <family val="2"/>
        <scheme val="none"/>
      </font>
      <numFmt numFmtId="166" formatCode="[$-409]d/m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000000"/>
        <name val="Calibri"/>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000000"/>
        <name val="Calibri"/>
        <family val="2"/>
        <scheme val="none"/>
      </font>
      <numFmt numFmtId="166" formatCode="[$-409]d/m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000000"/>
        <name val="Calibri"/>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6"/>
        <color rgb="FFFF0000"/>
        <name val="Calibri"/>
        <family val="2"/>
        <scheme val="none"/>
      </font>
      <numFmt numFmtId="164" formatCode="[$SAR]\ #,##0"/>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4" formatCode="[$SAR]\ #,##0"/>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5" formatCode="[$-409]mmm/yy;@"/>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2" formatCode="[$-409]dd/mmm/yy;@"/>
      <alignment horizontal="center" vertical="center" textRotation="0" wrapText="1" indent="0" justifyLastLine="0" shrinkToFit="0" readingOrder="0"/>
      <border diagonalUp="0" diagonalDown="0">
        <left style="thin">
          <color auto="1"/>
        </left>
        <right style="medium">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000000"/>
        <name val="Calibri"/>
        <family val="2"/>
        <scheme val="none"/>
      </font>
      <numFmt numFmtId="172" formatCode="[$-409]dd/mmm/yy;@"/>
      <alignment horizontal="center" vertical="center" textRotation="0" wrapText="1" indent="0" justifyLastLine="0" shrinkToFit="0" readingOrder="0"/>
      <border diagonalUp="0" diagonalDown="0">
        <left style="medium">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theme="1"/>
        <name val="Calibri"/>
        <family val="2"/>
        <scheme val="none"/>
      </font>
      <numFmt numFmtId="172" formatCode="[$-409]dd/mmm/yy;@"/>
      <alignment horizontal="center" vertical="center" textRotation="0" wrapText="0" indent="0"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2" formatCode="[$-409]dd/mmm/yy;@"/>
      <alignment horizontal="center" vertical="center" textRotation="0" wrapText="0" indent="0" justifyLastLine="0" shrinkToFit="0" readingOrder="0"/>
      <border diagonalUp="0" diagonalDown="0">
        <left style="thin">
          <color auto="1"/>
        </left>
        <right style="medium">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000000"/>
        <name val="Calibri"/>
        <family val="2"/>
        <scheme val="none"/>
      </font>
      <numFmt numFmtId="172" formatCode="[$-409]dd/mmm/yy;@"/>
      <alignment horizontal="center" vertical="center" textRotation="0" wrapText="0" indent="0" justifyLastLine="0" shrinkToFit="0" readingOrder="0"/>
      <border diagonalUp="0" diagonalDown="0">
        <left style="medium">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theme="1"/>
        <name val="Calibri"/>
        <family val="2"/>
        <scheme val="none"/>
      </font>
      <numFmt numFmtId="4" formatCode="#,##0.00"/>
      <alignment horizontal="center" vertical="center" textRotation="0" wrapText="0" indent="0"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16"/>
        <color rgb="FFFF0000"/>
        <name val="Calibri"/>
        <family val="2"/>
        <scheme val="none"/>
      </font>
      <numFmt numFmtId="172" formatCode="[$-409]dd/mmm/yy;@"/>
      <alignment horizontal="center" vertical="center" textRotation="0" wrapText="0" indent="0" justifyLastLine="0" shrinkToFit="0" readingOrder="0"/>
      <border diagonalUp="0" diagonalDown="0">
        <left style="thin">
          <color auto="1"/>
        </left>
        <right style="medium">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rgb="FFFF0000"/>
        <name val="Calibri"/>
        <family val="2"/>
        <scheme val="none"/>
      </font>
      <numFmt numFmtId="172" formatCode="[$-409]dd/mmm/yy;@"/>
      <fill>
        <patternFill patternType="solid">
          <fgColor indexed="64"/>
          <bgColor theme="8" tint="0.79998168889431442"/>
        </patternFill>
      </fill>
      <alignment horizontal="center" vertical="center" textRotation="0" wrapText="1" indent="0" justifyLastLine="0" shrinkToFit="0" readingOrder="0"/>
      <border diagonalUp="0" diagonalDown="0">
        <left style="medium">
          <color auto="1"/>
        </left>
        <right style="thin">
          <color auto="1"/>
        </right>
        <top style="thin">
          <color auto="1"/>
        </top>
        <bottom style="thin">
          <color auto="1"/>
        </bottom>
        <vertical style="thin">
          <color auto="1"/>
        </vertic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2" formatCode="[$-409]dd/mmm/yy;@"/>
      <fill>
        <patternFill patternType="none">
          <fgColor indexed="64"/>
          <bgColor auto="1"/>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000000"/>
        <name val="Calibri"/>
        <family val="2"/>
        <scheme val="none"/>
      </font>
      <numFmt numFmtId="172" formatCode="[$-409]dd/mmm/yy;@"/>
      <fill>
        <patternFill patternType="none">
          <fgColor indexed="64"/>
          <bgColor auto="1"/>
        </patternFill>
      </fill>
      <alignment horizontal="center" vertical="center" textRotation="0" wrapText="0" indent="0" justifyLastLine="0" shrinkToFit="0" readingOrder="0"/>
      <border diagonalUp="0" diagonalDown="0">
        <left style="medium">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2" formatCode="[$-409]dd/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2" formatCode="[$-409]dd/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2" formatCode="[$-409]dd/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2" formatCode="[$-409]dd/mmm/yy;@"/>
      <fill>
        <patternFill patternType="none">
          <fgColor indexed="64"/>
          <bgColor auto="1"/>
        </patternFill>
      </fill>
      <alignment horizontal="center" vertical="center" textRotation="0" wrapText="1" indent="0" justifyLastLine="0" shrinkToFit="0" readingOrder="0"/>
      <border diagonalUp="0" diagonalDown="0">
        <left style="medium">
          <color auto="1"/>
        </left>
        <right style="thin">
          <color auto="1"/>
        </right>
        <top style="thin">
          <color auto="1"/>
        </top>
        <bottom style="thin">
          <color auto="1"/>
        </bottom>
      </border>
    </dxf>
    <dxf>
      <font>
        <b val="0"/>
        <i val="0"/>
        <strike val="0"/>
        <condense val="0"/>
        <extend val="0"/>
        <outline val="0"/>
        <shadow val="0"/>
        <u val="none"/>
        <vertAlign val="baseline"/>
        <sz val="16"/>
        <color rgb="FFFF0000"/>
        <name val="Calibri"/>
        <family val="2"/>
        <scheme val="none"/>
      </font>
      <numFmt numFmtId="172" formatCode="[$-409]dd/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2" formatCode="[$-409]dd/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2" formatCode="[$-409]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72" formatCode="[$-409]dd/mmm/yy;@"/>
      <alignment horizontal="center" vertical="center" textRotation="0" wrapText="1" indent="0" justifyLastLine="0" shrinkToFit="0" readingOrder="0"/>
      <border diagonalUp="0" diagonalDown="0">
        <left style="medium">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5" formatCode="[$-409]mmm/yy;@"/>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000000"/>
        <name val="Calibri"/>
        <family val="2"/>
        <scheme val="none"/>
      </font>
      <numFmt numFmtId="165" formatCode="[$-409]mmm/yy;@"/>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000000"/>
        <name val="Calibri"/>
        <family val="2"/>
        <scheme val="none"/>
      </font>
      <numFmt numFmtId="165" formatCode="[$-409]mmm/yy;@"/>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6"/>
        <color rgb="FFFF0000"/>
        <name val="Calibri"/>
        <family val="2"/>
        <scheme val="none"/>
      </font>
      <numFmt numFmtId="164" formatCode="[$SAR]\ #,##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strike val="0"/>
        <outline val="0"/>
        <shadow val="0"/>
        <u val="none"/>
        <vertAlign val="baseline"/>
        <sz val="16"/>
        <color rgb="FF000000"/>
        <name val="Calibri"/>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6"/>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right/>
        <top style="thin">
          <color rgb="FF000000"/>
        </top>
        <bottom/>
      </border>
    </dxf>
    <dxf>
      <font>
        <strike val="0"/>
        <outline val="0"/>
        <shadow val="0"/>
        <u val="none"/>
        <vertAlign val="baseline"/>
        <sz val="16"/>
        <color theme="1"/>
        <name val="Calibri"/>
        <family val="2"/>
        <scheme val="minor"/>
      </font>
      <numFmt numFmtId="164" formatCode="[$SAR]\ #,##0"/>
      <fill>
        <patternFill patternType="none">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6"/>
        <color theme="0"/>
        <name val="Calibri"/>
        <family val="2"/>
        <scheme val="minor"/>
      </font>
      <numFmt numFmtId="164" formatCode="[$SAR]\ #,##0"/>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8" formatCode="[$SAR]\ #,##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8" formatCode="[$SAR]\ #,##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8" formatCode="[$SAR]\ #,##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8" formatCode="[$SAR]\ #,##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strike val="0"/>
        <outline val="0"/>
        <shadow val="0"/>
        <u val="none"/>
        <vertAlign val="baseline"/>
        <sz val="16"/>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strike val="0"/>
        <outline val="0"/>
        <shadow val="0"/>
        <u val="none"/>
        <vertAlign val="baseline"/>
        <sz val="16"/>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fill>
        <patternFill patternType="none">
          <fgColor indexed="64"/>
          <bgColor auto="1"/>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auto="1"/>
        </right>
        <top style="thin">
          <color auto="1"/>
        </top>
        <bottom style="thin">
          <color auto="1"/>
        </bottom>
      </border>
      <protection locked="1" hidden="0"/>
    </dxf>
    <dxf>
      <font>
        <b val="0"/>
        <i val="0"/>
        <strike val="0"/>
        <condense val="0"/>
        <extend val="0"/>
        <outline val="0"/>
        <shadow val="0"/>
        <u val="none"/>
        <vertAlign val="baseline"/>
        <sz val="16"/>
        <color theme="0"/>
        <name val="Calibri"/>
        <family val="2"/>
        <scheme val="minor"/>
      </font>
      <fill>
        <patternFill patternType="solid">
          <fgColor indexed="64"/>
          <bgColor theme="4"/>
        </patternFill>
      </fill>
      <alignment horizontal="center" vertical="center" textRotation="0" wrapText="0" indent="0" justifyLastLine="0" shrinkToFit="0" readingOrder="0"/>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6"/>
        <color rgb="FFFFFFFF"/>
        <name val="Calibri"/>
        <family val="2"/>
        <scheme val="none"/>
      </font>
      <fill>
        <patternFill patternType="solid">
          <fgColor rgb="FF000000"/>
          <bgColor rgb="FF4472C4"/>
        </patternFill>
      </fill>
      <alignment horizontal="center" vertical="center" textRotation="0" wrapText="1" indent="0" justifyLastLine="0" shrinkToFit="0" readingOrder="0"/>
    </dxf>
    <dxf>
      <font>
        <strike val="0"/>
        <outline val="0"/>
        <shadow val="0"/>
        <u val="none"/>
        <vertAlign val="baseline"/>
        <sz val="16"/>
        <color rgb="FF000000"/>
        <name val="Calibri"/>
        <family val="2"/>
        <scheme val="none"/>
      </font>
      <fill>
        <patternFill patternType="none">
          <fgColor rgb="FF000000"/>
          <bgColor auto="1"/>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fill>
        <patternFill patternType="none">
          <fgColor indexed="64"/>
          <bgColor theme="3"/>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illintl.sharepoint.com/personal/abdelrahmanyassien_hillintl_com/Documents/2-Operations/1-Weekly/3-Monitoring%20Tendering%20Projects/41-29-Oct-25/&#1605;&#1578;&#1575;&#1576;&#1593;&#1577;%20&#1591;&#1585;&#1581;%20&#1575;&#1604;&#1605;&#1588;&#1575;&#1585;&#1610;&#1593;%20&#1605;&#1593;&#1578;&#1605;&#1583;&#1577;%20&#1575;&#1604;&#1578;&#1603;&#1575;&#1604;&#1610;&#1601;-26-&#1575;&#1603;&#1578;&#1608;&#1576;&#1585;-2025-V02%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قائمة السعر المحدد"/>
      <sheetName val="Business Case"/>
      <sheetName val="RFP"/>
      <sheetName val="PR"/>
      <sheetName val="Tender"/>
      <sheetName val="DB"/>
      <sheetName val="Projects Details"/>
      <sheetName val="Projects List"/>
      <sheetName val="To add new projects"/>
      <sheetName val="ملاحظات العرض"/>
      <sheetName val="For Presentations"/>
      <sheetName val="Projects Dashboard"/>
      <sheetName val="Overall-before"/>
      <sheetName val="Overall"/>
      <sheetName val="بيانات الاسبوعي"/>
      <sheetName val="Pivot Details"/>
      <sheetName val="add new to overall"/>
      <sheetName val="Q1-25"/>
      <sheetName val="Daily report"/>
      <sheetName val="Additional Projects"/>
      <sheetName val="Sample"/>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70ED8B-132B-4898-9D99-50F1AA00CBA6}" name="PR" displayName="PR" ref="A5:BA149" headerRowDxfId="210" dataDxfId="209" totalsRowDxfId="208" headerRowBorderDxfId="206" tableBorderDxfId="207" totalsRowBorderDxfId="205">
  <autoFilter ref="A5:BA149" xr:uid="{DEE9BAAB-B91C-4928-8402-DF840607EFFC}"/>
  <sortState xmlns:xlrd2="http://schemas.microsoft.com/office/spreadsheetml/2017/richdata2" ref="A6:BA149">
    <sortCondition ref="E5:E149"/>
  </sortState>
  <tableColumns count="53">
    <tableColumn id="122" xr3:uid="{B1DCDD3C-8E5C-4B4B-B74A-62D03D73455E}" name="Updated SN" dataDxfId="203" totalsRowDxfId="204"/>
    <tableColumn id="89" xr3:uid="{039E387D-5248-4D50-9433-2E283FF414E6}" name="اسم المشروع" totalsRowFunction="count" dataDxfId="201" totalsRowDxfId="202"/>
    <tableColumn id="40" xr3:uid="{BD408D3B-BFD1-4C1A-9093-8E18B08310D3}" name="القطاع" dataDxfId="199" totalsRowDxfId="200"/>
    <tableColumn id="41" xr3:uid="{B17C2482-0783-4614-B559-DCD0EF79E70C}" name="المصمم" dataDxfId="197" totalsRowDxfId="198"/>
    <tableColumn id="3" xr3:uid="{81226062-BEAD-4B02-87E0-19DDC9222ABF}" name="المنطقة" dataDxfId="195" totalsRowDxfId="196"/>
    <tableColumn id="146" xr3:uid="{1EEEF914-8743-451C-A571-06C9392393B5}" name="المدينة/المحافظة" dataDxfId="193" totalsRowDxfId="194"/>
    <tableColumn id="1" xr3:uid="{BF468D38-9AC4-4BB4-9A96-47A9356ED93C}" name="التصنيف" dataDxfId="191" totalsRowDxfId="192"/>
    <tableColumn id="10" xr3:uid="{0A30AC96-8E3B-436A-AFD3-8263977F6B9B}" name="التكلفه القديمه التحديث الرابع" dataDxfId="189" totalsRowDxfId="190" dataCellStyle="Comma"/>
    <tableColumn id="43" xr3:uid="{D349E4E5-E14C-4227-8BE9-FAC728E2FE39}" name="WO" dataDxfId="187" totalsRowDxfId="188" dataCellStyle="Comma"/>
    <tableColumn id="52" xr3:uid="{68EFCA22-4AFA-4F10-840A-AF7FE08BA08F}" name="Column2" dataDxfId="185" totalsRowDxfId="186" dataCellStyle="Comma">
      <calculatedColumnFormula>PR[[#This Row],[التكلفة (المحدثه)  شاملة الضريبة]]-K6</calculatedColumnFormula>
    </tableColumn>
    <tableColumn id="50" xr3:uid="{65B6B2CA-824E-45A2-8AC2-F763E1AE6943}" name="Column1" dataDxfId="183" totalsRowDxfId="184" dataCellStyle="Comma"/>
    <tableColumn id="6" xr3:uid="{9AF6DB39-9728-4350-B3C7-205513DF5CB4}" name="التكلفة (المحدثه)  شاملة الضريبة" totalsRowFunction="sum" dataDxfId="181" totalsRowDxfId="182"/>
    <tableColumn id="15" xr3:uid="{1511C93E-5E64-4A42-9FE1-0D709005D671}" name="القائمة المحدثة (الساحلية - الحزمة الاولى)" dataDxfId="179" totalsRowDxfId="180"/>
    <tableColumn id="38" xr3:uid="{8809CA0B-EA5A-465B-96B0-4947A683C071}" name="حالة المشروع  الحاليه" dataDxfId="177" totalsRowDxfId="178"/>
    <tableColumn id="46" xr3:uid="{962404B1-D7C3-4AB2-A9B3-CA88C9D9D086}" name="مستهدف / غير مستهدف" dataDxfId="175" totalsRowDxfId="176"/>
    <tableColumn id="19" xr3:uid="{9ADBF593-34D5-45B2-882E-2244CEDEEC85}" name="مدة المشروع (شهر)" dataDxfId="173" totalsRowDxfId="174"/>
    <tableColumn id="47" xr3:uid="{D2FAF359-7F6D-463C-B013-72F513575A06}" name="COST" totalsRowDxfId="172"/>
    <tableColumn id="29" xr3:uid="{9059D079-6634-4268-91BB-02962237A54D}" name="مرحلة المشروع   الحاليه حسب PMM" dataDxfId="170" totalsRowDxfId="171"/>
    <tableColumn id="13" xr3:uid="{7226AA30-FE4E-4EB9-A3B4-0CA093E3EEAA}" name="تاريخ بداية المرحله" dataDxfId="168" totalsRowDxfId="169"/>
    <tableColumn id="2" xr3:uid="{E55C71FB-ED3D-46B4-9750-D1A5BF69803B}" name="تاريخ نهاية المرحله" dataDxfId="166" totalsRowDxfId="167"/>
    <tableColumn id="37" xr3:uid="{8A681AE8-792C-47AF-855F-DEBBCA8B99C9}" name="تاريخ بداية المرحله." dataDxfId="164" totalsRowDxfId="165"/>
    <tableColumn id="36" xr3:uid="{3D8760B6-1069-40A5-BB3B-171E01092C84}" name="تاريخ نهاية المرحله…" dataDxfId="162" totalsRowDxfId="163"/>
    <tableColumn id="35" xr3:uid="{12FE3CA0-6EAA-482D-A40A-84FC290C82B6}" name="تاريخ بداية المرحله-" dataDxfId="161"/>
    <tableColumn id="34" xr3:uid="{3AF2E753-AE30-4287-976E-7D43E9C096DC}" name="تاريخ نهاية المرحله.-" dataDxfId="159" totalsRowDxfId="160"/>
    <tableColumn id="33" xr3:uid="{AB379978-8085-4FB7-A01F-145F95DC8CF9}" name="تاريخ بداية المرحله-." dataDxfId="157" totalsRowDxfId="158"/>
    <tableColumn id="32" xr3:uid="{B37EE990-B818-4717-BAED-002581A276EC}" name="تاريخ نهاية المرحله--" dataDxfId="155" totalsRowDxfId="156"/>
    <tableColumn id="31" xr3:uid="{F96067FC-E123-4A4E-911B-4808CE35F221}" name="تاريخ بداية .المرحله" dataDxfId="153" totalsRowDxfId="154"/>
    <tableColumn id="30" xr3:uid="{6F6F8968-BBBE-4F04-95BB-B3924E85B848}" name="تاريخ. نهاية المرحله" dataDxfId="151" totalsRowDxfId="152"/>
    <tableColumn id="39" xr3:uid="{DE0A78C4-5731-4801-ACF0-4DEB2DDA9311}" name=".تاريخ بداية المرحله" dataDxfId="149" totalsRowDxfId="150"/>
    <tableColumn id="27" xr3:uid="{C8B61FA5-902D-4710-8657-86BC10777557}" name="تاريخ. نهاية. المرحله" dataDxfId="148"/>
    <tableColumn id="45" xr3:uid="{CA2C08D9-6FA4-4F2A-8D0A-99432B81C48B}" name="التكلفة" dataDxfId="147"/>
    <tableColumn id="42" xr3:uid="{7C9F80D8-5043-4172-B15C-146495933DEB}" name="تاريخ بداية.. المرحله.." dataDxfId="145" totalsRowDxfId="146"/>
    <tableColumn id="16" xr3:uid="{6C8CD308-5C36-4345-8AA7-5882407E4E64}" name="تاريخ ..نهاية المرحله." dataDxfId="143" totalsRowDxfId="144"/>
    <tableColumn id="48" xr3:uid="{D71AC162-BA0C-4028-B526-2E38C7AF42B9}" name="التكلفة2" dataDxfId="141" totalsRowDxfId="142"/>
    <tableColumn id="44" xr3:uid="{BD49A4FF-9220-438D-9489-E59E0E20DEDC}" name="تاريخ .بداية المرحله-" dataDxfId="139" totalsRowDxfId="140"/>
    <tableColumn id="7" xr3:uid="{E671DCB5-0EC3-4675-B916-F9FEBB837738}" name="تاريخ نهاية المرحله-.-" dataDxfId="137" totalsRowDxfId="138"/>
    <tableColumn id="9" xr3:uid="{F12CFBE3-10A9-424B-8928-C2F16C4AA210}" name="مرحلة المشروع   الحاليه حسب PMM2" dataDxfId="135" totalsRowDxfId="136"/>
    <tableColumn id="11" xr3:uid="{57F68B43-F07D-477C-8EDC-E67E2795DBC0}" name="حالة الطرح التفصيليه" dataDxfId="133" totalsRowDxfId="134"/>
    <tableColumn id="12" xr3:uid="{8A05E635-46D1-4534-B44D-C17C1BCC9707}" name="حالة الطرح الرئيسيه" dataDxfId="131" totalsRowDxfId="132"/>
    <tableColumn id="8" xr3:uid="{97BC8561-AAE0-4ED2-8FFD-1E39CFACC0CE}" name="طلب الشراء" dataDxfId="130"/>
    <tableColumn id="17" xr3:uid="{AE1CBBB4-13D4-4860-B951-5EC0590D1621}" name="تاريخ رفع طلب الشراء" dataDxfId="129"/>
    <tableColumn id="5" xr3:uid="{7F47854D-EF36-4F25-BF9D-C6B3E1054B98}" name="رقم طلب الشراء" dataDxfId="128"/>
    <tableColumn id="4" xr3:uid="{6867E84B-17FD-4D8E-98DC-5DD6898A8EA7}" name="تاريخ إعتماد طلب الشراء" dataDxfId="127"/>
    <tableColumn id="28" xr3:uid="{322897D8-8F60-47F5-BB88-F52D9DE9BE9B}" name="ملاحظات على حالة طرح المشاريع" dataDxfId="126"/>
    <tableColumn id="14" xr3:uid="{232F01B0-0DC6-43F2-8353-F19A9E45D15D}" name="فلتر قديم 120" dataDxfId="124" totalsRowDxfId="125"/>
    <tableColumn id="26" xr3:uid="{5537E5B2-02F5-49E4-B89F-18E1E923CE4A}" name="حالة الطرح من الماليه" dataDxfId="122" totalsRowDxfId="123"/>
    <tableColumn id="18" xr3:uid="{8A40F835-5AB6-4752-983C-4885A610C9AF}" name="قيمة التعميد \ الترسية شامل الضريبة" dataDxfId="120" totalsRowDxfId="121"/>
    <tableColumn id="20" xr3:uid="{0192E85A-AB2B-4DD9-A7BD-120A27B349B0}" name="تاريخ الطرح" dataDxfId="118" totalsRowDxfId="119"/>
    <tableColumn id="21" xr3:uid="{DFAFE81E-4550-429D-BDCD-4E0D40D8BF61}" name="تاريخ إصدار أمر الشراء" dataDxfId="116" totalsRowDxfId="117"/>
    <tableColumn id="22" xr3:uid="{C00DACC1-6E8B-4D8F-989D-748615F290F8}" name="رقم امر الشراء PO " dataDxfId="114" totalsRowDxfId="115"/>
    <tableColumn id="23" xr3:uid="{FEFADA26-3363-4E53-BD95-1198562404E1}" name="المقاول " dataDxfId="112" totalsRowDxfId="113"/>
    <tableColumn id="24" xr3:uid="{96AF0FD9-A8F3-4366-9E86-FDFA21C3A071}" name="تاريخ توقيع العقد" dataDxfId="110" totalsRowDxfId="111"/>
    <tableColumn id="25" xr3:uid="{B0FD394A-049A-46EA-BCD0-63E2D61E9F53}" name="الاتفاقيات" dataDxfId="108" totalsRowDxfId="10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8CC629-09BD-468B-A9B1-A3F5FC4E0477}" name="PR_3" displayName="PR_3" ref="A5:AV155" headerRowDxfId="94" dataDxfId="93" totalsRowDxfId="92" headerRowBorderDxfId="90" tableBorderDxfId="91" totalsRowBorderDxfId="89">
  <autoFilter ref="A5:AV155" xr:uid="{DEE9BAAB-B91C-4928-8402-DF840607EFFC}">
    <filterColumn colId="4">
      <filters>
        <filter val="المدينة المنورة"/>
      </filters>
    </filterColumn>
    <filterColumn colId="12">
      <filters>
        <filter val="مستهدف"/>
      </filters>
    </filterColumn>
    <filterColumn colId="14">
      <filters>
        <filter val="6. Construction Stage."/>
      </filters>
    </filterColumn>
  </autoFilter>
  <tableColumns count="48">
    <tableColumn id="122" xr3:uid="{FA6F4F12-A333-4A16-9696-1532D173D283}" name="Updated SN" dataDxfId="87" totalsRowDxfId="88"/>
    <tableColumn id="89" xr3:uid="{0965EBE2-3E7E-4418-8114-0687473F3427}" name="اسم المشروع" totalsRowFunction="count" dataDxfId="85" totalsRowDxfId="86"/>
    <tableColumn id="40" xr3:uid="{F0189C88-D3A9-429F-BE1B-89FD861883AF}" name="القطاع" dataDxfId="83" totalsRowDxfId="84"/>
    <tableColumn id="41" xr3:uid="{2A218F84-CAAD-4A37-ADF2-32A9DB09B0FA}" name="المصمم" dataDxfId="81" totalsRowDxfId="82"/>
    <tableColumn id="3" xr3:uid="{B5A52C6F-8482-483C-B4F7-7282FCED9A60}" name="المنطقة" dataDxfId="79" totalsRowDxfId="80"/>
    <tableColumn id="146" xr3:uid="{B17E2294-44A3-4F2C-9661-6CD8E9CCD0D3}" name="المدينة/المحافظة" dataDxfId="77" totalsRowDxfId="78"/>
    <tableColumn id="1" xr3:uid="{7C4974E2-F4A4-440B-8600-4A5B94C68143}" name="التصنيف" dataDxfId="75" totalsRowDxfId="76"/>
    <tableColumn id="10" xr3:uid="{01B6BD45-47F8-4D77-8302-FCC0F8F182C1}" name="التكلفه القديمه التحديث الرابع" dataDxfId="73" totalsRowDxfId="74" dataCellStyle="Comma"/>
    <tableColumn id="43" xr3:uid="{DF490BE1-9472-4643-B246-03841B01F07D}" name="WO" dataDxfId="71" totalsRowDxfId="72" dataCellStyle="Comma"/>
    <tableColumn id="6" xr3:uid="{854D31DA-C6DF-416D-8CED-510ED20CC970}" name="التكلفة (المحدثه)  شاملة الضريبة" totalsRowFunction="sum" dataDxfId="69" totalsRowDxfId="70"/>
    <tableColumn id="15" xr3:uid="{4910B439-81CA-4A63-BD5E-278070640D22}" name="القائمة المحدثة (الساحلية - الحزمة الاولى)" dataDxfId="67" totalsRowDxfId="68"/>
    <tableColumn id="38" xr3:uid="{4527EDDD-7D6E-45A6-92A1-FF09F39F7451}" name="حالة المشروع  الحاليه" dataDxfId="65" totalsRowDxfId="66"/>
    <tableColumn id="46" xr3:uid="{6F162831-C2B0-4AC8-9B1B-6DF3A97D293E}" name="مستهدف / غير مستهدف" dataDxfId="63" totalsRowDxfId="64"/>
    <tableColumn id="19" xr3:uid="{7F1ECC4A-73B7-4210-B1A0-64C91511E43C}" name="مدة المشروع (شهر)" dataDxfId="61" totalsRowDxfId="62"/>
    <tableColumn id="29" xr3:uid="{E75AD113-D490-44C1-851A-1A1A271D3ECB}" name="مرحلة المشروع   الحاليه حسب PMM" dataDxfId="59" totalsRowDxfId="60"/>
    <tableColumn id="13" xr3:uid="{01A3FB63-9288-4EF7-B9FC-DDF5DFF5F550}" name="تاريخ بداية المرحله" dataDxfId="57" totalsRowDxfId="58"/>
    <tableColumn id="2" xr3:uid="{9108F88D-13DB-4EEA-BFA2-183D56463DEA}" name="تاريخ نهاية المرحله" dataDxfId="55" totalsRowDxfId="56"/>
    <tableColumn id="37" xr3:uid="{E8D8EE76-6CE2-4B22-B446-9ECA9018CD2D}" name="تاريخ بداية المرحله." dataDxfId="53" totalsRowDxfId="54"/>
    <tableColumn id="36" xr3:uid="{10B2A51F-4E16-45FB-9EF9-6A030B033A0A}" name="تاريخ نهاية المرحله…" dataDxfId="51" totalsRowDxfId="52"/>
    <tableColumn id="35" xr3:uid="{B043C820-900F-4311-9E2A-11C7601C527B}" name="تاريخ بداية المرحله-" dataDxfId="50"/>
    <tableColumn id="34" xr3:uid="{BD86C83F-322C-4849-961B-1308E6738C03}" name="تاريخ نهاية المرحله.-" dataDxfId="48" totalsRowDxfId="49"/>
    <tableColumn id="33" xr3:uid="{8A1CCB79-7EE7-434A-B6AE-C363CD7BBBDE}" name="تاريخ بداية المرحله-." dataDxfId="46" totalsRowDxfId="47"/>
    <tableColumn id="32" xr3:uid="{8B4ECC38-FF7E-49BB-813A-62F2BF330F78}" name="تاريخ نهاية المرحله--" dataDxfId="44" totalsRowDxfId="45"/>
    <tableColumn id="31" xr3:uid="{EF33E003-4496-4072-BD1B-CA33B88D9072}" name="تاريخ بداية .المرحله" dataDxfId="42" totalsRowDxfId="43"/>
    <tableColumn id="30" xr3:uid="{10143729-ECCE-43D5-842B-9695B7494CD9}" name="تاريخ. نهاية المرحله" dataDxfId="40" totalsRowDxfId="41"/>
    <tableColumn id="39" xr3:uid="{6575968B-4C3D-4812-A8D0-5A13AE149D14}" name=".تاريخ بداية المرحله" dataDxfId="38" totalsRowDxfId="39"/>
    <tableColumn id="27" xr3:uid="{4231705E-4546-488B-B068-D632D4F20B97}" name="تاريخ. نهاية. المرحله" dataDxfId="37"/>
    <tableColumn id="42" xr3:uid="{01EFDEFD-B6C4-4703-9F0A-B6693FD86237}" name="تاريخ بداية.. المرحله.." dataDxfId="35" totalsRowDxfId="36"/>
    <tableColumn id="16" xr3:uid="{FFA289E5-8385-4DCC-A1E8-C92BDC9221CD}" name="تاريخ ..نهاية المرحله." dataDxfId="33" totalsRowDxfId="34"/>
    <tableColumn id="44" xr3:uid="{9E0A4E76-42BF-4294-A621-66B0572F73D0}" name="تاريخ .بداية المرحله-" dataDxfId="31" totalsRowDxfId="32"/>
    <tableColumn id="7" xr3:uid="{AB7A6383-ED56-47E5-B868-24B373FD6596}" name="تاريخ نهاية المرحله-.-" dataDxfId="29" totalsRowDxfId="30"/>
    <tableColumn id="9" xr3:uid="{7A5D2130-8603-4C91-951E-37279BAD4A60}" name="مرحلة المشروع   الحاليه حسب PMM2" dataDxfId="27" totalsRowDxfId="28"/>
    <tableColumn id="11" xr3:uid="{5A39C276-31CC-4DD1-9086-F24DF7D7CBF4}" name="حالة الطرح التفصيليه" dataDxfId="25" totalsRowDxfId="26"/>
    <tableColumn id="12" xr3:uid="{6C8CE6C2-A16B-4825-BF32-074C1B2A3A50}" name="حالة الطرح الرئيسيه" dataDxfId="23" totalsRowDxfId="24"/>
    <tableColumn id="8" xr3:uid="{268FB08A-4BEA-4F86-A1CA-2FF0E4A7924E}" name="طلب الشراء" dataDxfId="22"/>
    <tableColumn id="17" xr3:uid="{1B71C055-D795-4AEF-9A23-88FEA6F32E59}" name="تاريخ رفع طلب الشراء" dataDxfId="21"/>
    <tableColumn id="5" xr3:uid="{6C312030-924D-4B15-9B01-1E848E575541}" name="رقم طلب الشراء" dataDxfId="20"/>
    <tableColumn id="4" xr3:uid="{BD348DC1-53D3-4060-880D-58C97C3FB8C4}" name="تاريخ إعتماد طلب الشراء" dataDxfId="19"/>
    <tableColumn id="28" xr3:uid="{99B68B1A-DA48-4133-9026-2C55BDDB4A47}" name="ملاحظات على حالة طرح المشاريع" dataDxfId="18"/>
    <tableColumn id="14" xr3:uid="{CADDD31B-81FC-40E5-9DBD-3EC308B25490}" name="فلتر قديم 120" dataDxfId="16" totalsRowDxfId="17"/>
    <tableColumn id="26" xr3:uid="{5592610B-CE71-4E72-98DF-9A6D7A726776}" name="حالة الطرح من الماليه" dataDxfId="14" totalsRowDxfId="15"/>
    <tableColumn id="18" xr3:uid="{74DE31B7-2BE8-4666-A742-C643428CA73C}" name="قيمة التعميد \ الترسية شامل الضريبة" dataDxfId="12" totalsRowDxfId="13"/>
    <tableColumn id="20" xr3:uid="{6B8C9000-3870-4119-A6CB-01C3062EA4A2}" name="تاريخ الطرح" dataDxfId="10" totalsRowDxfId="11"/>
    <tableColumn id="21" xr3:uid="{18B97987-C1C5-4A8C-AF37-7B342742830E}" name="تاريخ إصدار أمر الشراء" dataDxfId="8" totalsRowDxfId="9"/>
    <tableColumn id="22" xr3:uid="{BBAB5010-CCFB-49A9-830B-4908C7C3AC73}" name="رقم امر الشراء PO " dataDxfId="6" totalsRowDxfId="7"/>
    <tableColumn id="23" xr3:uid="{F0B84B63-17C5-4DDA-944F-713DCFDEA7B3}" name="المقاول " dataDxfId="4" totalsRowDxfId="5"/>
    <tableColumn id="24" xr3:uid="{43BD8586-C045-424E-AF5B-136947DCE0F6}" name="تاريخ توقيع العقد" dataDxfId="2" totalsRowDxfId="3"/>
    <tableColumn id="25" xr3:uid="{F520B3E2-A7D7-4324-9CAF-5ED2959AC6CE}" name="الاتفاقيات" dataDxfId="0" totalsRow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24BB2-CC66-4B96-915E-D3F9C21C67AA}">
  <sheetPr codeName="Sheet8">
    <tabColor theme="9" tint="0.39997558519241921"/>
    <pageSetUpPr fitToPage="1"/>
  </sheetPr>
  <dimension ref="A1:BA156"/>
  <sheetViews>
    <sheetView rightToLeft="1" tabSelected="1" zoomScale="50" zoomScaleNormal="50" workbookViewId="0">
      <pane xSplit="2" ySplit="5" topLeftCell="Q62" activePane="bottomRight" state="frozen"/>
      <selection pane="bottomRight" activeCell="AC1" sqref="R1:AC1048576"/>
      <selection pane="bottomLeft" activeCell="A6" sqref="A6"/>
      <selection pane="topRight" activeCell="C1" sqref="C1"/>
    </sheetView>
  </sheetViews>
  <sheetFormatPr defaultColWidth="9.140625" defaultRowHeight="21"/>
  <cols>
    <col min="1" max="1" width="23.28515625" style="13" customWidth="1"/>
    <col min="2" max="2" width="102" style="13" customWidth="1"/>
    <col min="3" max="4" width="24.5703125" style="14" customWidth="1"/>
    <col min="5" max="5" width="33" style="14" customWidth="1"/>
    <col min="6" max="11" width="30.85546875" style="14" customWidth="1"/>
    <col min="12" max="12" width="33.85546875" style="313" customWidth="1"/>
    <col min="13" max="13" width="21" style="8" customWidth="1"/>
    <col min="14" max="14" width="32.7109375" style="8" customWidth="1"/>
    <col min="15" max="15" width="41.28515625" style="8" customWidth="1"/>
    <col min="16" max="16" width="8.42578125" style="8" customWidth="1"/>
    <col min="17" max="17" width="28.42578125" style="8" customWidth="1"/>
    <col min="18" max="18" width="38.85546875" style="8" customWidth="1"/>
    <col min="19" max="19" width="27.140625" style="8" customWidth="1"/>
    <col min="20" max="20" width="20.7109375" style="8" customWidth="1"/>
    <col min="21" max="28" width="21.7109375" style="8" customWidth="1"/>
    <col min="29" max="29" width="22.28515625" style="8" customWidth="1"/>
    <col min="30" max="30" width="21" style="8" customWidth="1"/>
    <col min="31" max="31" width="32.5703125" style="289" customWidth="1"/>
    <col min="32" max="32" width="21" style="8" customWidth="1"/>
    <col min="33" max="33" width="27.28515625" style="8" customWidth="1"/>
    <col min="34" max="34" width="22.140625" style="8" bestFit="1" customWidth="1"/>
    <col min="35" max="36" width="21" style="8" customWidth="1"/>
    <col min="37" max="39" width="41.5703125" style="8" hidden="1" customWidth="1"/>
    <col min="40" max="43" width="21" style="8" hidden="1" customWidth="1"/>
    <col min="44" max="44" width="74.5703125" style="8" hidden="1" customWidth="1"/>
    <col min="45" max="45" width="28.42578125" style="8" hidden="1" customWidth="1"/>
    <col min="46" max="46" width="39.140625" style="8" hidden="1" customWidth="1"/>
    <col min="47" max="50" width="40.7109375" style="8" hidden="1" customWidth="1"/>
    <col min="51" max="51" width="66.140625" style="8" hidden="1" customWidth="1"/>
    <col min="52" max="53" width="40.7109375" style="8" hidden="1" customWidth="1"/>
    <col min="54" max="16384" width="9.140625" style="8"/>
  </cols>
  <sheetData>
    <row r="1" spans="1:53" s="4" customFormat="1" ht="23.25" customHeight="1">
      <c r="A1" s="1"/>
      <c r="B1" s="1"/>
      <c r="C1" s="2"/>
      <c r="D1" s="2"/>
      <c r="E1" s="2"/>
      <c r="F1" s="2"/>
      <c r="G1" s="2"/>
      <c r="H1" s="2"/>
      <c r="I1" s="2"/>
      <c r="J1" s="2"/>
      <c r="K1" s="2"/>
      <c r="L1" s="304"/>
      <c r="AE1" s="276"/>
    </row>
    <row r="2" spans="1:53" s="4" customFormat="1" ht="37.9" customHeight="1">
      <c r="A2" s="1"/>
      <c r="B2" s="2"/>
      <c r="C2" s="2"/>
      <c r="D2" s="2"/>
      <c r="E2" s="2"/>
      <c r="F2" s="2"/>
      <c r="G2" s="2"/>
      <c r="H2" s="2"/>
      <c r="I2" s="2"/>
      <c r="J2" s="2"/>
      <c r="K2" s="2"/>
      <c r="L2" s="304"/>
      <c r="AE2" s="276"/>
    </row>
    <row r="3" spans="1:53" s="4" customFormat="1" ht="63" customHeight="1" thickBot="1">
      <c r="A3" s="1"/>
      <c r="B3" s="1"/>
      <c r="C3" s="2"/>
      <c r="D3" s="2"/>
      <c r="E3" s="2"/>
      <c r="F3" s="2"/>
      <c r="G3" s="2"/>
      <c r="H3" s="2"/>
      <c r="I3" s="2"/>
      <c r="J3" s="2"/>
      <c r="K3" s="2"/>
      <c r="L3" s="304"/>
      <c r="S3" s="341" t="s">
        <v>0</v>
      </c>
      <c r="T3" s="342"/>
      <c r="U3" s="341" t="s">
        <v>0</v>
      </c>
      <c r="V3" s="342"/>
      <c r="W3" s="341" t="s">
        <v>0</v>
      </c>
      <c r="X3" s="342"/>
      <c r="AE3" s="276"/>
      <c r="AN3" s="4">
        <v>1</v>
      </c>
      <c r="AO3" s="4">
        <v>2</v>
      </c>
      <c r="AP3" s="4">
        <v>3</v>
      </c>
      <c r="AQ3" s="4">
        <v>4</v>
      </c>
    </row>
    <row r="4" spans="1:53" s="6" customFormat="1" ht="87" customHeight="1">
      <c r="A4" s="5"/>
      <c r="B4" s="20">
        <f>SUBTOTAL(3,PR[اسم المشروع])</f>
        <v>144</v>
      </c>
      <c r="C4" s="20" t="s">
        <v>1</v>
      </c>
      <c r="D4" s="20"/>
      <c r="E4" s="5"/>
      <c r="F4" s="5"/>
      <c r="G4" s="5"/>
      <c r="H4" s="27">
        <f>SUBTOTAL(9,PR[التكلفه القديمه التحديث الرابع])/1000000000</f>
        <v>7.2906554037480005</v>
      </c>
      <c r="I4" s="27"/>
      <c r="J4" s="27"/>
      <c r="K4" s="27"/>
      <c r="L4" s="305">
        <f>SUBTOTAL(9,PR[التكلفة (المحدثه)  شاملة الضريبة])/1000000000</f>
        <v>8.8866126505294964</v>
      </c>
      <c r="M4" s="19" t="s">
        <v>2</v>
      </c>
      <c r="N4" s="19"/>
      <c r="O4" s="19"/>
      <c r="P4" s="19"/>
      <c r="Q4" s="19"/>
      <c r="S4" s="350" t="s">
        <v>3</v>
      </c>
      <c r="T4" s="351"/>
      <c r="U4" s="348" t="s">
        <v>4</v>
      </c>
      <c r="V4" s="349"/>
      <c r="W4" s="346" t="s">
        <v>5</v>
      </c>
      <c r="X4" s="347"/>
      <c r="Y4" s="348" t="s">
        <v>6</v>
      </c>
      <c r="Z4" s="349"/>
      <c r="AA4" s="346" t="s">
        <v>7</v>
      </c>
      <c r="AB4" s="347"/>
      <c r="AC4" s="352" t="s">
        <v>8</v>
      </c>
      <c r="AD4" s="345"/>
      <c r="AE4" s="353"/>
      <c r="AF4" s="354" t="s">
        <v>9</v>
      </c>
      <c r="AG4" s="355"/>
      <c r="AH4" s="355"/>
      <c r="AI4" s="345" t="s">
        <v>10</v>
      </c>
      <c r="AJ4" s="345"/>
      <c r="AN4" s="343" t="s">
        <v>11</v>
      </c>
      <c r="AO4" s="343"/>
      <c r="AP4" s="343"/>
      <c r="AQ4" s="343"/>
      <c r="AS4" s="20">
        <f>SUBTOTAL(3,PR[اسم المشروع])</f>
        <v>144</v>
      </c>
      <c r="AU4" s="343" t="s">
        <v>12</v>
      </c>
      <c r="AV4" s="344"/>
      <c r="AW4" s="344"/>
      <c r="AX4" s="344"/>
      <c r="AY4" s="344"/>
      <c r="AZ4" s="344"/>
      <c r="BA4" s="344"/>
    </row>
    <row r="5" spans="1:53" ht="84.6" customHeight="1">
      <c r="A5" s="50" t="s">
        <v>13</v>
      </c>
      <c r="B5" s="50" t="s">
        <v>14</v>
      </c>
      <c r="C5" s="50" t="s">
        <v>15</v>
      </c>
      <c r="D5" s="50" t="s">
        <v>16</v>
      </c>
      <c r="E5" s="50" t="s">
        <v>17</v>
      </c>
      <c r="F5" s="50" t="s">
        <v>18</v>
      </c>
      <c r="G5" s="50" t="s">
        <v>19</v>
      </c>
      <c r="H5" s="50" t="s">
        <v>20</v>
      </c>
      <c r="I5" s="50" t="s">
        <v>21</v>
      </c>
      <c r="J5" s="50" t="s">
        <v>22</v>
      </c>
      <c r="K5" s="50" t="s">
        <v>23</v>
      </c>
      <c r="L5" s="306" t="s">
        <v>24</v>
      </c>
      <c r="M5" s="52" t="s">
        <v>25</v>
      </c>
      <c r="N5" s="21" t="s">
        <v>26</v>
      </c>
      <c r="O5" s="21" t="s">
        <v>27</v>
      </c>
      <c r="P5" s="21" t="s">
        <v>28</v>
      </c>
      <c r="Q5" s="21" t="s">
        <v>29</v>
      </c>
      <c r="R5" s="21" t="s">
        <v>30</v>
      </c>
      <c r="S5" s="85" t="s">
        <v>31</v>
      </c>
      <c r="T5" s="86" t="s">
        <v>32</v>
      </c>
      <c r="U5" s="21" t="s">
        <v>33</v>
      </c>
      <c r="V5" s="21" t="s">
        <v>34</v>
      </c>
      <c r="W5" s="85" t="s">
        <v>35</v>
      </c>
      <c r="X5" s="86" t="s">
        <v>36</v>
      </c>
      <c r="Y5" s="21" t="s">
        <v>37</v>
      </c>
      <c r="Z5" s="21" t="s">
        <v>38</v>
      </c>
      <c r="AA5" s="85" t="s">
        <v>39</v>
      </c>
      <c r="AB5" s="86" t="s">
        <v>40</v>
      </c>
      <c r="AC5" s="21" t="s">
        <v>41</v>
      </c>
      <c r="AD5" s="21" t="s">
        <v>42</v>
      </c>
      <c r="AE5" s="277" t="s">
        <v>43</v>
      </c>
      <c r="AF5" s="85" t="s">
        <v>44</v>
      </c>
      <c r="AG5" s="86" t="s">
        <v>45</v>
      </c>
      <c r="AH5" s="21" t="s">
        <v>46</v>
      </c>
      <c r="AI5" s="21" t="s">
        <v>47</v>
      </c>
      <c r="AJ5" s="21" t="s">
        <v>48</v>
      </c>
      <c r="AK5" s="21" t="s">
        <v>49</v>
      </c>
      <c r="AL5" s="21" t="s">
        <v>50</v>
      </c>
      <c r="AM5" s="21" t="s">
        <v>51</v>
      </c>
      <c r="AN5" s="7" t="s">
        <v>52</v>
      </c>
      <c r="AO5" s="7" t="s">
        <v>53</v>
      </c>
      <c r="AP5" s="7" t="s">
        <v>54</v>
      </c>
      <c r="AQ5" s="7" t="s">
        <v>55</v>
      </c>
      <c r="AR5" s="7" t="s">
        <v>56</v>
      </c>
      <c r="AS5" s="35" t="s">
        <v>57</v>
      </c>
      <c r="AT5" s="35" t="s">
        <v>58</v>
      </c>
      <c r="AU5" s="36" t="s">
        <v>59</v>
      </c>
      <c r="AV5" s="39" t="s">
        <v>60</v>
      </c>
      <c r="AW5" s="39" t="s">
        <v>61</v>
      </c>
      <c r="AX5" s="35" t="s">
        <v>62</v>
      </c>
      <c r="AY5" s="35" t="s">
        <v>63</v>
      </c>
      <c r="AZ5" s="39" t="s">
        <v>64</v>
      </c>
      <c r="BA5" s="35" t="s">
        <v>65</v>
      </c>
    </row>
    <row r="6" spans="1:53" s="11" customFormat="1" ht="54.75" customHeight="1">
      <c r="A6" s="53" t="s">
        <v>66</v>
      </c>
      <c r="B6" s="57" t="s">
        <v>67</v>
      </c>
      <c r="C6" s="53" t="s">
        <v>68</v>
      </c>
      <c r="D6" s="53" t="e">
        <v>#N/A</v>
      </c>
      <c r="E6" s="53" t="s">
        <v>69</v>
      </c>
      <c r="F6" s="53" t="s">
        <v>70</v>
      </c>
      <c r="G6" s="53" t="s">
        <v>71</v>
      </c>
      <c r="H6" s="59">
        <v>34500000</v>
      </c>
      <c r="I6" s="59" t="e">
        <v>#N/A</v>
      </c>
      <c r="J6" s="59">
        <f>PR[[#This Row],[التكلفة (المحدثه)  شاملة الضريبة]]-K6</f>
        <v>34500000</v>
      </c>
      <c r="K6" s="59"/>
      <c r="L6" s="61">
        <v>34500000</v>
      </c>
      <c r="M6" s="45" t="s">
        <v>72</v>
      </c>
      <c r="N6" s="55" t="s">
        <v>73</v>
      </c>
      <c r="O6" s="68" t="s">
        <v>74</v>
      </c>
      <c r="P6" s="181" t="s">
        <v>75</v>
      </c>
      <c r="Q6" s="291"/>
      <c r="R6" s="190" t="s">
        <v>4</v>
      </c>
      <c r="S6" s="228">
        <v>45383</v>
      </c>
      <c r="T6" s="229">
        <v>45412</v>
      </c>
      <c r="U6" s="230">
        <f>PR[[#This Row],[تاريخ نهاية المرحله]]+1</f>
        <v>45413</v>
      </c>
      <c r="V6" s="231">
        <f>PR[[#This Row],[تاريخ بداية المرحله.]]+30</f>
        <v>45443</v>
      </c>
      <c r="W6" s="232">
        <f>PR[[#This Row],[تاريخ نهاية المرحله…]]+1</f>
        <v>45444</v>
      </c>
      <c r="X6" s="233">
        <f>PR[[#This Row],[تاريخ بداية المرحله-]]+121</f>
        <v>45565</v>
      </c>
      <c r="Y6" s="230">
        <f>PR[[#This Row],[تاريخ نهاية المرحله.-]]+1</f>
        <v>45566</v>
      </c>
      <c r="Z6" s="231">
        <f>PR[[#This Row],[تاريخ بداية المرحله-.]]+90</f>
        <v>45656</v>
      </c>
      <c r="AA6" s="234">
        <f>PR[[#This Row],[تاريخ نهاية المرحله--]]+1</f>
        <v>45657</v>
      </c>
      <c r="AB6" s="235">
        <f>PR[[#This Row],[تاريخ بداية .المرحله]]+188</f>
        <v>45845</v>
      </c>
      <c r="AC6" s="234">
        <f>PR[[#This Row],[تاريخ. نهاية المرحله]]+1</f>
        <v>45846</v>
      </c>
      <c r="AD6" s="235">
        <f>PR[[#This Row],[.تاريخ بداية المرحله]] + ((PR[[#This Row],[مدة المشروع (شهر)]]*30)-55)</f>
        <v>46511</v>
      </c>
      <c r="AE6" s="278">
        <f>PR[[#This Row],[التكلفة (المحدثه)  شاملة الضريبة]]*0.9</f>
        <v>31050000</v>
      </c>
      <c r="AF6" s="234">
        <f>PR[[#This Row],[تاريخ. نهاية. المرحله]]+1</f>
        <v>46512</v>
      </c>
      <c r="AG6" s="235">
        <f>PR[[#This Row],[تاريخ بداية.. المرحله..]]+28</f>
        <v>46540</v>
      </c>
      <c r="AH6" s="278">
        <f>PR[[#This Row],[التكلفة (المحدثه)  شاملة الضريبة]]*0.1</f>
        <v>3450000</v>
      </c>
      <c r="AI6" s="232">
        <f>PR[[#This Row],[تاريخ ..نهاية المرحله.]]+1</f>
        <v>46541</v>
      </c>
      <c r="AJ6" s="233">
        <f>PR[[#This Row],[.تاريخ بداية المرحله]]+729</f>
        <v>46575</v>
      </c>
      <c r="AK6" s="8" t="s">
        <v>4</v>
      </c>
      <c r="AL6" s="28" t="s">
        <v>73</v>
      </c>
      <c r="AM6" s="182" t="s">
        <v>74</v>
      </c>
      <c r="AN6" s="9" t="s">
        <v>76</v>
      </c>
      <c r="AO6" s="10"/>
      <c r="AP6" s="9"/>
      <c r="AQ6" s="10"/>
      <c r="AR6" s="25" t="s">
        <v>77</v>
      </c>
      <c r="AS6" s="29" t="s">
        <v>78</v>
      </c>
      <c r="AT6" s="183"/>
      <c r="AU6" s="37"/>
      <c r="AV6" s="38"/>
      <c r="AW6" s="38"/>
      <c r="AX6" s="9">
        <v>0</v>
      </c>
      <c r="AY6" s="9">
        <v>0</v>
      </c>
      <c r="AZ6" s="38"/>
      <c r="BA6" s="9"/>
    </row>
    <row r="7" spans="1:53" s="11" customFormat="1" ht="54.75" customHeight="1">
      <c r="A7" s="56" t="s">
        <v>79</v>
      </c>
      <c r="B7" s="57" t="s">
        <v>80</v>
      </c>
      <c r="C7" s="53" t="s">
        <v>68</v>
      </c>
      <c r="D7" s="53" t="e">
        <v>#N/A</v>
      </c>
      <c r="E7" s="53" t="s">
        <v>81</v>
      </c>
      <c r="F7" s="53" t="s">
        <v>81</v>
      </c>
      <c r="G7" s="53" t="s">
        <v>71</v>
      </c>
      <c r="H7" s="54">
        <v>19550000</v>
      </c>
      <c r="I7" s="54" t="e">
        <v>#N/A</v>
      </c>
      <c r="J7" s="54">
        <f>PR[[#This Row],[التكلفة (المحدثه)  شاملة الضريبة]]-K7</f>
        <v>0</v>
      </c>
      <c r="K7" s="54">
        <v>19550000</v>
      </c>
      <c r="L7" s="61">
        <v>19550000</v>
      </c>
      <c r="M7" s="45" t="s">
        <v>72</v>
      </c>
      <c r="N7" s="55" t="s">
        <v>73</v>
      </c>
      <c r="O7" s="68" t="s">
        <v>74</v>
      </c>
      <c r="P7" s="180">
        <v>24</v>
      </c>
      <c r="Q7" s="290"/>
      <c r="R7" s="190" t="s">
        <v>4</v>
      </c>
      <c r="S7" s="228">
        <v>45383</v>
      </c>
      <c r="T7" s="229">
        <f>PR[[#This Row],[تاريخ بداية المرحله]]+29</f>
        <v>45412</v>
      </c>
      <c r="U7" s="230">
        <f>PR[[#This Row],[تاريخ نهاية المرحله]]+1</f>
        <v>45413</v>
      </c>
      <c r="V7" s="231">
        <f>PR[[#This Row],[تاريخ بداية المرحله.]]+30</f>
        <v>45443</v>
      </c>
      <c r="W7" s="232">
        <f>PR[[#This Row],[تاريخ نهاية المرحله…]]+1</f>
        <v>45444</v>
      </c>
      <c r="X7" s="233">
        <f>PR[[#This Row],[تاريخ بداية المرحله-]]+121</f>
        <v>45565</v>
      </c>
      <c r="Y7" s="230">
        <f>PR[[#This Row],[تاريخ نهاية المرحله.-]]+1</f>
        <v>45566</v>
      </c>
      <c r="Z7" s="231">
        <f>PR[[#This Row],[تاريخ بداية المرحله-.]]+90</f>
        <v>45656</v>
      </c>
      <c r="AA7" s="234">
        <f>PR[[#This Row],[تاريخ نهاية المرحله--]]+1</f>
        <v>45657</v>
      </c>
      <c r="AB7" s="235">
        <f>PR[[#This Row],[تاريخ بداية .المرحله]]+188</f>
        <v>45845</v>
      </c>
      <c r="AC7" s="234">
        <f>PR[[#This Row],[تاريخ. نهاية المرحله]]+1</f>
        <v>45846</v>
      </c>
      <c r="AD7" s="235">
        <f>PR[[#This Row],[.تاريخ بداية المرحله]] + ((PR[[#This Row],[مدة المشروع (شهر)]]*30)-55)</f>
        <v>46511</v>
      </c>
      <c r="AE7" s="278">
        <f>PR[[#This Row],[التكلفة (المحدثه)  شاملة الضريبة]]*0.9</f>
        <v>17595000</v>
      </c>
      <c r="AF7" s="234">
        <f>PR[[#This Row],[تاريخ. نهاية. المرحله]]+1</f>
        <v>46512</v>
      </c>
      <c r="AG7" s="235">
        <f>PR[[#This Row],[تاريخ بداية.. المرحله..]]+28</f>
        <v>46540</v>
      </c>
      <c r="AH7" s="278">
        <f>PR[[#This Row],[التكلفة (المحدثه)  شاملة الضريبة]]*0.1</f>
        <v>1955000</v>
      </c>
      <c r="AI7" s="232">
        <f>PR[[#This Row],[تاريخ ..نهاية المرحله.]]+1</f>
        <v>46541</v>
      </c>
      <c r="AJ7" s="233">
        <f>PR[[#This Row],[.تاريخ بداية المرحله]]+729</f>
        <v>46575</v>
      </c>
      <c r="AK7" s="8" t="s">
        <v>4</v>
      </c>
      <c r="AL7" s="28" t="s">
        <v>73</v>
      </c>
      <c r="AM7" s="182" t="s">
        <v>74</v>
      </c>
      <c r="AN7" s="9" t="s">
        <v>76</v>
      </c>
      <c r="AO7" s="10"/>
      <c r="AP7" s="9">
        <v>0</v>
      </c>
      <c r="AQ7" s="10"/>
      <c r="AR7" s="24" t="s">
        <v>82</v>
      </c>
      <c r="AS7" s="29" t="s">
        <v>78</v>
      </c>
      <c r="AT7" s="183"/>
      <c r="AU7" s="37"/>
      <c r="AV7" s="38"/>
      <c r="AW7" s="38"/>
      <c r="AX7" s="9">
        <v>0</v>
      </c>
      <c r="AY7" s="9">
        <v>0</v>
      </c>
      <c r="AZ7" s="38"/>
      <c r="BA7" s="9"/>
    </row>
    <row r="8" spans="1:53" s="11" customFormat="1" ht="54.75" customHeight="1">
      <c r="A8" s="53" t="s">
        <v>83</v>
      </c>
      <c r="B8" s="57" t="s">
        <v>84</v>
      </c>
      <c r="C8" s="53" t="s">
        <v>68</v>
      </c>
      <c r="D8" s="53" t="e">
        <v>#N/A</v>
      </c>
      <c r="E8" s="53" t="s">
        <v>81</v>
      </c>
      <c r="F8" s="53" t="s">
        <v>85</v>
      </c>
      <c r="G8" s="53" t="s">
        <v>86</v>
      </c>
      <c r="H8" s="54">
        <v>27000000.149999999</v>
      </c>
      <c r="I8" s="54" t="e">
        <v>#N/A</v>
      </c>
      <c r="J8" s="54">
        <f>PR[[#This Row],[التكلفة (المحدثه)  شاملة الضريبة]]-K8</f>
        <v>0</v>
      </c>
      <c r="K8" s="54">
        <v>27000000.149999999</v>
      </c>
      <c r="L8" s="61">
        <v>27000000.149999999</v>
      </c>
      <c r="M8" s="45" t="s">
        <v>72</v>
      </c>
      <c r="N8" s="55" t="s">
        <v>73</v>
      </c>
      <c r="O8" s="68" t="s">
        <v>74</v>
      </c>
      <c r="P8" s="180" t="s">
        <v>87</v>
      </c>
      <c r="Q8" s="290"/>
      <c r="R8" s="190" t="s">
        <v>4</v>
      </c>
      <c r="S8" s="228">
        <v>45383</v>
      </c>
      <c r="T8" s="229">
        <v>45412</v>
      </c>
      <c r="U8" s="230">
        <f>PR[[#This Row],[تاريخ نهاية المرحله]]+1</f>
        <v>45413</v>
      </c>
      <c r="V8" s="231">
        <f>PR[[#This Row],[تاريخ بداية المرحله.]]+30</f>
        <v>45443</v>
      </c>
      <c r="W8" s="232">
        <f>PR[[#This Row],[تاريخ نهاية المرحله…]]+1</f>
        <v>45444</v>
      </c>
      <c r="X8" s="233">
        <f>PR[[#This Row],[تاريخ بداية المرحله-]]+121</f>
        <v>45565</v>
      </c>
      <c r="Y8" s="230">
        <f>PR[[#This Row],[تاريخ نهاية المرحله.-]]+1</f>
        <v>45566</v>
      </c>
      <c r="Z8" s="231">
        <f>PR[[#This Row],[تاريخ بداية المرحله-.]]+90</f>
        <v>45656</v>
      </c>
      <c r="AA8" s="234">
        <f>PR[[#This Row],[تاريخ نهاية المرحله--]]+1</f>
        <v>45657</v>
      </c>
      <c r="AB8" s="235">
        <f>PR[[#This Row],[تاريخ بداية .المرحله]]+188</f>
        <v>45845</v>
      </c>
      <c r="AC8" s="234">
        <f>PR[[#This Row],[تاريخ. نهاية المرحله]]+1</f>
        <v>45846</v>
      </c>
      <c r="AD8" s="235">
        <f>PR[[#This Row],[.تاريخ بداية المرحله]] + ((PR[[#This Row],[مدة المشروع (شهر)]]*30)-55)</f>
        <v>46871</v>
      </c>
      <c r="AE8" s="278">
        <f>PR[[#This Row],[التكلفة (المحدثه)  شاملة الضريبة]]*0.9</f>
        <v>24300000.134999998</v>
      </c>
      <c r="AF8" s="234">
        <f>PR[[#This Row],[تاريخ. نهاية. المرحله]]+1</f>
        <v>46872</v>
      </c>
      <c r="AG8" s="235">
        <f>PR[[#This Row],[تاريخ بداية.. المرحله..]]+28</f>
        <v>46900</v>
      </c>
      <c r="AH8" s="278">
        <f>PR[[#This Row],[التكلفة (المحدثه)  شاملة الضريبة]]*0.1</f>
        <v>2700000.0150000001</v>
      </c>
      <c r="AI8" s="232">
        <f>PR[[#This Row],[تاريخ ..نهاية المرحله.]]+1</f>
        <v>46901</v>
      </c>
      <c r="AJ8" s="233">
        <f>PR[[#This Row],[.تاريخ بداية المرحله]]+1095</f>
        <v>46941</v>
      </c>
      <c r="AK8" s="8" t="s">
        <v>4</v>
      </c>
      <c r="AL8" s="28" t="s">
        <v>73</v>
      </c>
      <c r="AM8" s="182" t="s">
        <v>74</v>
      </c>
      <c r="AN8" s="9" t="s">
        <v>76</v>
      </c>
      <c r="AO8" s="10"/>
      <c r="AP8" s="9">
        <v>0</v>
      </c>
      <c r="AQ8" s="10"/>
      <c r="AR8" s="25" t="s">
        <v>82</v>
      </c>
      <c r="AS8" s="29" t="s">
        <v>78</v>
      </c>
      <c r="AT8" s="183"/>
      <c r="AU8" s="37"/>
      <c r="AV8" s="38"/>
      <c r="AW8" s="38"/>
      <c r="AX8" s="9">
        <v>0</v>
      </c>
      <c r="AY8" s="9">
        <v>0</v>
      </c>
      <c r="AZ8" s="38"/>
      <c r="BA8" s="9"/>
    </row>
    <row r="9" spans="1:53" s="11" customFormat="1" ht="54.75" customHeight="1">
      <c r="A9" s="53" t="s">
        <v>88</v>
      </c>
      <c r="B9" s="57" t="s">
        <v>89</v>
      </c>
      <c r="C9" s="53" t="s">
        <v>68</v>
      </c>
      <c r="D9" s="53" t="e">
        <v>#N/A</v>
      </c>
      <c r="E9" s="53" t="s">
        <v>81</v>
      </c>
      <c r="F9" s="53" t="s">
        <v>90</v>
      </c>
      <c r="G9" s="53" t="s">
        <v>86</v>
      </c>
      <c r="H9" s="54">
        <v>28749999.999999996</v>
      </c>
      <c r="I9" s="54" t="e">
        <v>#N/A</v>
      </c>
      <c r="J9" s="54">
        <f>PR[[#This Row],[التكلفة (المحدثه)  شاملة الضريبة]]-K9</f>
        <v>0</v>
      </c>
      <c r="K9" s="54">
        <v>28750000</v>
      </c>
      <c r="L9" s="61">
        <v>28749999.999999996</v>
      </c>
      <c r="M9" s="45" t="s">
        <v>72</v>
      </c>
      <c r="N9" s="55" t="s">
        <v>73</v>
      </c>
      <c r="O9" s="68" t="s">
        <v>74</v>
      </c>
      <c r="P9" s="180" t="s">
        <v>87</v>
      </c>
      <c r="Q9" s="290"/>
      <c r="R9" s="190" t="s">
        <v>4</v>
      </c>
      <c r="S9" s="228">
        <v>45383</v>
      </c>
      <c r="T9" s="229">
        <v>45412</v>
      </c>
      <c r="U9" s="230">
        <f>PR[[#This Row],[تاريخ نهاية المرحله]]+1</f>
        <v>45413</v>
      </c>
      <c r="V9" s="231">
        <f>PR[[#This Row],[تاريخ بداية المرحله.]]+30</f>
        <v>45443</v>
      </c>
      <c r="W9" s="232">
        <f>PR[[#This Row],[تاريخ نهاية المرحله…]]+1</f>
        <v>45444</v>
      </c>
      <c r="X9" s="233">
        <f>PR[[#This Row],[تاريخ بداية المرحله-]]+121</f>
        <v>45565</v>
      </c>
      <c r="Y9" s="230">
        <f>PR[[#This Row],[تاريخ نهاية المرحله.-]]+1</f>
        <v>45566</v>
      </c>
      <c r="Z9" s="231">
        <f>PR[[#This Row],[تاريخ بداية المرحله-.]]+90</f>
        <v>45656</v>
      </c>
      <c r="AA9" s="234">
        <f>PR[[#This Row],[تاريخ نهاية المرحله--]]+1</f>
        <v>45657</v>
      </c>
      <c r="AB9" s="235">
        <f>PR[[#This Row],[تاريخ بداية .المرحله]]+188</f>
        <v>45845</v>
      </c>
      <c r="AC9" s="234">
        <f>PR[[#This Row],[تاريخ. نهاية المرحله]]+1</f>
        <v>45846</v>
      </c>
      <c r="AD9" s="235">
        <f>PR[[#This Row],[.تاريخ بداية المرحله]] + ((PR[[#This Row],[مدة المشروع (شهر)]]*30)-55)</f>
        <v>46871</v>
      </c>
      <c r="AE9" s="278">
        <f>PR[[#This Row],[التكلفة (المحدثه)  شاملة الضريبة]]*0.9</f>
        <v>25874999.999999996</v>
      </c>
      <c r="AF9" s="234">
        <f>PR[[#This Row],[تاريخ. نهاية. المرحله]]+1</f>
        <v>46872</v>
      </c>
      <c r="AG9" s="235">
        <f>PR[[#This Row],[تاريخ بداية.. المرحله..]]+28</f>
        <v>46900</v>
      </c>
      <c r="AH9" s="278">
        <f>PR[[#This Row],[التكلفة (المحدثه)  شاملة الضريبة]]*0.1</f>
        <v>2875000</v>
      </c>
      <c r="AI9" s="232">
        <f>PR[[#This Row],[تاريخ ..نهاية المرحله.]]+1</f>
        <v>46901</v>
      </c>
      <c r="AJ9" s="233">
        <f>PR[[#This Row],[.تاريخ بداية المرحله]]+1095</f>
        <v>46941</v>
      </c>
      <c r="AK9" s="8" t="s">
        <v>4</v>
      </c>
      <c r="AL9" s="28" t="s">
        <v>73</v>
      </c>
      <c r="AM9" s="182" t="s">
        <v>74</v>
      </c>
      <c r="AN9" s="9" t="s">
        <v>76</v>
      </c>
      <c r="AO9" s="10"/>
      <c r="AP9" s="9">
        <v>0</v>
      </c>
      <c r="AQ9" s="10"/>
      <c r="AR9" s="25" t="s">
        <v>82</v>
      </c>
      <c r="AS9" s="29" t="s">
        <v>78</v>
      </c>
      <c r="AT9" s="183"/>
      <c r="AU9" s="37"/>
      <c r="AV9" s="38"/>
      <c r="AW9" s="38"/>
      <c r="AX9" s="9">
        <v>0</v>
      </c>
      <c r="AY9" s="9">
        <v>0</v>
      </c>
      <c r="AZ9" s="38"/>
      <c r="BA9" s="9"/>
    </row>
    <row r="10" spans="1:53" s="11" customFormat="1" ht="54.75" customHeight="1">
      <c r="A10" s="53" t="s">
        <v>91</v>
      </c>
      <c r="B10" s="57" t="s">
        <v>92</v>
      </c>
      <c r="C10" s="53" t="s">
        <v>68</v>
      </c>
      <c r="D10" s="53" t="e">
        <v>#N/A</v>
      </c>
      <c r="E10" s="53" t="s">
        <v>81</v>
      </c>
      <c r="F10" s="53" t="s">
        <v>93</v>
      </c>
      <c r="G10" s="53" t="s">
        <v>94</v>
      </c>
      <c r="H10" s="54">
        <v>17706665</v>
      </c>
      <c r="I10" s="54" t="e">
        <v>#N/A</v>
      </c>
      <c r="J10" s="54">
        <f>PR[[#This Row],[التكلفة (المحدثه)  شاملة الضريبة]]-K10</f>
        <v>0</v>
      </c>
      <c r="K10" s="54">
        <v>17706665</v>
      </c>
      <c r="L10" s="61">
        <v>17706665</v>
      </c>
      <c r="M10" s="46" t="e">
        <v>#N/A</v>
      </c>
      <c r="N10" s="55" t="s">
        <v>73</v>
      </c>
      <c r="O10" s="68" t="s">
        <v>74</v>
      </c>
      <c r="P10" s="180" t="s">
        <v>75</v>
      </c>
      <c r="Q10" s="290"/>
      <c r="R10" s="190" t="s">
        <v>4</v>
      </c>
      <c r="S10" s="228">
        <v>45383</v>
      </c>
      <c r="T10" s="229">
        <v>45412</v>
      </c>
      <c r="U10" s="230">
        <f>PR[[#This Row],[تاريخ نهاية المرحله]]+1</f>
        <v>45413</v>
      </c>
      <c r="V10" s="231">
        <f>PR[[#This Row],[تاريخ بداية المرحله.]]+30</f>
        <v>45443</v>
      </c>
      <c r="W10" s="232">
        <f>PR[[#This Row],[تاريخ نهاية المرحله…]]+1</f>
        <v>45444</v>
      </c>
      <c r="X10" s="233">
        <f>PR[[#This Row],[تاريخ بداية المرحله-]]+121</f>
        <v>45565</v>
      </c>
      <c r="Y10" s="230">
        <f>PR[[#This Row],[تاريخ نهاية المرحله.-]]+1</f>
        <v>45566</v>
      </c>
      <c r="Z10" s="231">
        <f>PR[[#This Row],[تاريخ بداية المرحله-.]]+90</f>
        <v>45656</v>
      </c>
      <c r="AA10" s="234">
        <f>PR[[#This Row],[تاريخ نهاية المرحله--]]+1</f>
        <v>45657</v>
      </c>
      <c r="AB10" s="235">
        <f>PR[[#This Row],[تاريخ بداية .المرحله]]+188</f>
        <v>45845</v>
      </c>
      <c r="AC10" s="234">
        <f>PR[[#This Row],[تاريخ. نهاية المرحله]]+1</f>
        <v>45846</v>
      </c>
      <c r="AD10" s="235">
        <f>PR[[#This Row],[.تاريخ بداية المرحله]] + ((PR[[#This Row],[مدة المشروع (شهر)]]*30)-55)</f>
        <v>46511</v>
      </c>
      <c r="AE10" s="278">
        <f>PR[[#This Row],[التكلفة (المحدثه)  شاملة الضريبة]]*0.9</f>
        <v>15935998.5</v>
      </c>
      <c r="AF10" s="234">
        <f>PR[[#This Row],[تاريخ. نهاية. المرحله]]+1</f>
        <v>46512</v>
      </c>
      <c r="AG10" s="235">
        <f>PR[[#This Row],[تاريخ بداية.. المرحله..]]+14</f>
        <v>46526</v>
      </c>
      <c r="AH10" s="278">
        <f>PR[[#This Row],[التكلفة (المحدثه)  شاملة الضريبة]]*0.1</f>
        <v>1770666.5</v>
      </c>
      <c r="AI10" s="232">
        <f>PR[[#This Row],[تاريخ ..نهاية المرحله.]]+1</f>
        <v>46527</v>
      </c>
      <c r="AJ10" s="233">
        <f>PR[[#This Row],[.تاريخ بداية المرحله]]+729</f>
        <v>46575</v>
      </c>
      <c r="AK10" s="8" t="s">
        <v>4</v>
      </c>
      <c r="AL10" s="28" t="s">
        <v>73</v>
      </c>
      <c r="AM10" s="182" t="s">
        <v>74</v>
      </c>
      <c r="AN10" s="9" t="s">
        <v>76</v>
      </c>
      <c r="AO10" s="10"/>
      <c r="AP10" s="9"/>
      <c r="AQ10" s="10"/>
      <c r="AR10" s="16" t="s">
        <v>95</v>
      </c>
      <c r="AS10" s="29" t="s">
        <v>78</v>
      </c>
      <c r="AT10" s="183"/>
      <c r="AU10" s="37"/>
      <c r="AV10" s="38"/>
      <c r="AW10" s="38"/>
      <c r="AX10" s="9">
        <v>0</v>
      </c>
      <c r="AY10" s="9">
        <v>0</v>
      </c>
      <c r="AZ10" s="38"/>
      <c r="BA10" s="9"/>
    </row>
    <row r="11" spans="1:53" s="11" customFormat="1" ht="56.25" customHeight="1">
      <c r="A11" s="53" t="s">
        <v>96</v>
      </c>
      <c r="B11" s="57" t="s">
        <v>97</v>
      </c>
      <c r="C11" s="53" t="s">
        <v>68</v>
      </c>
      <c r="D11" s="53" t="e">
        <v>#N/A</v>
      </c>
      <c r="E11" s="53" t="s">
        <v>81</v>
      </c>
      <c r="F11" s="53" t="s">
        <v>98</v>
      </c>
      <c r="G11" s="53" t="s">
        <v>86</v>
      </c>
      <c r="H11" s="54">
        <v>80500000</v>
      </c>
      <c r="I11" s="54" t="e">
        <v>#N/A</v>
      </c>
      <c r="J11" s="54">
        <f>PR[[#This Row],[التكلفة (المحدثه)  شاملة الضريبة]]-K11</f>
        <v>0</v>
      </c>
      <c r="K11" s="54">
        <v>80500000</v>
      </c>
      <c r="L11" s="61">
        <v>80500000</v>
      </c>
      <c r="M11" s="46" t="e">
        <v>#N/A</v>
      </c>
      <c r="N11" s="55" t="s">
        <v>73</v>
      </c>
      <c r="O11" s="68" t="s">
        <v>74</v>
      </c>
      <c r="P11" s="180" t="s">
        <v>87</v>
      </c>
      <c r="Q11" s="290"/>
      <c r="R11" s="190" t="s">
        <v>4</v>
      </c>
      <c r="S11" s="228">
        <v>45383</v>
      </c>
      <c r="T11" s="229">
        <v>45412</v>
      </c>
      <c r="U11" s="230">
        <f>PR[[#This Row],[تاريخ نهاية المرحله]]+1</f>
        <v>45413</v>
      </c>
      <c r="V11" s="231">
        <f>PR[[#This Row],[تاريخ بداية المرحله.]]+30</f>
        <v>45443</v>
      </c>
      <c r="W11" s="232">
        <f>PR[[#This Row],[تاريخ نهاية المرحله…]]+1</f>
        <v>45444</v>
      </c>
      <c r="X11" s="233">
        <f>PR[[#This Row],[تاريخ بداية المرحله-]]+121</f>
        <v>45565</v>
      </c>
      <c r="Y11" s="230">
        <f>PR[[#This Row],[تاريخ نهاية المرحله.-]]+1</f>
        <v>45566</v>
      </c>
      <c r="Z11" s="231">
        <f>PR[[#This Row],[تاريخ بداية المرحله-.]]+90</f>
        <v>45656</v>
      </c>
      <c r="AA11" s="234">
        <f>PR[[#This Row],[تاريخ نهاية المرحله--]]+1</f>
        <v>45657</v>
      </c>
      <c r="AB11" s="235">
        <f>PR[[#This Row],[تاريخ بداية .المرحله]]+188</f>
        <v>45845</v>
      </c>
      <c r="AC11" s="234">
        <f>PR[[#This Row],[تاريخ. نهاية المرحله]]+1</f>
        <v>45846</v>
      </c>
      <c r="AD11" s="235">
        <f>PR[[#This Row],[.تاريخ بداية المرحله]] + ((PR[[#This Row],[مدة المشروع (شهر)]]*30)-55)</f>
        <v>46871</v>
      </c>
      <c r="AE11" s="278">
        <f>PR[[#This Row],[التكلفة (المحدثه)  شاملة الضريبة]]*0.9</f>
        <v>72450000</v>
      </c>
      <c r="AF11" s="234">
        <f>PR[[#This Row],[تاريخ. نهاية. المرحله]]+1</f>
        <v>46872</v>
      </c>
      <c r="AG11" s="235">
        <f>PR[[#This Row],[تاريخ بداية.. المرحله..]]+28</f>
        <v>46900</v>
      </c>
      <c r="AH11" s="278">
        <f>PR[[#This Row],[التكلفة (المحدثه)  شاملة الضريبة]]*0.1</f>
        <v>8050000</v>
      </c>
      <c r="AI11" s="232">
        <f>PR[[#This Row],[تاريخ ..نهاية المرحله.]]+1</f>
        <v>46901</v>
      </c>
      <c r="AJ11" s="233">
        <f>PR[[#This Row],[.تاريخ بداية المرحله]]+1095</f>
        <v>46941</v>
      </c>
      <c r="AK11" s="8" t="s">
        <v>4</v>
      </c>
      <c r="AL11" s="28" t="s">
        <v>73</v>
      </c>
      <c r="AM11" s="182" t="s">
        <v>74</v>
      </c>
      <c r="AN11" s="9" t="s">
        <v>76</v>
      </c>
      <c r="AO11" s="10"/>
      <c r="AP11" s="9"/>
      <c r="AQ11" s="10"/>
      <c r="AR11" s="22" t="s">
        <v>99</v>
      </c>
      <c r="AS11" s="29" t="s">
        <v>78</v>
      </c>
      <c r="AT11" s="28"/>
      <c r="AU11" s="37"/>
      <c r="AV11" s="38"/>
      <c r="AW11" s="38"/>
      <c r="AX11" s="9">
        <v>0</v>
      </c>
      <c r="AY11" s="9">
        <v>0</v>
      </c>
      <c r="AZ11" s="38"/>
      <c r="BA11" s="9"/>
    </row>
    <row r="12" spans="1:53" s="11" customFormat="1" ht="54.75" customHeight="1">
      <c r="A12" s="53" t="s">
        <v>100</v>
      </c>
      <c r="B12" s="57" t="s">
        <v>101</v>
      </c>
      <c r="C12" s="53" t="s">
        <v>68</v>
      </c>
      <c r="D12" s="53" t="e">
        <v>#N/A</v>
      </c>
      <c r="E12" s="53" t="s">
        <v>81</v>
      </c>
      <c r="F12" s="53" t="s">
        <v>81</v>
      </c>
      <c r="G12" s="53" t="s">
        <v>94</v>
      </c>
      <c r="H12" s="54">
        <v>92000000</v>
      </c>
      <c r="I12" s="54" t="e">
        <v>#N/A</v>
      </c>
      <c r="J12" s="54">
        <f>PR[[#This Row],[التكلفة (المحدثه)  شاملة الضريبة]]-K12</f>
        <v>0</v>
      </c>
      <c r="K12" s="54">
        <v>92000000</v>
      </c>
      <c r="L12" s="61">
        <v>92000000</v>
      </c>
      <c r="M12" s="46" t="e">
        <v>#N/A</v>
      </c>
      <c r="N12" s="55" t="s">
        <v>73</v>
      </c>
      <c r="O12" s="68" t="s">
        <v>74</v>
      </c>
      <c r="P12" s="180" t="s">
        <v>87</v>
      </c>
      <c r="Q12" s="290"/>
      <c r="R12" s="190" t="s">
        <v>4</v>
      </c>
      <c r="S12" s="228">
        <v>45383</v>
      </c>
      <c r="T12" s="229">
        <v>45412</v>
      </c>
      <c r="U12" s="230">
        <f>PR[[#This Row],[تاريخ نهاية المرحله]]+1</f>
        <v>45413</v>
      </c>
      <c r="V12" s="231">
        <f>PR[[#This Row],[تاريخ بداية المرحله.]]+30</f>
        <v>45443</v>
      </c>
      <c r="W12" s="232">
        <f>PR[[#This Row],[تاريخ نهاية المرحله…]]+1</f>
        <v>45444</v>
      </c>
      <c r="X12" s="233">
        <f>PR[[#This Row],[تاريخ بداية المرحله-]]+121</f>
        <v>45565</v>
      </c>
      <c r="Y12" s="230">
        <f>PR[[#This Row],[تاريخ نهاية المرحله.-]]+1</f>
        <v>45566</v>
      </c>
      <c r="Z12" s="231">
        <f>PR[[#This Row],[تاريخ بداية المرحله-.]]+90</f>
        <v>45656</v>
      </c>
      <c r="AA12" s="234">
        <f>PR[[#This Row],[تاريخ نهاية المرحله--]]+1</f>
        <v>45657</v>
      </c>
      <c r="AB12" s="235">
        <f>PR[[#This Row],[تاريخ بداية .المرحله]]+188</f>
        <v>45845</v>
      </c>
      <c r="AC12" s="234">
        <f>PR[[#This Row],[تاريخ. نهاية المرحله]]+1</f>
        <v>45846</v>
      </c>
      <c r="AD12" s="235">
        <f>PR[[#This Row],[.تاريخ بداية المرحله]] + ((PR[[#This Row],[مدة المشروع (شهر)]]*30)-55)</f>
        <v>46871</v>
      </c>
      <c r="AE12" s="278">
        <f>PR[[#This Row],[التكلفة (المحدثه)  شاملة الضريبة]]*0.9</f>
        <v>82800000</v>
      </c>
      <c r="AF12" s="234">
        <f>PR[[#This Row],[تاريخ. نهاية. المرحله]]+1</f>
        <v>46872</v>
      </c>
      <c r="AG12" s="235">
        <f>PR[[#This Row],[تاريخ بداية.. المرحله..]]+28</f>
        <v>46900</v>
      </c>
      <c r="AH12" s="278">
        <f>PR[[#This Row],[التكلفة (المحدثه)  شاملة الضريبة]]*0.1</f>
        <v>9200000</v>
      </c>
      <c r="AI12" s="232">
        <f>PR[[#This Row],[تاريخ ..نهاية المرحله.]]+1</f>
        <v>46901</v>
      </c>
      <c r="AJ12" s="233">
        <f>PR[[#This Row],[.تاريخ بداية المرحله]]+1095</f>
        <v>46941</v>
      </c>
      <c r="AK12" s="8" t="s">
        <v>4</v>
      </c>
      <c r="AL12" s="28" t="s">
        <v>73</v>
      </c>
      <c r="AM12" s="182" t="s">
        <v>74</v>
      </c>
      <c r="AN12" s="9" t="s">
        <v>76</v>
      </c>
      <c r="AO12" s="10"/>
      <c r="AP12" s="9"/>
      <c r="AQ12" s="10"/>
      <c r="AR12" s="22" t="s">
        <v>102</v>
      </c>
      <c r="AS12" s="29" t="s">
        <v>78</v>
      </c>
      <c r="AT12" s="29"/>
      <c r="AU12" s="37"/>
      <c r="AV12" s="38"/>
      <c r="AW12" s="38"/>
      <c r="AX12" s="9">
        <v>0</v>
      </c>
      <c r="AY12" s="9">
        <v>0</v>
      </c>
      <c r="AZ12" s="38"/>
      <c r="BA12" s="9"/>
    </row>
    <row r="13" spans="1:53" s="11" customFormat="1" ht="54.75" customHeight="1">
      <c r="A13" s="53" t="s">
        <v>103</v>
      </c>
      <c r="B13" s="57" t="s">
        <v>104</v>
      </c>
      <c r="C13" s="53" t="s">
        <v>68</v>
      </c>
      <c r="D13" s="53" t="e">
        <v>#N/A</v>
      </c>
      <c r="E13" s="53" t="s">
        <v>81</v>
      </c>
      <c r="F13" s="53" t="s">
        <v>81</v>
      </c>
      <c r="G13" s="53" t="s">
        <v>86</v>
      </c>
      <c r="H13" s="54">
        <v>51749999.999999993</v>
      </c>
      <c r="I13" s="54" t="e">
        <v>#N/A</v>
      </c>
      <c r="J13" s="54">
        <f>PR[[#This Row],[التكلفة (المحدثه)  شاملة الضريبة]]-K13</f>
        <v>0</v>
      </c>
      <c r="K13" s="54">
        <v>51750000</v>
      </c>
      <c r="L13" s="61">
        <v>51749999.999999993</v>
      </c>
      <c r="M13" s="46" t="e">
        <v>#N/A</v>
      </c>
      <c r="N13" s="55" t="s">
        <v>73</v>
      </c>
      <c r="O13" s="68" t="s">
        <v>74</v>
      </c>
      <c r="P13" s="180" t="s">
        <v>75</v>
      </c>
      <c r="Q13" s="290"/>
      <c r="R13" s="190" t="s">
        <v>4</v>
      </c>
      <c r="S13" s="228">
        <v>45383</v>
      </c>
      <c r="T13" s="229">
        <v>45412</v>
      </c>
      <c r="U13" s="230">
        <f>PR[[#This Row],[تاريخ نهاية المرحله]]+1</f>
        <v>45413</v>
      </c>
      <c r="V13" s="231">
        <f>PR[[#This Row],[تاريخ بداية المرحله.]]+30</f>
        <v>45443</v>
      </c>
      <c r="W13" s="232">
        <f>PR[[#This Row],[تاريخ نهاية المرحله…]]+1</f>
        <v>45444</v>
      </c>
      <c r="X13" s="233">
        <f>PR[[#This Row],[تاريخ بداية المرحله-]]+121</f>
        <v>45565</v>
      </c>
      <c r="Y13" s="230">
        <f>PR[[#This Row],[تاريخ نهاية المرحله.-]]+1</f>
        <v>45566</v>
      </c>
      <c r="Z13" s="231">
        <f>PR[[#This Row],[تاريخ بداية المرحله-.]]+90</f>
        <v>45656</v>
      </c>
      <c r="AA13" s="234">
        <f>PR[[#This Row],[تاريخ نهاية المرحله--]]+1</f>
        <v>45657</v>
      </c>
      <c r="AB13" s="235">
        <f>PR[[#This Row],[تاريخ بداية .المرحله]]+188</f>
        <v>45845</v>
      </c>
      <c r="AC13" s="234">
        <f>PR[[#This Row],[تاريخ. نهاية المرحله]]+1</f>
        <v>45846</v>
      </c>
      <c r="AD13" s="235">
        <f>PR[[#This Row],[.تاريخ بداية المرحله]] + ((PR[[#This Row],[مدة المشروع (شهر)]]*30)-55)</f>
        <v>46511</v>
      </c>
      <c r="AE13" s="278">
        <f>PR[[#This Row],[التكلفة (المحدثه)  شاملة الضريبة]]*0.9</f>
        <v>46574999.999999993</v>
      </c>
      <c r="AF13" s="234">
        <f>PR[[#This Row],[تاريخ. نهاية. المرحله]]+1</f>
        <v>46512</v>
      </c>
      <c r="AG13" s="235">
        <f>PR[[#This Row],[تاريخ بداية.. المرحله..]]+28</f>
        <v>46540</v>
      </c>
      <c r="AH13" s="278">
        <f>PR[[#This Row],[التكلفة (المحدثه)  شاملة الضريبة]]*0.1</f>
        <v>5175000</v>
      </c>
      <c r="AI13" s="232">
        <f>PR[[#This Row],[تاريخ ..نهاية المرحله.]]+1</f>
        <v>46541</v>
      </c>
      <c r="AJ13" s="233">
        <f>PR[[#This Row],[.تاريخ بداية المرحله]]+729</f>
        <v>46575</v>
      </c>
      <c r="AK13" s="8" t="s">
        <v>4</v>
      </c>
      <c r="AL13" s="28" t="s">
        <v>73</v>
      </c>
      <c r="AM13" s="182" t="s">
        <v>74</v>
      </c>
      <c r="AN13" s="9" t="s">
        <v>76</v>
      </c>
      <c r="AO13" s="10"/>
      <c r="AP13" s="9"/>
      <c r="AQ13" s="10"/>
      <c r="AR13" s="22" t="s">
        <v>99</v>
      </c>
      <c r="AS13" s="29" t="s">
        <v>78</v>
      </c>
      <c r="AT13" s="29"/>
      <c r="AU13" s="37"/>
      <c r="AV13" s="38"/>
      <c r="AW13" s="38"/>
      <c r="AX13" s="9">
        <v>0</v>
      </c>
      <c r="AY13" s="9">
        <v>0</v>
      </c>
      <c r="AZ13" s="38"/>
      <c r="BA13" s="9"/>
    </row>
    <row r="14" spans="1:53" s="11" customFormat="1" ht="54.75" customHeight="1">
      <c r="A14" s="53" t="s">
        <v>105</v>
      </c>
      <c r="B14" s="57" t="s">
        <v>106</v>
      </c>
      <c r="C14" s="53" t="s">
        <v>68</v>
      </c>
      <c r="D14" s="53" t="e">
        <v>#N/A</v>
      </c>
      <c r="E14" s="53" t="s">
        <v>81</v>
      </c>
      <c r="F14" s="53" t="s">
        <v>107</v>
      </c>
      <c r="G14" s="53" t="s">
        <v>86</v>
      </c>
      <c r="H14" s="54">
        <v>103499999.99999999</v>
      </c>
      <c r="I14" s="54" t="e">
        <v>#N/A</v>
      </c>
      <c r="J14" s="54">
        <f>PR[[#This Row],[التكلفة (المحدثه)  شاملة الضريبة]]-K14</f>
        <v>0</v>
      </c>
      <c r="K14" s="54">
        <v>103500000</v>
      </c>
      <c r="L14" s="61">
        <v>103499999.99999999</v>
      </c>
      <c r="M14" s="46" t="e">
        <v>#N/A</v>
      </c>
      <c r="N14" s="55" t="s">
        <v>73</v>
      </c>
      <c r="O14" s="68" t="s">
        <v>74</v>
      </c>
      <c r="P14" s="180" t="s">
        <v>87</v>
      </c>
      <c r="Q14" s="290"/>
      <c r="R14" s="190" t="s">
        <v>4</v>
      </c>
      <c r="S14" s="228">
        <v>45383</v>
      </c>
      <c r="T14" s="229">
        <v>45412</v>
      </c>
      <c r="U14" s="230">
        <f>PR[[#This Row],[تاريخ نهاية المرحله]]+1</f>
        <v>45413</v>
      </c>
      <c r="V14" s="231">
        <f>PR[[#This Row],[تاريخ بداية المرحله.]]+30</f>
        <v>45443</v>
      </c>
      <c r="W14" s="232">
        <f>PR[[#This Row],[تاريخ نهاية المرحله…]]+1</f>
        <v>45444</v>
      </c>
      <c r="X14" s="233">
        <f>PR[[#This Row],[تاريخ بداية المرحله-]]+121</f>
        <v>45565</v>
      </c>
      <c r="Y14" s="230">
        <f>PR[[#This Row],[تاريخ نهاية المرحله.-]]+1</f>
        <v>45566</v>
      </c>
      <c r="Z14" s="231">
        <f>PR[[#This Row],[تاريخ بداية المرحله-.]]+90</f>
        <v>45656</v>
      </c>
      <c r="AA14" s="234">
        <f>PR[[#This Row],[تاريخ نهاية المرحله--]]+1</f>
        <v>45657</v>
      </c>
      <c r="AB14" s="235">
        <f>PR[[#This Row],[تاريخ بداية .المرحله]]+188</f>
        <v>45845</v>
      </c>
      <c r="AC14" s="234">
        <f>PR[[#This Row],[تاريخ. نهاية المرحله]]+1</f>
        <v>45846</v>
      </c>
      <c r="AD14" s="235">
        <f>PR[[#This Row],[.تاريخ بداية المرحله]] + ((PR[[#This Row],[مدة المشروع (شهر)]]*30)-55)</f>
        <v>46871</v>
      </c>
      <c r="AE14" s="278">
        <f>PR[[#This Row],[التكلفة (المحدثه)  شاملة الضريبة]]*0.9</f>
        <v>93149999.999999985</v>
      </c>
      <c r="AF14" s="234">
        <f>PR[[#This Row],[تاريخ. نهاية. المرحله]]+1</f>
        <v>46872</v>
      </c>
      <c r="AG14" s="235">
        <f>PR[[#This Row],[تاريخ بداية.. المرحله..]]+28</f>
        <v>46900</v>
      </c>
      <c r="AH14" s="278">
        <f>PR[[#This Row],[التكلفة (المحدثه)  شاملة الضريبة]]*0.1</f>
        <v>10350000</v>
      </c>
      <c r="AI14" s="232">
        <f>PR[[#This Row],[تاريخ ..نهاية المرحله.]]+1</f>
        <v>46901</v>
      </c>
      <c r="AJ14" s="233">
        <f>PR[[#This Row],[.تاريخ بداية المرحله]]+1095</f>
        <v>46941</v>
      </c>
      <c r="AK14" s="8" t="s">
        <v>4</v>
      </c>
      <c r="AL14" s="28" t="s">
        <v>73</v>
      </c>
      <c r="AM14" s="182" t="s">
        <v>74</v>
      </c>
      <c r="AN14" s="9" t="s">
        <v>76</v>
      </c>
      <c r="AO14" s="10"/>
      <c r="AP14" s="9"/>
      <c r="AQ14" s="10"/>
      <c r="AR14" s="22" t="s">
        <v>99</v>
      </c>
      <c r="AS14" s="29" t="s">
        <v>78</v>
      </c>
      <c r="AT14" s="29"/>
      <c r="AU14" s="37"/>
      <c r="AV14" s="38"/>
      <c r="AW14" s="38"/>
      <c r="AX14" s="9">
        <v>0</v>
      </c>
      <c r="AY14" s="9">
        <v>0</v>
      </c>
      <c r="AZ14" s="38"/>
      <c r="BA14" s="9"/>
    </row>
    <row r="15" spans="1:53" s="11" customFormat="1" ht="54.75" customHeight="1">
      <c r="A15" s="53" t="s">
        <v>108</v>
      </c>
      <c r="B15" s="57" t="s">
        <v>109</v>
      </c>
      <c r="C15" s="53" t="s">
        <v>68</v>
      </c>
      <c r="D15" s="53" t="e">
        <v>#N/A</v>
      </c>
      <c r="E15" s="53" t="s">
        <v>81</v>
      </c>
      <c r="F15" s="53" t="s">
        <v>110</v>
      </c>
      <c r="G15" s="53" t="s">
        <v>86</v>
      </c>
      <c r="H15" s="54">
        <v>8049999.9999999991</v>
      </c>
      <c r="I15" s="54" t="e">
        <v>#N/A</v>
      </c>
      <c r="J15" s="54">
        <f>PR[[#This Row],[التكلفة (المحدثه)  شاملة الضريبة]]-K15</f>
        <v>0</v>
      </c>
      <c r="K15" s="54">
        <v>8050000</v>
      </c>
      <c r="L15" s="61">
        <v>8049999.9999999991</v>
      </c>
      <c r="M15" s="46" t="e">
        <v>#N/A</v>
      </c>
      <c r="N15" s="55" t="s">
        <v>73</v>
      </c>
      <c r="O15" s="68" t="s">
        <v>74</v>
      </c>
      <c r="P15" s="180" t="s">
        <v>111</v>
      </c>
      <c r="Q15" s="290"/>
      <c r="R15" s="190" t="s">
        <v>4</v>
      </c>
      <c r="S15" s="228">
        <v>45383</v>
      </c>
      <c r="T15" s="229">
        <v>45412</v>
      </c>
      <c r="U15" s="230">
        <f>PR[[#This Row],[تاريخ نهاية المرحله]]+1</f>
        <v>45413</v>
      </c>
      <c r="V15" s="231">
        <f>PR[[#This Row],[تاريخ بداية المرحله.]]+30</f>
        <v>45443</v>
      </c>
      <c r="W15" s="232">
        <f>PR[[#This Row],[تاريخ نهاية المرحله…]]+1</f>
        <v>45444</v>
      </c>
      <c r="X15" s="233">
        <f>PR[[#This Row],[تاريخ بداية المرحله-]]+121</f>
        <v>45565</v>
      </c>
      <c r="Y15" s="230">
        <f>PR[[#This Row],[تاريخ نهاية المرحله.-]]+1</f>
        <v>45566</v>
      </c>
      <c r="Z15" s="231">
        <f>PR[[#This Row],[تاريخ بداية المرحله-.]]+90</f>
        <v>45656</v>
      </c>
      <c r="AA15" s="234">
        <f>PR[[#This Row],[تاريخ نهاية المرحله--]]+1</f>
        <v>45657</v>
      </c>
      <c r="AB15" s="235">
        <f>PR[[#This Row],[تاريخ بداية .المرحله]]+188</f>
        <v>45845</v>
      </c>
      <c r="AC15" s="234">
        <f>PR[[#This Row],[تاريخ. نهاية المرحله]]+1</f>
        <v>45846</v>
      </c>
      <c r="AD15" s="235">
        <f>PR[[#This Row],[.تاريخ بداية المرحله]] + ((PR[[#This Row],[مدة المشروع (شهر)]]*30)-28)</f>
        <v>46178</v>
      </c>
      <c r="AE15" s="278">
        <f>PR[[#This Row],[التكلفة (المحدثه)  شاملة الضريبة]]*0.9</f>
        <v>7244999.9999999991</v>
      </c>
      <c r="AF15" s="234">
        <f>PR[[#This Row],[تاريخ. نهاية. المرحله]]+1</f>
        <v>46179</v>
      </c>
      <c r="AG15" s="235">
        <f>PR[[#This Row],[تاريخ بداية.. المرحله..]]+14</f>
        <v>46193</v>
      </c>
      <c r="AH15" s="278">
        <f>PR[[#This Row],[التكلفة (المحدثه)  شاملة الضريبة]]*0.1</f>
        <v>805000</v>
      </c>
      <c r="AI15" s="232">
        <f>PR[[#This Row],[تاريخ ..نهاية المرحله.]]+1</f>
        <v>46194</v>
      </c>
      <c r="AJ15" s="233">
        <f>PR[[#This Row],[.تاريخ بداية المرحله]]+364</f>
        <v>46210</v>
      </c>
      <c r="AK15" s="8" t="s">
        <v>4</v>
      </c>
      <c r="AL15" s="28" t="s">
        <v>73</v>
      </c>
      <c r="AM15" s="182" t="s">
        <v>74</v>
      </c>
      <c r="AN15" s="9" t="s">
        <v>76</v>
      </c>
      <c r="AO15" s="10"/>
      <c r="AP15" s="9"/>
      <c r="AQ15" s="10"/>
      <c r="AR15" s="184" t="s">
        <v>99</v>
      </c>
      <c r="AS15" s="29" t="s">
        <v>78</v>
      </c>
      <c r="AT15" s="29"/>
      <c r="AU15" s="37"/>
      <c r="AV15" s="38"/>
      <c r="AW15" s="38"/>
      <c r="AX15" s="9">
        <v>0</v>
      </c>
      <c r="AY15" s="9">
        <v>0</v>
      </c>
      <c r="AZ15" s="38"/>
      <c r="BA15" s="9"/>
    </row>
    <row r="16" spans="1:53" s="11" customFormat="1" ht="71.25" customHeight="1">
      <c r="A16" s="53" t="s">
        <v>112</v>
      </c>
      <c r="B16" s="57" t="s">
        <v>113</v>
      </c>
      <c r="C16" s="53" t="s">
        <v>68</v>
      </c>
      <c r="D16" s="53" t="e">
        <v>#N/A</v>
      </c>
      <c r="E16" s="53" t="s">
        <v>81</v>
      </c>
      <c r="F16" s="53" t="s">
        <v>114</v>
      </c>
      <c r="G16" s="53" t="s">
        <v>86</v>
      </c>
      <c r="H16" s="54">
        <v>41400000</v>
      </c>
      <c r="I16" s="54" t="e">
        <v>#N/A</v>
      </c>
      <c r="J16" s="54">
        <f>PR[[#This Row],[التكلفة (المحدثه)  شاملة الضريبة]]-K16</f>
        <v>0</v>
      </c>
      <c r="K16" s="54">
        <v>41400000</v>
      </c>
      <c r="L16" s="61">
        <v>41400000</v>
      </c>
      <c r="M16" s="46" t="e">
        <v>#N/A</v>
      </c>
      <c r="N16" s="55" t="s">
        <v>73</v>
      </c>
      <c r="O16" s="68" t="s">
        <v>74</v>
      </c>
      <c r="P16" s="180" t="s">
        <v>87</v>
      </c>
      <c r="Q16" s="290"/>
      <c r="R16" s="190" t="s">
        <v>4</v>
      </c>
      <c r="S16" s="228">
        <v>45383</v>
      </c>
      <c r="T16" s="229">
        <v>45412</v>
      </c>
      <c r="U16" s="230">
        <f>PR[[#This Row],[تاريخ نهاية المرحله]]+1</f>
        <v>45413</v>
      </c>
      <c r="V16" s="231">
        <f>PR[[#This Row],[تاريخ بداية المرحله.]]+30</f>
        <v>45443</v>
      </c>
      <c r="W16" s="232">
        <f>PR[[#This Row],[تاريخ نهاية المرحله…]]+1</f>
        <v>45444</v>
      </c>
      <c r="X16" s="233">
        <f>PR[[#This Row],[تاريخ بداية المرحله-]]+121</f>
        <v>45565</v>
      </c>
      <c r="Y16" s="230">
        <f>PR[[#This Row],[تاريخ نهاية المرحله.-]]+1</f>
        <v>45566</v>
      </c>
      <c r="Z16" s="231">
        <f>PR[[#This Row],[تاريخ بداية المرحله-.]]+90</f>
        <v>45656</v>
      </c>
      <c r="AA16" s="234">
        <f>PR[[#This Row],[تاريخ نهاية المرحله--]]+1</f>
        <v>45657</v>
      </c>
      <c r="AB16" s="235">
        <f>PR[[#This Row],[تاريخ بداية .المرحله]]+188</f>
        <v>45845</v>
      </c>
      <c r="AC16" s="234">
        <f>PR[[#This Row],[تاريخ. نهاية المرحله]]+1</f>
        <v>45846</v>
      </c>
      <c r="AD16" s="235">
        <f>PR[[#This Row],[.تاريخ بداية المرحله]] + ((PR[[#This Row],[مدة المشروع (شهر)]]*30)-55)</f>
        <v>46871</v>
      </c>
      <c r="AE16" s="278">
        <f>PR[[#This Row],[التكلفة (المحدثه)  شاملة الضريبة]]*0.9</f>
        <v>37260000</v>
      </c>
      <c r="AF16" s="234">
        <f>PR[[#This Row],[تاريخ. نهاية. المرحله]]+1</f>
        <v>46872</v>
      </c>
      <c r="AG16" s="235">
        <f>PR[[#This Row],[تاريخ بداية.. المرحله..]]+28</f>
        <v>46900</v>
      </c>
      <c r="AH16" s="278">
        <f>PR[[#This Row],[التكلفة (المحدثه)  شاملة الضريبة]]*0.1</f>
        <v>4140000</v>
      </c>
      <c r="AI16" s="232">
        <f>PR[[#This Row],[تاريخ ..نهاية المرحله.]]+1</f>
        <v>46901</v>
      </c>
      <c r="AJ16" s="233">
        <f>PR[[#This Row],[.تاريخ بداية المرحله]]+1095</f>
        <v>46941</v>
      </c>
      <c r="AK16" s="8" t="s">
        <v>4</v>
      </c>
      <c r="AL16" s="28" t="s">
        <v>73</v>
      </c>
      <c r="AM16" s="182" t="s">
        <v>74</v>
      </c>
      <c r="AN16" s="9" t="s">
        <v>76</v>
      </c>
      <c r="AO16" s="10"/>
      <c r="AP16" s="9"/>
      <c r="AQ16" s="10"/>
      <c r="AR16" s="16" t="s">
        <v>115</v>
      </c>
      <c r="AS16" s="29" t="s">
        <v>78</v>
      </c>
      <c r="AT16" s="29"/>
      <c r="AU16" s="37"/>
      <c r="AV16" s="38"/>
      <c r="AW16" s="38"/>
      <c r="AX16" s="9">
        <v>0</v>
      </c>
      <c r="AY16" s="9">
        <v>0</v>
      </c>
      <c r="AZ16" s="38"/>
      <c r="BA16" s="9"/>
    </row>
    <row r="17" spans="1:53" s="11" customFormat="1" ht="54.75" customHeight="1">
      <c r="A17" s="53" t="s">
        <v>116</v>
      </c>
      <c r="B17" s="57" t="s">
        <v>117</v>
      </c>
      <c r="C17" s="53" t="s">
        <v>68</v>
      </c>
      <c r="D17" s="53" t="e">
        <v>#N/A</v>
      </c>
      <c r="E17" s="53" t="s">
        <v>81</v>
      </c>
      <c r="F17" s="53" t="s">
        <v>81</v>
      </c>
      <c r="G17" s="53" t="s">
        <v>71</v>
      </c>
      <c r="H17" s="54">
        <v>12649999.999999998</v>
      </c>
      <c r="I17" s="54" t="e">
        <v>#N/A</v>
      </c>
      <c r="J17" s="54">
        <f>PR[[#This Row],[التكلفة (المحدثه)  شاملة الضريبة]]-K17</f>
        <v>0</v>
      </c>
      <c r="K17" s="54">
        <v>12650000</v>
      </c>
      <c r="L17" s="61">
        <v>12649999.999999998</v>
      </c>
      <c r="M17" s="46" t="e">
        <v>#N/A</v>
      </c>
      <c r="N17" s="55" t="s">
        <v>73</v>
      </c>
      <c r="O17" s="68" t="s">
        <v>74</v>
      </c>
      <c r="P17" s="180" t="s">
        <v>118</v>
      </c>
      <c r="Q17" s="290"/>
      <c r="R17" s="190" t="s">
        <v>4</v>
      </c>
      <c r="S17" s="228">
        <v>45383</v>
      </c>
      <c r="T17" s="229">
        <v>45412</v>
      </c>
      <c r="U17" s="230">
        <f>PR[[#This Row],[تاريخ نهاية المرحله]]+1</f>
        <v>45413</v>
      </c>
      <c r="V17" s="231">
        <f>PR[[#This Row],[تاريخ بداية المرحله.]]+30</f>
        <v>45443</v>
      </c>
      <c r="W17" s="232">
        <f>PR[[#This Row],[تاريخ نهاية المرحله…]]+1</f>
        <v>45444</v>
      </c>
      <c r="X17" s="233">
        <f>PR[[#This Row],[تاريخ بداية المرحله-]]+121</f>
        <v>45565</v>
      </c>
      <c r="Y17" s="230">
        <f>PR[[#This Row],[تاريخ نهاية المرحله.-]]+1</f>
        <v>45566</v>
      </c>
      <c r="Z17" s="231">
        <f>PR[[#This Row],[تاريخ بداية المرحله-.]]+90</f>
        <v>45656</v>
      </c>
      <c r="AA17" s="234">
        <f>PR[[#This Row],[تاريخ نهاية المرحله--]]+1</f>
        <v>45657</v>
      </c>
      <c r="AB17" s="235">
        <f>PR[[#This Row],[تاريخ بداية .المرحله]]+188</f>
        <v>45845</v>
      </c>
      <c r="AC17" s="234">
        <f>PR[[#This Row],[تاريخ. نهاية المرحله]]+1</f>
        <v>45846</v>
      </c>
      <c r="AD17" s="235">
        <f>PR[[#This Row],[.تاريخ بداية المرحله]] + ((PR[[#This Row],[مدة المشروع (شهر)]]*30)-55)</f>
        <v>46331</v>
      </c>
      <c r="AE17" s="278">
        <f>PR[[#This Row],[التكلفة (المحدثه)  شاملة الضريبة]]*0.9</f>
        <v>11384999.999999998</v>
      </c>
      <c r="AF17" s="234">
        <f>PR[[#This Row],[تاريخ. نهاية. المرحله]]+1</f>
        <v>46332</v>
      </c>
      <c r="AG17" s="235">
        <f>PR[[#This Row],[تاريخ بداية.. المرحله..]]+28</f>
        <v>46360</v>
      </c>
      <c r="AH17" s="278">
        <f>PR[[#This Row],[التكلفة (المحدثه)  شاملة الضريبة]]*0.1</f>
        <v>1265000</v>
      </c>
      <c r="AI17" s="232">
        <f>PR[[#This Row],[تاريخ ..نهاية المرحله.]]+1</f>
        <v>46361</v>
      </c>
      <c r="AJ17" s="233">
        <f>PR[[#This Row],[.تاريخ بداية المرحله]]+548</f>
        <v>46394</v>
      </c>
      <c r="AK17" s="8" t="s">
        <v>4</v>
      </c>
      <c r="AL17" s="28" t="s">
        <v>73</v>
      </c>
      <c r="AM17" s="182" t="s">
        <v>74</v>
      </c>
      <c r="AN17" s="9" t="s">
        <v>76</v>
      </c>
      <c r="AO17" s="10"/>
      <c r="AP17" s="9"/>
      <c r="AQ17" s="10"/>
      <c r="AR17" s="22" t="s">
        <v>119</v>
      </c>
      <c r="AS17" s="29" t="s">
        <v>78</v>
      </c>
      <c r="AT17" s="29"/>
      <c r="AU17" s="37"/>
      <c r="AV17" s="38"/>
      <c r="AW17" s="38"/>
      <c r="AX17" s="9">
        <v>0</v>
      </c>
      <c r="AY17" s="9">
        <v>0</v>
      </c>
      <c r="AZ17" s="38"/>
      <c r="BA17" s="9"/>
    </row>
    <row r="18" spans="1:53" s="11" customFormat="1" ht="54.75" customHeight="1">
      <c r="A18" s="53" t="s">
        <v>120</v>
      </c>
      <c r="B18" s="57" t="s">
        <v>121</v>
      </c>
      <c r="C18" s="53" t="s">
        <v>68</v>
      </c>
      <c r="D18" s="53" t="e">
        <v>#N/A</v>
      </c>
      <c r="E18" s="53" t="s">
        <v>81</v>
      </c>
      <c r="F18" s="53" t="s">
        <v>81</v>
      </c>
      <c r="G18" s="53" t="s">
        <v>122</v>
      </c>
      <c r="H18" s="54">
        <v>8049999.9999999991</v>
      </c>
      <c r="I18" s="54" t="e">
        <v>#N/A</v>
      </c>
      <c r="J18" s="54">
        <f>PR[[#This Row],[التكلفة (المحدثه)  شاملة الضريبة]]-K18</f>
        <v>0</v>
      </c>
      <c r="K18" s="54">
        <v>8050000</v>
      </c>
      <c r="L18" s="61">
        <v>8049999.9999999991</v>
      </c>
      <c r="M18" s="46" t="e">
        <v>#N/A</v>
      </c>
      <c r="N18" s="55" t="s">
        <v>73</v>
      </c>
      <c r="O18" s="68" t="s">
        <v>74</v>
      </c>
      <c r="P18" s="180" t="s">
        <v>87</v>
      </c>
      <c r="Q18" s="290"/>
      <c r="R18" s="190" t="s">
        <v>4</v>
      </c>
      <c r="S18" s="228">
        <v>45383</v>
      </c>
      <c r="T18" s="229">
        <v>45412</v>
      </c>
      <c r="U18" s="230">
        <f>PR[[#This Row],[تاريخ نهاية المرحله]]+1</f>
        <v>45413</v>
      </c>
      <c r="V18" s="231">
        <f>PR[[#This Row],[تاريخ بداية المرحله.]]+30</f>
        <v>45443</v>
      </c>
      <c r="W18" s="232">
        <f>PR[[#This Row],[تاريخ نهاية المرحله…]]+1</f>
        <v>45444</v>
      </c>
      <c r="X18" s="233">
        <f>PR[[#This Row],[تاريخ بداية المرحله-]]+121</f>
        <v>45565</v>
      </c>
      <c r="Y18" s="230">
        <f>PR[[#This Row],[تاريخ نهاية المرحله.-]]+1</f>
        <v>45566</v>
      </c>
      <c r="Z18" s="231">
        <f>PR[[#This Row],[تاريخ بداية المرحله-.]]+90</f>
        <v>45656</v>
      </c>
      <c r="AA18" s="234">
        <f>PR[[#This Row],[تاريخ نهاية المرحله--]]+1</f>
        <v>45657</v>
      </c>
      <c r="AB18" s="235">
        <f>PR[[#This Row],[تاريخ بداية .المرحله]]+188</f>
        <v>45845</v>
      </c>
      <c r="AC18" s="234">
        <f>PR[[#This Row],[تاريخ. نهاية المرحله]]+1</f>
        <v>45846</v>
      </c>
      <c r="AD18" s="235">
        <f>PR[[#This Row],[.تاريخ بداية المرحله]] + ((PR[[#This Row],[مدة المشروع (شهر)]]*30)-55)</f>
        <v>46871</v>
      </c>
      <c r="AE18" s="278">
        <f>PR[[#This Row],[التكلفة (المحدثه)  شاملة الضريبة]]*0.9</f>
        <v>7244999.9999999991</v>
      </c>
      <c r="AF18" s="234">
        <f>PR[[#This Row],[تاريخ. نهاية. المرحله]]+1</f>
        <v>46872</v>
      </c>
      <c r="AG18" s="235">
        <f>PR[[#This Row],[تاريخ بداية.. المرحله..]]+28</f>
        <v>46900</v>
      </c>
      <c r="AH18" s="278">
        <f>PR[[#This Row],[التكلفة (المحدثه)  شاملة الضريبة]]*0.1</f>
        <v>805000</v>
      </c>
      <c r="AI18" s="232">
        <f>PR[[#This Row],[تاريخ ..نهاية المرحله.]]+1</f>
        <v>46901</v>
      </c>
      <c r="AJ18" s="233">
        <f>PR[[#This Row],[.تاريخ بداية المرحله]]+1095</f>
        <v>46941</v>
      </c>
      <c r="AK18" s="8" t="s">
        <v>4</v>
      </c>
      <c r="AL18" s="28" t="s">
        <v>73</v>
      </c>
      <c r="AM18" s="182" t="s">
        <v>74</v>
      </c>
      <c r="AN18" s="9" t="s">
        <v>76</v>
      </c>
      <c r="AO18" s="10"/>
      <c r="AP18" s="9"/>
      <c r="AQ18" s="10"/>
      <c r="AR18" s="22" t="s">
        <v>123</v>
      </c>
      <c r="AS18" s="29" t="s">
        <v>78</v>
      </c>
      <c r="AT18" s="29"/>
      <c r="AU18" s="37"/>
      <c r="AV18" s="38"/>
      <c r="AW18" s="38"/>
      <c r="AX18" s="9">
        <v>0</v>
      </c>
      <c r="AY18" s="9">
        <v>0</v>
      </c>
      <c r="AZ18" s="38"/>
      <c r="BA18" s="9"/>
    </row>
    <row r="19" spans="1:53" s="11" customFormat="1" ht="54.75" customHeight="1">
      <c r="A19" s="53" t="s">
        <v>124</v>
      </c>
      <c r="B19" s="57" t="s">
        <v>125</v>
      </c>
      <c r="C19" s="53" t="s">
        <v>68</v>
      </c>
      <c r="D19" s="53" t="e">
        <v>#N/A</v>
      </c>
      <c r="E19" s="53" t="s">
        <v>81</v>
      </c>
      <c r="F19" s="53" t="s">
        <v>90</v>
      </c>
      <c r="G19" s="53" t="s">
        <v>94</v>
      </c>
      <c r="H19" s="54">
        <v>43700000</v>
      </c>
      <c r="I19" s="54" t="e">
        <v>#N/A</v>
      </c>
      <c r="J19" s="54">
        <f>PR[[#This Row],[التكلفة (المحدثه)  شاملة الضريبة]]-K19</f>
        <v>0</v>
      </c>
      <c r="K19" s="54">
        <v>43700000</v>
      </c>
      <c r="L19" s="61">
        <v>43700000</v>
      </c>
      <c r="M19" s="46" t="e">
        <v>#N/A</v>
      </c>
      <c r="N19" s="55" t="s">
        <v>73</v>
      </c>
      <c r="O19" s="68" t="s">
        <v>74</v>
      </c>
      <c r="P19" s="180" t="s">
        <v>75</v>
      </c>
      <c r="Q19" s="290"/>
      <c r="R19" s="190" t="s">
        <v>4</v>
      </c>
      <c r="S19" s="228">
        <v>45383</v>
      </c>
      <c r="T19" s="229">
        <v>45412</v>
      </c>
      <c r="U19" s="230">
        <f>PR[[#This Row],[تاريخ نهاية المرحله]]+1</f>
        <v>45413</v>
      </c>
      <c r="V19" s="231">
        <f>PR[[#This Row],[تاريخ بداية المرحله.]]+30</f>
        <v>45443</v>
      </c>
      <c r="W19" s="232">
        <f>PR[[#This Row],[تاريخ نهاية المرحله…]]+1</f>
        <v>45444</v>
      </c>
      <c r="X19" s="233">
        <f>PR[[#This Row],[تاريخ بداية المرحله-]]+121</f>
        <v>45565</v>
      </c>
      <c r="Y19" s="230">
        <f>PR[[#This Row],[تاريخ نهاية المرحله.-]]+1</f>
        <v>45566</v>
      </c>
      <c r="Z19" s="231">
        <f>PR[[#This Row],[تاريخ بداية المرحله-.]]+90</f>
        <v>45656</v>
      </c>
      <c r="AA19" s="234">
        <f>PR[[#This Row],[تاريخ نهاية المرحله--]]+1</f>
        <v>45657</v>
      </c>
      <c r="AB19" s="235">
        <f>PR[[#This Row],[تاريخ بداية .المرحله]]+188</f>
        <v>45845</v>
      </c>
      <c r="AC19" s="234">
        <f>PR[[#This Row],[تاريخ. نهاية المرحله]]+1</f>
        <v>45846</v>
      </c>
      <c r="AD19" s="235">
        <f>PR[[#This Row],[.تاريخ بداية المرحله]] + ((PR[[#This Row],[مدة المشروع (شهر)]]*30)-55)</f>
        <v>46511</v>
      </c>
      <c r="AE19" s="278">
        <f>PR[[#This Row],[التكلفة (المحدثه)  شاملة الضريبة]]*0.9</f>
        <v>39330000</v>
      </c>
      <c r="AF19" s="234">
        <f>PR[[#This Row],[تاريخ. نهاية. المرحله]]+1</f>
        <v>46512</v>
      </c>
      <c r="AG19" s="235">
        <f>PR[[#This Row],[تاريخ بداية.. المرحله..]]+28</f>
        <v>46540</v>
      </c>
      <c r="AH19" s="278">
        <f>PR[[#This Row],[التكلفة (المحدثه)  شاملة الضريبة]]*0.1</f>
        <v>4370000</v>
      </c>
      <c r="AI19" s="232">
        <f>PR[[#This Row],[تاريخ ..نهاية المرحله.]]+1</f>
        <v>46541</v>
      </c>
      <c r="AJ19" s="233">
        <f>PR[[#This Row],[.تاريخ بداية المرحله]]+729</f>
        <v>46575</v>
      </c>
      <c r="AK19" s="8" t="s">
        <v>4</v>
      </c>
      <c r="AL19" s="28" t="s">
        <v>73</v>
      </c>
      <c r="AM19" s="182" t="s">
        <v>74</v>
      </c>
      <c r="AN19" s="9" t="s">
        <v>76</v>
      </c>
      <c r="AO19" s="10"/>
      <c r="AP19" s="9"/>
      <c r="AQ19" s="10"/>
      <c r="AR19" s="22" t="s">
        <v>126</v>
      </c>
      <c r="AS19" s="29" t="s">
        <v>78</v>
      </c>
      <c r="AT19" s="29"/>
      <c r="AU19" s="37"/>
      <c r="AV19" s="38"/>
      <c r="AW19" s="38"/>
      <c r="AX19" s="9">
        <v>0</v>
      </c>
      <c r="AY19" s="9">
        <v>0</v>
      </c>
      <c r="AZ19" s="38"/>
      <c r="BA19" s="9"/>
    </row>
    <row r="20" spans="1:53" s="11" customFormat="1" ht="54.75" customHeight="1">
      <c r="A20" s="53" t="s">
        <v>127</v>
      </c>
      <c r="B20" s="57" t="s">
        <v>128</v>
      </c>
      <c r="C20" s="53" t="s">
        <v>68</v>
      </c>
      <c r="D20" s="53" t="e">
        <v>#N/A</v>
      </c>
      <c r="E20" s="53" t="s">
        <v>81</v>
      </c>
      <c r="F20" s="53" t="s">
        <v>90</v>
      </c>
      <c r="G20" s="53" t="s">
        <v>86</v>
      </c>
      <c r="H20" s="54">
        <v>40250000</v>
      </c>
      <c r="I20" s="54" t="e">
        <v>#N/A</v>
      </c>
      <c r="J20" s="54">
        <f>PR[[#This Row],[التكلفة (المحدثه)  شاملة الضريبة]]-K20</f>
        <v>0</v>
      </c>
      <c r="K20" s="54">
        <v>40250000</v>
      </c>
      <c r="L20" s="61">
        <v>40250000</v>
      </c>
      <c r="M20" s="46" t="e">
        <v>#N/A</v>
      </c>
      <c r="N20" s="55" t="s">
        <v>73</v>
      </c>
      <c r="O20" s="68" t="s">
        <v>74</v>
      </c>
      <c r="P20" s="180" t="s">
        <v>87</v>
      </c>
      <c r="Q20" s="290"/>
      <c r="R20" s="190" t="s">
        <v>4</v>
      </c>
      <c r="S20" s="228">
        <v>45383</v>
      </c>
      <c r="T20" s="229">
        <v>45412</v>
      </c>
      <c r="U20" s="230">
        <f>PR[[#This Row],[تاريخ نهاية المرحله]]+1</f>
        <v>45413</v>
      </c>
      <c r="V20" s="231">
        <f>PR[[#This Row],[تاريخ بداية المرحله.]]+30</f>
        <v>45443</v>
      </c>
      <c r="W20" s="232">
        <f>PR[[#This Row],[تاريخ نهاية المرحله…]]+1</f>
        <v>45444</v>
      </c>
      <c r="X20" s="233">
        <f>PR[[#This Row],[تاريخ بداية المرحله-]]+121</f>
        <v>45565</v>
      </c>
      <c r="Y20" s="230">
        <f>PR[[#This Row],[تاريخ نهاية المرحله.-]]+1</f>
        <v>45566</v>
      </c>
      <c r="Z20" s="231">
        <f>PR[[#This Row],[تاريخ بداية المرحله-.]]+90</f>
        <v>45656</v>
      </c>
      <c r="AA20" s="234">
        <f>PR[[#This Row],[تاريخ نهاية المرحله--]]+1</f>
        <v>45657</v>
      </c>
      <c r="AB20" s="235">
        <f>PR[[#This Row],[تاريخ بداية .المرحله]]+188</f>
        <v>45845</v>
      </c>
      <c r="AC20" s="234">
        <f>PR[[#This Row],[تاريخ. نهاية المرحله]]+1</f>
        <v>45846</v>
      </c>
      <c r="AD20" s="235">
        <f>PR[[#This Row],[.تاريخ بداية المرحله]] + ((PR[[#This Row],[مدة المشروع (شهر)]]*30)-55)</f>
        <v>46871</v>
      </c>
      <c r="AE20" s="278">
        <f>PR[[#This Row],[التكلفة (المحدثه)  شاملة الضريبة]]*0.9</f>
        <v>36225000</v>
      </c>
      <c r="AF20" s="234">
        <f>PR[[#This Row],[تاريخ. نهاية. المرحله]]+1</f>
        <v>46872</v>
      </c>
      <c r="AG20" s="235">
        <f>PR[[#This Row],[تاريخ بداية.. المرحله..]]+28</f>
        <v>46900</v>
      </c>
      <c r="AH20" s="278">
        <f>PR[[#This Row],[التكلفة (المحدثه)  شاملة الضريبة]]*0.1</f>
        <v>4025000</v>
      </c>
      <c r="AI20" s="232">
        <f>PR[[#This Row],[تاريخ ..نهاية المرحله.]]+1</f>
        <v>46901</v>
      </c>
      <c r="AJ20" s="233">
        <f>PR[[#This Row],[.تاريخ بداية المرحله]]+1095</f>
        <v>46941</v>
      </c>
      <c r="AK20" s="8" t="s">
        <v>4</v>
      </c>
      <c r="AL20" s="28" t="s">
        <v>73</v>
      </c>
      <c r="AM20" s="182" t="s">
        <v>74</v>
      </c>
      <c r="AN20" s="9" t="s">
        <v>76</v>
      </c>
      <c r="AO20" s="10"/>
      <c r="AP20" s="9"/>
      <c r="AQ20" s="10"/>
      <c r="AR20" s="184" t="s">
        <v>126</v>
      </c>
      <c r="AS20" s="29" t="s">
        <v>78</v>
      </c>
      <c r="AT20" s="29"/>
      <c r="AU20" s="37"/>
      <c r="AV20" s="38"/>
      <c r="AW20" s="38"/>
      <c r="AX20" s="9">
        <v>0</v>
      </c>
      <c r="AY20" s="9">
        <v>0</v>
      </c>
      <c r="AZ20" s="38"/>
      <c r="BA20" s="9"/>
    </row>
    <row r="21" spans="1:53" s="11" customFormat="1" ht="54.75" customHeight="1">
      <c r="A21" s="53" t="s">
        <v>129</v>
      </c>
      <c r="B21" s="57" t="s">
        <v>130</v>
      </c>
      <c r="C21" s="53" t="s">
        <v>68</v>
      </c>
      <c r="D21" s="53" t="e">
        <v>#N/A</v>
      </c>
      <c r="E21" s="53" t="s">
        <v>81</v>
      </c>
      <c r="F21" s="53" t="s">
        <v>90</v>
      </c>
      <c r="G21" s="53" t="s">
        <v>94</v>
      </c>
      <c r="H21" s="54">
        <v>6724050</v>
      </c>
      <c r="I21" s="54" t="e">
        <v>#N/A</v>
      </c>
      <c r="J21" s="54">
        <f>PR[[#This Row],[التكلفة (المحدثه)  شاملة الضريبة]]-K21</f>
        <v>0</v>
      </c>
      <c r="K21" s="54">
        <v>6724050</v>
      </c>
      <c r="L21" s="61">
        <v>6724050</v>
      </c>
      <c r="M21" s="46" t="e">
        <v>#N/A</v>
      </c>
      <c r="N21" s="55" t="s">
        <v>73</v>
      </c>
      <c r="O21" s="68" t="s">
        <v>74</v>
      </c>
      <c r="P21" s="180" t="s">
        <v>111</v>
      </c>
      <c r="Q21" s="290"/>
      <c r="R21" s="190" t="s">
        <v>4</v>
      </c>
      <c r="S21" s="228">
        <v>45383</v>
      </c>
      <c r="T21" s="229">
        <v>45412</v>
      </c>
      <c r="U21" s="230">
        <f>PR[[#This Row],[تاريخ نهاية المرحله]]+1</f>
        <v>45413</v>
      </c>
      <c r="V21" s="231">
        <f>PR[[#This Row],[تاريخ بداية المرحله.]]+30</f>
        <v>45443</v>
      </c>
      <c r="W21" s="232">
        <f>PR[[#This Row],[تاريخ نهاية المرحله…]]+1</f>
        <v>45444</v>
      </c>
      <c r="X21" s="233">
        <f>PR[[#This Row],[تاريخ بداية المرحله-]]+121</f>
        <v>45565</v>
      </c>
      <c r="Y21" s="230">
        <f>PR[[#This Row],[تاريخ نهاية المرحله.-]]+1</f>
        <v>45566</v>
      </c>
      <c r="Z21" s="231">
        <f>PR[[#This Row],[تاريخ بداية المرحله-.]]+90</f>
        <v>45656</v>
      </c>
      <c r="AA21" s="234">
        <f>PR[[#This Row],[تاريخ نهاية المرحله--]]+1</f>
        <v>45657</v>
      </c>
      <c r="AB21" s="235">
        <f>PR[[#This Row],[تاريخ بداية .المرحله]]+188</f>
        <v>45845</v>
      </c>
      <c r="AC21" s="234">
        <f>PR[[#This Row],[تاريخ. نهاية المرحله]]+1</f>
        <v>45846</v>
      </c>
      <c r="AD21" s="235">
        <f>PR[[#This Row],[.تاريخ بداية المرحله]] + ((PR[[#This Row],[مدة المشروع (شهر)]]*30)-28)</f>
        <v>46178</v>
      </c>
      <c r="AE21" s="278">
        <f>PR[[#This Row],[التكلفة (المحدثه)  شاملة الضريبة]]*0.9</f>
        <v>6051645</v>
      </c>
      <c r="AF21" s="234">
        <f>PR[[#This Row],[تاريخ. نهاية. المرحله]]+1</f>
        <v>46179</v>
      </c>
      <c r="AG21" s="235">
        <f>PR[[#This Row],[تاريخ بداية.. المرحله..]]+14</f>
        <v>46193</v>
      </c>
      <c r="AH21" s="278">
        <f>PR[[#This Row],[التكلفة (المحدثه)  شاملة الضريبة]]*0.1</f>
        <v>672405</v>
      </c>
      <c r="AI21" s="232">
        <f>PR[[#This Row],[تاريخ ..نهاية المرحله.]]+1</f>
        <v>46194</v>
      </c>
      <c r="AJ21" s="233">
        <f>PR[[#This Row],[.تاريخ بداية المرحله]]+364</f>
        <v>46210</v>
      </c>
      <c r="AK21" s="8" t="s">
        <v>4</v>
      </c>
      <c r="AL21" s="28" t="s">
        <v>73</v>
      </c>
      <c r="AM21" s="182" t="s">
        <v>74</v>
      </c>
      <c r="AN21" s="9" t="s">
        <v>76</v>
      </c>
      <c r="AO21" s="10"/>
      <c r="AP21" s="9"/>
      <c r="AQ21" s="10"/>
      <c r="AR21" s="22" t="s">
        <v>126</v>
      </c>
      <c r="AS21" s="29" t="s">
        <v>78</v>
      </c>
      <c r="AT21" s="29"/>
      <c r="AU21" s="37"/>
      <c r="AV21" s="38"/>
      <c r="AW21" s="38"/>
      <c r="AX21" s="9">
        <v>0</v>
      </c>
      <c r="AY21" s="9">
        <v>0</v>
      </c>
      <c r="AZ21" s="38"/>
      <c r="BA21" s="9"/>
    </row>
    <row r="22" spans="1:53" s="11" customFormat="1" ht="54.75" customHeight="1">
      <c r="A22" s="53" t="s">
        <v>131</v>
      </c>
      <c r="B22" s="57" t="s">
        <v>132</v>
      </c>
      <c r="C22" s="53" t="s">
        <v>68</v>
      </c>
      <c r="D22" s="53" t="e">
        <v>#N/A</v>
      </c>
      <c r="E22" s="53" t="s">
        <v>81</v>
      </c>
      <c r="F22" s="53" t="s">
        <v>90</v>
      </c>
      <c r="G22" s="53" t="s">
        <v>86</v>
      </c>
      <c r="H22" s="54">
        <v>17250000</v>
      </c>
      <c r="I22" s="54" t="e">
        <v>#N/A</v>
      </c>
      <c r="J22" s="54">
        <f>PR[[#This Row],[التكلفة (المحدثه)  شاملة الضريبة]]-K22</f>
        <v>0</v>
      </c>
      <c r="K22" s="54">
        <v>17250000</v>
      </c>
      <c r="L22" s="61">
        <v>17250000</v>
      </c>
      <c r="M22" s="46" t="e">
        <v>#N/A</v>
      </c>
      <c r="N22" s="55" t="s">
        <v>73</v>
      </c>
      <c r="O22" s="68" t="s">
        <v>74</v>
      </c>
      <c r="P22" s="180" t="s">
        <v>87</v>
      </c>
      <c r="Q22" s="290"/>
      <c r="R22" s="190" t="s">
        <v>4</v>
      </c>
      <c r="S22" s="228">
        <v>45383</v>
      </c>
      <c r="T22" s="229">
        <v>45412</v>
      </c>
      <c r="U22" s="230">
        <f>PR[[#This Row],[تاريخ نهاية المرحله]]+1</f>
        <v>45413</v>
      </c>
      <c r="V22" s="231">
        <f>PR[[#This Row],[تاريخ بداية المرحله.]]+30</f>
        <v>45443</v>
      </c>
      <c r="W22" s="232">
        <f>PR[[#This Row],[تاريخ نهاية المرحله…]]+1</f>
        <v>45444</v>
      </c>
      <c r="X22" s="233">
        <f>PR[[#This Row],[تاريخ بداية المرحله-]]+121</f>
        <v>45565</v>
      </c>
      <c r="Y22" s="230">
        <f>PR[[#This Row],[تاريخ نهاية المرحله.-]]+1</f>
        <v>45566</v>
      </c>
      <c r="Z22" s="231">
        <f>PR[[#This Row],[تاريخ بداية المرحله-.]]+90</f>
        <v>45656</v>
      </c>
      <c r="AA22" s="234">
        <f>PR[[#This Row],[تاريخ نهاية المرحله--]]+1</f>
        <v>45657</v>
      </c>
      <c r="AB22" s="235">
        <f>PR[[#This Row],[تاريخ بداية .المرحله]]+188</f>
        <v>45845</v>
      </c>
      <c r="AC22" s="234">
        <f>PR[[#This Row],[تاريخ. نهاية المرحله]]+1</f>
        <v>45846</v>
      </c>
      <c r="AD22" s="235">
        <f>PR[[#This Row],[.تاريخ بداية المرحله]] + ((PR[[#This Row],[مدة المشروع (شهر)]]*30)-55)</f>
        <v>46871</v>
      </c>
      <c r="AE22" s="278">
        <f>PR[[#This Row],[التكلفة (المحدثه)  شاملة الضريبة]]*0.9</f>
        <v>15525000</v>
      </c>
      <c r="AF22" s="234">
        <f>PR[[#This Row],[تاريخ. نهاية. المرحله]]+1</f>
        <v>46872</v>
      </c>
      <c r="AG22" s="235">
        <f>PR[[#This Row],[تاريخ بداية.. المرحله..]]+28</f>
        <v>46900</v>
      </c>
      <c r="AH22" s="278">
        <f>PR[[#This Row],[التكلفة (المحدثه)  شاملة الضريبة]]*0.1</f>
        <v>1725000</v>
      </c>
      <c r="AI22" s="232">
        <f>PR[[#This Row],[تاريخ ..نهاية المرحله.]]+1</f>
        <v>46901</v>
      </c>
      <c r="AJ22" s="233">
        <f>PR[[#This Row],[.تاريخ بداية المرحله]]+1095</f>
        <v>46941</v>
      </c>
      <c r="AK22" s="8" t="s">
        <v>4</v>
      </c>
      <c r="AL22" s="28" t="s">
        <v>73</v>
      </c>
      <c r="AM22" s="182" t="s">
        <v>74</v>
      </c>
      <c r="AN22" s="9" t="s">
        <v>76</v>
      </c>
      <c r="AO22" s="10"/>
      <c r="AP22" s="9"/>
      <c r="AQ22" s="10"/>
      <c r="AR22" s="22" t="s">
        <v>126</v>
      </c>
      <c r="AS22" s="29" t="s">
        <v>78</v>
      </c>
      <c r="AT22" s="29"/>
      <c r="AU22" s="37"/>
      <c r="AV22" s="38"/>
      <c r="AW22" s="38"/>
      <c r="AX22" s="9">
        <v>0</v>
      </c>
      <c r="AY22" s="9">
        <v>0</v>
      </c>
      <c r="AZ22" s="38"/>
      <c r="BA22" s="9"/>
    </row>
    <row r="23" spans="1:53" s="11" customFormat="1" ht="54.75" customHeight="1">
      <c r="A23" s="53" t="s">
        <v>133</v>
      </c>
      <c r="B23" s="57" t="s">
        <v>134</v>
      </c>
      <c r="C23" s="53" t="s">
        <v>68</v>
      </c>
      <c r="D23" s="53" t="e">
        <v>#N/A</v>
      </c>
      <c r="E23" s="53" t="s">
        <v>81</v>
      </c>
      <c r="F23" s="53" t="s">
        <v>90</v>
      </c>
      <c r="G23" s="53" t="s">
        <v>86</v>
      </c>
      <c r="H23" s="54">
        <v>97749999.999999985</v>
      </c>
      <c r="I23" s="54" t="e">
        <v>#N/A</v>
      </c>
      <c r="J23" s="54">
        <f>PR[[#This Row],[التكلفة (المحدثه)  شاملة الضريبة]]-K23</f>
        <v>0</v>
      </c>
      <c r="K23" s="54">
        <v>97750000</v>
      </c>
      <c r="L23" s="61">
        <v>97749999.999999985</v>
      </c>
      <c r="M23" s="46" t="e">
        <v>#N/A</v>
      </c>
      <c r="N23" s="55" t="s">
        <v>73</v>
      </c>
      <c r="O23" s="68" t="s">
        <v>74</v>
      </c>
      <c r="P23" s="180" t="s">
        <v>75</v>
      </c>
      <c r="Q23" s="290"/>
      <c r="R23" s="190" t="s">
        <v>4</v>
      </c>
      <c r="S23" s="228">
        <v>45383</v>
      </c>
      <c r="T23" s="229">
        <v>45412</v>
      </c>
      <c r="U23" s="230">
        <f>PR[[#This Row],[تاريخ نهاية المرحله]]+1</f>
        <v>45413</v>
      </c>
      <c r="V23" s="231">
        <f>PR[[#This Row],[تاريخ بداية المرحله.]]+30</f>
        <v>45443</v>
      </c>
      <c r="W23" s="232">
        <f>PR[[#This Row],[تاريخ نهاية المرحله…]]+1</f>
        <v>45444</v>
      </c>
      <c r="X23" s="233">
        <f>PR[[#This Row],[تاريخ بداية المرحله-]]+121</f>
        <v>45565</v>
      </c>
      <c r="Y23" s="230">
        <f>PR[[#This Row],[تاريخ نهاية المرحله.-]]+1</f>
        <v>45566</v>
      </c>
      <c r="Z23" s="231">
        <f>PR[[#This Row],[تاريخ بداية المرحله-.]]+90</f>
        <v>45656</v>
      </c>
      <c r="AA23" s="234">
        <f>PR[[#This Row],[تاريخ نهاية المرحله--]]+1</f>
        <v>45657</v>
      </c>
      <c r="AB23" s="235">
        <f>PR[[#This Row],[تاريخ بداية .المرحله]]+188</f>
        <v>45845</v>
      </c>
      <c r="AC23" s="234">
        <f>PR[[#This Row],[تاريخ. نهاية المرحله]]+1</f>
        <v>45846</v>
      </c>
      <c r="AD23" s="235">
        <f>PR[[#This Row],[.تاريخ بداية المرحله]] + ((PR[[#This Row],[مدة المشروع (شهر)]]*30)-55)</f>
        <v>46511</v>
      </c>
      <c r="AE23" s="278">
        <f>PR[[#This Row],[التكلفة (المحدثه)  شاملة الضريبة]]*0.9</f>
        <v>87974999.999999985</v>
      </c>
      <c r="AF23" s="234">
        <f>PR[[#This Row],[تاريخ. نهاية. المرحله]]+1</f>
        <v>46512</v>
      </c>
      <c r="AG23" s="235">
        <f>PR[[#This Row],[تاريخ بداية.. المرحله..]]+28</f>
        <v>46540</v>
      </c>
      <c r="AH23" s="278">
        <f>PR[[#This Row],[التكلفة (المحدثه)  شاملة الضريبة]]*0.1</f>
        <v>9774999.9999999981</v>
      </c>
      <c r="AI23" s="232">
        <f>PR[[#This Row],[تاريخ ..نهاية المرحله.]]+1</f>
        <v>46541</v>
      </c>
      <c r="AJ23" s="233">
        <f>PR[[#This Row],[.تاريخ بداية المرحله]]+729</f>
        <v>46575</v>
      </c>
      <c r="AK23" s="8" t="s">
        <v>4</v>
      </c>
      <c r="AL23" s="28" t="s">
        <v>73</v>
      </c>
      <c r="AM23" s="182" t="s">
        <v>74</v>
      </c>
      <c r="AN23" s="9" t="s">
        <v>76</v>
      </c>
      <c r="AO23" s="10"/>
      <c r="AP23" s="9"/>
      <c r="AQ23" s="10"/>
      <c r="AR23" s="22" t="s">
        <v>126</v>
      </c>
      <c r="AS23" s="29" t="s">
        <v>78</v>
      </c>
      <c r="AT23" s="29"/>
      <c r="AU23" s="37"/>
      <c r="AV23" s="38"/>
      <c r="AW23" s="38"/>
      <c r="AX23" s="9">
        <v>0</v>
      </c>
      <c r="AY23" s="9">
        <v>0</v>
      </c>
      <c r="AZ23" s="38"/>
      <c r="BA23" s="9"/>
    </row>
    <row r="24" spans="1:53" s="11" customFormat="1" ht="54.75" customHeight="1">
      <c r="A24" s="58" t="s">
        <v>135</v>
      </c>
      <c r="B24" s="57" t="s">
        <v>136</v>
      </c>
      <c r="C24" s="53" t="s">
        <v>68</v>
      </c>
      <c r="D24" s="53" t="s">
        <v>137</v>
      </c>
      <c r="E24" s="53" t="s">
        <v>81</v>
      </c>
      <c r="F24" s="53" t="s">
        <v>138</v>
      </c>
      <c r="G24" s="53" t="s">
        <v>94</v>
      </c>
      <c r="H24" s="59">
        <v>80000000</v>
      </c>
      <c r="I24" s="59" t="s">
        <v>139</v>
      </c>
      <c r="J24" s="59">
        <f>PR[[#This Row],[التكلفة (المحدثه)  شاملة الضريبة]]-K24</f>
        <v>0</v>
      </c>
      <c r="K24" s="59">
        <v>59750000</v>
      </c>
      <c r="L24" s="61">
        <v>59750000</v>
      </c>
      <c r="M24" s="44" t="s">
        <v>140</v>
      </c>
      <c r="N24" s="72" t="s">
        <v>141</v>
      </c>
      <c r="O24" s="45" t="s">
        <v>142</v>
      </c>
      <c r="P24" s="75" t="s">
        <v>75</v>
      </c>
      <c r="Q24" s="295"/>
      <c r="R24" s="244" t="s">
        <v>6</v>
      </c>
      <c r="S24" s="228">
        <v>45688</v>
      </c>
      <c r="T24" s="229">
        <v>45718</v>
      </c>
      <c r="U24" s="245">
        <v>45718</v>
      </c>
      <c r="V24" s="246">
        <v>45748</v>
      </c>
      <c r="W24" s="228">
        <v>45748</v>
      </c>
      <c r="X24" s="229">
        <v>45778</v>
      </c>
      <c r="Y24" s="245">
        <f>PR[[#This Row],[تاريخ نهاية المرحله.-]]+1</f>
        <v>45779</v>
      </c>
      <c r="Z24" s="231">
        <f>PR[[#This Row],[تاريخ بداية المرحله-.]]+90</f>
        <v>45869</v>
      </c>
      <c r="AA24" s="247">
        <f>PR[[#This Row],[تاريخ نهاية المرحله--]]+1</f>
        <v>45870</v>
      </c>
      <c r="AB24" s="248">
        <f>PR[[#This Row],[تاريخ بداية .المرحله]]+188</f>
        <v>46058</v>
      </c>
      <c r="AC24" s="247">
        <f>PR[[#This Row],[تاريخ. نهاية المرحله]]+1</f>
        <v>46059</v>
      </c>
      <c r="AD24" s="248">
        <f>PR[[#This Row],[.تاريخ بداية المرحله]] + ((PR[[#This Row],[مدة المشروع (شهر)]]*30)-55)</f>
        <v>46724</v>
      </c>
      <c r="AE24" s="280">
        <f>PR[[#This Row],[التكلفة (المحدثه)  شاملة الضريبة]]*0.9</f>
        <v>53775000</v>
      </c>
      <c r="AF24" s="247">
        <f>PR[[#This Row],[تاريخ. نهاية. المرحله]]+1</f>
        <v>46725</v>
      </c>
      <c r="AG24" s="248">
        <f>PR[[#This Row],[تاريخ بداية.. المرحله..]]+28</f>
        <v>46753</v>
      </c>
      <c r="AH24" s="280">
        <f>PR[[#This Row],[التكلفة (المحدثه)  شاملة الضريبة]]*0.1</f>
        <v>5975000</v>
      </c>
      <c r="AI24" s="247">
        <f>PR[[#This Row],[تاريخ ..نهاية المرحله.]]+1</f>
        <v>46754</v>
      </c>
      <c r="AJ24" s="248">
        <f>PR[[#This Row],[.تاريخ بداية المرحله]]+729</f>
        <v>46788</v>
      </c>
      <c r="AK24" s="8" t="s">
        <v>6</v>
      </c>
      <c r="AL24" s="31" t="s">
        <v>143</v>
      </c>
      <c r="AM24" s="31" t="s">
        <v>144</v>
      </c>
      <c r="AN24" s="9" t="s">
        <v>76</v>
      </c>
      <c r="AO24" s="10"/>
      <c r="AP24" s="9"/>
      <c r="AQ24" s="10"/>
      <c r="AR24" s="185" t="s">
        <v>145</v>
      </c>
      <c r="AS24" s="29" t="s">
        <v>146</v>
      </c>
      <c r="AT24" s="28" t="s">
        <v>147</v>
      </c>
      <c r="AU24" s="37">
        <v>0</v>
      </c>
      <c r="AV24" s="38"/>
      <c r="AW24" s="38"/>
      <c r="AX24" s="9"/>
      <c r="AY24" s="9"/>
      <c r="AZ24" s="38"/>
      <c r="BA24" s="9"/>
    </row>
    <row r="25" spans="1:53" s="11" customFormat="1" ht="54.75" customHeight="1">
      <c r="A25" s="53" t="s">
        <v>148</v>
      </c>
      <c r="B25" s="57" t="s">
        <v>149</v>
      </c>
      <c r="C25" s="53" t="s">
        <v>68</v>
      </c>
      <c r="D25" s="53" t="s">
        <v>150</v>
      </c>
      <c r="E25" s="53" t="s">
        <v>81</v>
      </c>
      <c r="F25" s="53" t="s">
        <v>81</v>
      </c>
      <c r="G25" s="53" t="s">
        <v>94</v>
      </c>
      <c r="H25" s="54">
        <v>59799999.999999993</v>
      </c>
      <c r="I25" s="54" t="s">
        <v>151</v>
      </c>
      <c r="J25" s="54">
        <f>PR[[#This Row],[التكلفة (المحدثه)  شاملة الضريبة]]-K25</f>
        <v>0</v>
      </c>
      <c r="K25" s="54">
        <v>59800000</v>
      </c>
      <c r="L25" s="61">
        <v>59799999.999999993</v>
      </c>
      <c r="M25" s="43" t="s">
        <v>72</v>
      </c>
      <c r="N25" s="55" t="s">
        <v>152</v>
      </c>
      <c r="O25" s="45" t="s">
        <v>142</v>
      </c>
      <c r="P25" s="76" t="s">
        <v>75</v>
      </c>
      <c r="Q25" s="293"/>
      <c r="R25" s="244" t="s">
        <v>6</v>
      </c>
      <c r="S25" s="228">
        <v>45109</v>
      </c>
      <c r="T25" s="229">
        <v>45139</v>
      </c>
      <c r="U25" s="245">
        <v>45139</v>
      </c>
      <c r="V25" s="246">
        <v>45169</v>
      </c>
      <c r="W25" s="228">
        <v>45169</v>
      </c>
      <c r="X25" s="229">
        <v>45312</v>
      </c>
      <c r="Y25" s="245">
        <f>PR[[#This Row],[تاريخ نهاية المرحله.-]]+1</f>
        <v>45313</v>
      </c>
      <c r="Z25" s="231">
        <f>PR[[#This Row],[تاريخ بداية المرحله-.]]+90</f>
        <v>45403</v>
      </c>
      <c r="AA25" s="247">
        <f>PR[[#This Row],[تاريخ نهاية المرحله--]]+1</f>
        <v>45404</v>
      </c>
      <c r="AB25" s="248">
        <f>PR[[#This Row],[تاريخ بداية .المرحله]]+188</f>
        <v>45592</v>
      </c>
      <c r="AC25" s="247">
        <f>PR[[#This Row],[تاريخ. نهاية المرحله]]+1</f>
        <v>45593</v>
      </c>
      <c r="AD25" s="248">
        <f>PR[[#This Row],[.تاريخ بداية المرحله]] + ((PR[[#This Row],[مدة المشروع (شهر)]]*30)-55)</f>
        <v>46258</v>
      </c>
      <c r="AE25" s="280">
        <f>PR[[#This Row],[التكلفة (المحدثه)  شاملة الضريبة]]*0.9</f>
        <v>53819999.999999993</v>
      </c>
      <c r="AF25" s="247">
        <f>PR[[#This Row],[تاريخ. نهاية. المرحله]]+1</f>
        <v>46259</v>
      </c>
      <c r="AG25" s="248">
        <f>PR[[#This Row],[تاريخ بداية.. المرحله..]]+28</f>
        <v>46287</v>
      </c>
      <c r="AH25" s="280">
        <f>PR[[#This Row],[التكلفة (المحدثه)  شاملة الضريبة]]*0.1</f>
        <v>5980000</v>
      </c>
      <c r="AI25" s="247">
        <f>PR[[#This Row],[تاريخ ..نهاية المرحله.]]+1</f>
        <v>46288</v>
      </c>
      <c r="AJ25" s="248">
        <f>PR[[#This Row],[.تاريخ بداية المرحله]]+729</f>
        <v>46322</v>
      </c>
      <c r="AK25" s="8" t="s">
        <v>6</v>
      </c>
      <c r="AL25" s="28" t="s">
        <v>152</v>
      </c>
      <c r="AM25" s="31" t="s">
        <v>144</v>
      </c>
      <c r="AN25" s="9" t="s">
        <v>76</v>
      </c>
      <c r="AO25" s="10"/>
      <c r="AP25" s="9"/>
      <c r="AQ25" s="10"/>
      <c r="AR25" s="16" t="s">
        <v>153</v>
      </c>
      <c r="AS25" s="29" t="s">
        <v>78</v>
      </c>
      <c r="AT25" s="28" t="s">
        <v>147</v>
      </c>
      <c r="AU25" s="37"/>
      <c r="AV25" s="38"/>
      <c r="AW25" s="38"/>
      <c r="AX25" s="9"/>
      <c r="AY25" s="9"/>
      <c r="AZ25" s="38"/>
      <c r="BA25" s="9"/>
    </row>
    <row r="26" spans="1:53" s="11" customFormat="1" ht="54.75" customHeight="1">
      <c r="A26" s="53" t="s">
        <v>154</v>
      </c>
      <c r="B26" s="57" t="s">
        <v>155</v>
      </c>
      <c r="C26" s="53" t="s">
        <v>68</v>
      </c>
      <c r="D26" s="53" t="s">
        <v>150</v>
      </c>
      <c r="E26" s="53" t="s">
        <v>81</v>
      </c>
      <c r="F26" s="53" t="s">
        <v>93</v>
      </c>
      <c r="G26" s="53" t="s">
        <v>86</v>
      </c>
      <c r="H26" s="54">
        <v>63249999.999999993</v>
      </c>
      <c r="I26" s="54" t="s">
        <v>156</v>
      </c>
      <c r="J26" s="54">
        <f>PR[[#This Row],[التكلفة (المحدثه)  شاملة الضريبة]]-K26</f>
        <v>0</v>
      </c>
      <c r="K26" s="54">
        <v>84982529.799999997</v>
      </c>
      <c r="L26" s="61">
        <v>84982529.799999997</v>
      </c>
      <c r="M26" s="43" t="s">
        <v>72</v>
      </c>
      <c r="N26" s="69" t="s">
        <v>157</v>
      </c>
      <c r="O26" s="45" t="s">
        <v>142</v>
      </c>
      <c r="P26" s="75">
        <v>36</v>
      </c>
      <c r="Q26" s="295"/>
      <c r="R26" s="77" t="s">
        <v>7</v>
      </c>
      <c r="S26" s="228">
        <v>45109</v>
      </c>
      <c r="T26" s="229">
        <v>45139</v>
      </c>
      <c r="U26" s="245">
        <v>45139</v>
      </c>
      <c r="V26" s="246">
        <v>45169</v>
      </c>
      <c r="W26" s="228">
        <v>45169</v>
      </c>
      <c r="X26" s="229">
        <v>45312</v>
      </c>
      <c r="Y26" s="245">
        <v>45386</v>
      </c>
      <c r="Z26" s="246">
        <v>45627</v>
      </c>
      <c r="AA26" s="247">
        <v>45707</v>
      </c>
      <c r="AB26" s="248">
        <f>PR[[#This Row],[تاريخ بداية .المرحله]]+188</f>
        <v>45895</v>
      </c>
      <c r="AC26" s="247">
        <f>PR[[#This Row],[تاريخ. نهاية المرحله]]+1</f>
        <v>45896</v>
      </c>
      <c r="AD26" s="248">
        <f>PR[[#This Row],[.تاريخ بداية المرحله]] + ((PR[[#This Row],[مدة المشروع (شهر)]]*30)-55)</f>
        <v>46921</v>
      </c>
      <c r="AE26" s="280">
        <f>PR[[#This Row],[التكلفة (المحدثه)  شاملة الضريبة]]*0.9</f>
        <v>76484276.819999993</v>
      </c>
      <c r="AF26" s="247">
        <f>PR[[#This Row],[تاريخ. نهاية. المرحله]]+1</f>
        <v>46922</v>
      </c>
      <c r="AG26" s="248">
        <f>PR[[#This Row],[تاريخ بداية.. المرحله..]]+28</f>
        <v>46950</v>
      </c>
      <c r="AH26" s="280">
        <f>PR[[#This Row],[التكلفة (المحدثه)  شاملة الضريبة]]*0.1</f>
        <v>8498252.9800000004</v>
      </c>
      <c r="AI26" s="247">
        <f>PR[[#This Row],[تاريخ ..نهاية المرحله.]]+1</f>
        <v>46951</v>
      </c>
      <c r="AJ26" s="248">
        <f>PR[[#This Row],[.تاريخ بداية المرحله]]+1095</f>
        <v>46991</v>
      </c>
      <c r="AK26" s="8" t="s">
        <v>7</v>
      </c>
      <c r="AL26" s="30" t="s">
        <v>157</v>
      </c>
      <c r="AM26" s="28" t="s">
        <v>158</v>
      </c>
      <c r="AN26" s="9" t="s">
        <v>159</v>
      </c>
      <c r="AO26" s="10">
        <v>45697</v>
      </c>
      <c r="AP26" s="9" t="s">
        <v>160</v>
      </c>
      <c r="AQ26" s="10">
        <v>45697</v>
      </c>
      <c r="AR26" s="185" t="s">
        <v>161</v>
      </c>
      <c r="AS26" s="29" t="s">
        <v>146</v>
      </c>
      <c r="AT26" s="28" t="s">
        <v>157</v>
      </c>
      <c r="AU26" s="37">
        <v>84982529.799999997</v>
      </c>
      <c r="AV26" s="38">
        <v>45707</v>
      </c>
      <c r="AW26" s="38"/>
      <c r="AX26" s="9"/>
      <c r="AY26" s="9" t="s">
        <v>162</v>
      </c>
      <c r="AZ26" s="38"/>
      <c r="BA26" s="9"/>
    </row>
    <row r="27" spans="1:53" s="11" customFormat="1" ht="54.75" customHeight="1">
      <c r="A27" s="56" t="s">
        <v>163</v>
      </c>
      <c r="B27" s="57" t="s">
        <v>164</v>
      </c>
      <c r="C27" s="53" t="s">
        <v>68</v>
      </c>
      <c r="D27" s="53" t="s">
        <v>165</v>
      </c>
      <c r="E27" s="53" t="s">
        <v>81</v>
      </c>
      <c r="F27" s="53" t="s">
        <v>166</v>
      </c>
      <c r="G27" s="53" t="s">
        <v>86</v>
      </c>
      <c r="H27" s="54">
        <v>28749999.999999996</v>
      </c>
      <c r="I27" s="54" t="e">
        <v>#N/A</v>
      </c>
      <c r="J27" s="54">
        <f>PR[[#This Row],[التكلفة (المحدثه)  شاملة الضريبة]]-K27</f>
        <v>0</v>
      </c>
      <c r="K27" s="54">
        <v>49158084</v>
      </c>
      <c r="L27" s="61">
        <v>49158083.999999993</v>
      </c>
      <c r="M27" s="43" t="s">
        <v>72</v>
      </c>
      <c r="N27" s="69" t="s">
        <v>157</v>
      </c>
      <c r="O27" s="45" t="s">
        <v>142</v>
      </c>
      <c r="P27" s="75" t="s">
        <v>75</v>
      </c>
      <c r="Q27" s="295"/>
      <c r="R27" s="77" t="s">
        <v>7</v>
      </c>
      <c r="S27" s="228">
        <v>45438</v>
      </c>
      <c r="T27" s="229">
        <v>45468</v>
      </c>
      <c r="U27" s="245">
        <v>45468</v>
      </c>
      <c r="V27" s="246">
        <v>45498</v>
      </c>
      <c r="W27" s="228">
        <f>PR[[#This Row],[تاريخ نهاية المرحله…]]+1</f>
        <v>45499</v>
      </c>
      <c r="X27" s="229">
        <f>PR[[#This Row],[تاريخ بداية المرحله-.]]-1</f>
        <v>45557</v>
      </c>
      <c r="Y27" s="245">
        <v>45558</v>
      </c>
      <c r="Z27" s="246">
        <v>45603</v>
      </c>
      <c r="AA27" s="247">
        <v>45729</v>
      </c>
      <c r="AB27" s="248">
        <f>PR[[#This Row],[تاريخ بداية .المرحله]]+188</f>
        <v>45917</v>
      </c>
      <c r="AC27" s="247">
        <f>PR[[#This Row],[تاريخ. نهاية المرحله]]+1</f>
        <v>45918</v>
      </c>
      <c r="AD27" s="248">
        <f>PR[[#This Row],[.تاريخ بداية المرحله]] + ((PR[[#This Row],[مدة المشروع (شهر)]]*30)-55)</f>
        <v>46583</v>
      </c>
      <c r="AE27" s="280">
        <f>PR[[#This Row],[التكلفة (المحدثه)  شاملة الضريبة]]*0.9</f>
        <v>44242275.599999994</v>
      </c>
      <c r="AF27" s="247">
        <f>PR[[#This Row],[تاريخ. نهاية. المرحله]]+1</f>
        <v>46584</v>
      </c>
      <c r="AG27" s="248">
        <f>PR[[#This Row],[تاريخ بداية.. المرحله..]]+28</f>
        <v>46612</v>
      </c>
      <c r="AH27" s="280">
        <f>PR[[#This Row],[التكلفة (المحدثه)  شاملة الضريبة]]*0.1</f>
        <v>4915808.3999999994</v>
      </c>
      <c r="AI27" s="247">
        <f>PR[[#This Row],[تاريخ ..نهاية المرحله.]]+1</f>
        <v>46613</v>
      </c>
      <c r="AJ27" s="248">
        <f>PR[[#This Row],[.تاريخ بداية المرحله]]+729</f>
        <v>46647</v>
      </c>
      <c r="AK27" s="8" t="s">
        <v>7</v>
      </c>
      <c r="AL27" s="30" t="s">
        <v>157</v>
      </c>
      <c r="AM27" s="28" t="s">
        <v>158</v>
      </c>
      <c r="AN27" s="9" t="s">
        <v>159</v>
      </c>
      <c r="AO27" s="10">
        <v>45610</v>
      </c>
      <c r="AP27" s="9" t="s">
        <v>160</v>
      </c>
      <c r="AQ27" s="10">
        <v>45628</v>
      </c>
      <c r="AR27" s="16" t="s">
        <v>161</v>
      </c>
      <c r="AS27" s="29" t="s">
        <v>146</v>
      </c>
      <c r="AT27" s="28" t="s">
        <v>157</v>
      </c>
      <c r="AU27" s="37">
        <v>49158083.999999993</v>
      </c>
      <c r="AV27" s="38">
        <v>45729</v>
      </c>
      <c r="AW27" s="38"/>
      <c r="AX27" s="9"/>
      <c r="AY27" s="9" t="s">
        <v>167</v>
      </c>
      <c r="AZ27" s="38"/>
      <c r="BA27" s="9"/>
    </row>
    <row r="28" spans="1:53" s="11" customFormat="1" ht="54.75" customHeight="1">
      <c r="A28" s="53" t="s">
        <v>168</v>
      </c>
      <c r="B28" s="57" t="s">
        <v>169</v>
      </c>
      <c r="C28" s="53" t="s">
        <v>68</v>
      </c>
      <c r="D28" s="53" t="s">
        <v>150</v>
      </c>
      <c r="E28" s="53" t="s">
        <v>81</v>
      </c>
      <c r="F28" s="53" t="s">
        <v>81</v>
      </c>
      <c r="G28" s="53" t="s">
        <v>94</v>
      </c>
      <c r="H28" s="54">
        <v>114999999.99999999</v>
      </c>
      <c r="I28" s="54" t="s">
        <v>170</v>
      </c>
      <c r="J28" s="54">
        <f>PR[[#This Row],[التكلفة (المحدثه)  شاملة الضريبة]]-K28</f>
        <v>0</v>
      </c>
      <c r="K28" s="54">
        <v>118480348.5</v>
      </c>
      <c r="L28" s="61">
        <v>118480348.49999999</v>
      </c>
      <c r="M28" s="43" t="s">
        <v>72</v>
      </c>
      <c r="N28" s="69" t="s">
        <v>157</v>
      </c>
      <c r="O28" s="45" t="s">
        <v>142</v>
      </c>
      <c r="P28" s="75" t="s">
        <v>87</v>
      </c>
      <c r="Q28" s="295"/>
      <c r="R28" s="77" t="s">
        <v>7</v>
      </c>
      <c r="S28" s="228">
        <v>45109</v>
      </c>
      <c r="T28" s="229">
        <v>45139</v>
      </c>
      <c r="U28" s="245">
        <v>45139</v>
      </c>
      <c r="V28" s="246">
        <v>45169</v>
      </c>
      <c r="W28" s="228">
        <v>45169</v>
      </c>
      <c r="X28" s="229">
        <v>45312</v>
      </c>
      <c r="Y28" s="245">
        <v>45386</v>
      </c>
      <c r="Z28" s="246">
        <v>45627</v>
      </c>
      <c r="AA28" s="247">
        <v>45729</v>
      </c>
      <c r="AB28" s="248">
        <f>PR[[#This Row],[تاريخ بداية .المرحله]]+188</f>
        <v>45917</v>
      </c>
      <c r="AC28" s="247">
        <f>PR[[#This Row],[تاريخ. نهاية المرحله]]+1</f>
        <v>45918</v>
      </c>
      <c r="AD28" s="248">
        <f>PR[[#This Row],[.تاريخ بداية المرحله]] + ((PR[[#This Row],[مدة المشروع (شهر)]]*30)-55)</f>
        <v>46943</v>
      </c>
      <c r="AE28" s="280">
        <f>PR[[#This Row],[التكلفة (المحدثه)  شاملة الضريبة]]*0.9</f>
        <v>106632313.64999999</v>
      </c>
      <c r="AF28" s="247">
        <f>PR[[#This Row],[تاريخ. نهاية. المرحله]]+1</f>
        <v>46944</v>
      </c>
      <c r="AG28" s="248">
        <f>PR[[#This Row],[تاريخ بداية.. المرحله..]]+28</f>
        <v>46972</v>
      </c>
      <c r="AH28" s="280">
        <f>PR[[#This Row],[التكلفة (المحدثه)  شاملة الضريبة]]*0.1</f>
        <v>11848034.85</v>
      </c>
      <c r="AI28" s="247">
        <f>PR[[#This Row],[تاريخ ..نهاية المرحله.]]+1</f>
        <v>46973</v>
      </c>
      <c r="AJ28" s="248">
        <f>PR[[#This Row],[.تاريخ بداية المرحله]]+1095</f>
        <v>47013</v>
      </c>
      <c r="AK28" s="8" t="s">
        <v>7</v>
      </c>
      <c r="AL28" s="30" t="s">
        <v>157</v>
      </c>
      <c r="AM28" s="28" t="s">
        <v>158</v>
      </c>
      <c r="AN28" s="9" t="s">
        <v>159</v>
      </c>
      <c r="AO28" s="10">
        <v>45644</v>
      </c>
      <c r="AP28" s="9" t="s">
        <v>160</v>
      </c>
      <c r="AQ28" s="10">
        <v>45701</v>
      </c>
      <c r="AR28" s="16" t="s">
        <v>161</v>
      </c>
      <c r="AS28" s="29" t="s">
        <v>146</v>
      </c>
      <c r="AT28" s="28" t="s">
        <v>157</v>
      </c>
      <c r="AU28" s="37">
        <v>118480348.49999999</v>
      </c>
      <c r="AV28" s="38">
        <v>45729</v>
      </c>
      <c r="AW28" s="38"/>
      <c r="AX28" s="9"/>
      <c r="AY28" s="9" t="s">
        <v>171</v>
      </c>
      <c r="AZ28" s="38"/>
      <c r="BA28" s="9"/>
    </row>
    <row r="29" spans="1:53" s="11" customFormat="1" ht="54.75" customHeight="1">
      <c r="A29" s="53" t="s">
        <v>172</v>
      </c>
      <c r="B29" s="57" t="s">
        <v>173</v>
      </c>
      <c r="C29" s="53" t="s">
        <v>68</v>
      </c>
      <c r="D29" s="53" t="s">
        <v>150</v>
      </c>
      <c r="E29" s="53" t="s">
        <v>81</v>
      </c>
      <c r="F29" s="53" t="s">
        <v>166</v>
      </c>
      <c r="G29" s="53" t="s">
        <v>86</v>
      </c>
      <c r="H29" s="54">
        <v>43700000</v>
      </c>
      <c r="I29" s="54" t="s">
        <v>174</v>
      </c>
      <c r="J29" s="54">
        <f>PR[[#This Row],[التكلفة (المحدثه)  شاملة الضريبة]]-K29</f>
        <v>0</v>
      </c>
      <c r="K29" s="54">
        <v>43700000</v>
      </c>
      <c r="L29" s="61">
        <v>43700000</v>
      </c>
      <c r="M29" s="43" t="s">
        <v>72</v>
      </c>
      <c r="N29" s="55" t="s">
        <v>175</v>
      </c>
      <c r="O29" s="45" t="s">
        <v>142</v>
      </c>
      <c r="P29" s="75" t="s">
        <v>87</v>
      </c>
      <c r="Q29" s="295"/>
      <c r="R29" s="77" t="s">
        <v>7</v>
      </c>
      <c r="S29" s="228">
        <v>45109</v>
      </c>
      <c r="T29" s="229">
        <v>45139</v>
      </c>
      <c r="U29" s="245">
        <v>45139</v>
      </c>
      <c r="V29" s="246">
        <v>45169</v>
      </c>
      <c r="W29" s="228">
        <v>45169</v>
      </c>
      <c r="X29" s="229">
        <v>45312</v>
      </c>
      <c r="Y29" s="245">
        <v>45575</v>
      </c>
      <c r="Z29" s="246">
        <v>45645</v>
      </c>
      <c r="AA29" s="247">
        <f>PR[[#This Row],[تاريخ نهاية المرحله--]]+1</f>
        <v>45646</v>
      </c>
      <c r="AB29" s="248">
        <f>PR[[#This Row],[تاريخ بداية .المرحله]]+188</f>
        <v>45834</v>
      </c>
      <c r="AC29" s="247">
        <f>PR[[#This Row],[تاريخ. نهاية المرحله]]+1</f>
        <v>45835</v>
      </c>
      <c r="AD29" s="248">
        <f>PR[[#This Row],[.تاريخ بداية المرحله]] + ((PR[[#This Row],[مدة المشروع (شهر)]]*30)-55)</f>
        <v>46860</v>
      </c>
      <c r="AE29" s="280">
        <f>PR[[#This Row],[التكلفة (المحدثه)  شاملة الضريبة]]*0.9</f>
        <v>39330000</v>
      </c>
      <c r="AF29" s="247">
        <f>PR[[#This Row],[تاريخ. نهاية. المرحله]]+1</f>
        <v>46861</v>
      </c>
      <c r="AG29" s="248">
        <f>PR[[#This Row],[تاريخ بداية.. المرحله..]]+28</f>
        <v>46889</v>
      </c>
      <c r="AH29" s="280">
        <f>PR[[#This Row],[التكلفة (المحدثه)  شاملة الضريبة]]*0.1</f>
        <v>4370000</v>
      </c>
      <c r="AI29" s="247">
        <f>PR[[#This Row],[تاريخ ..نهاية المرحله.]]+1</f>
        <v>46890</v>
      </c>
      <c r="AJ29" s="248">
        <f>PR[[#This Row],[.تاريخ بداية المرحله]]+1095</f>
        <v>46930</v>
      </c>
      <c r="AK29" s="8" t="s">
        <v>7</v>
      </c>
      <c r="AL29" s="30" t="s">
        <v>176</v>
      </c>
      <c r="AM29" s="28" t="s">
        <v>158</v>
      </c>
      <c r="AN29" s="9" t="s">
        <v>76</v>
      </c>
      <c r="AO29" s="10"/>
      <c r="AP29" s="9" t="s">
        <v>160</v>
      </c>
      <c r="AQ29" s="10"/>
      <c r="AR29" s="16" t="s">
        <v>177</v>
      </c>
      <c r="AS29" s="29" t="s">
        <v>146</v>
      </c>
      <c r="AT29" s="28" t="s">
        <v>147</v>
      </c>
      <c r="AU29" s="37">
        <v>0</v>
      </c>
      <c r="AV29" s="38"/>
      <c r="AW29" s="38"/>
      <c r="AX29" s="9"/>
      <c r="AY29" s="9"/>
      <c r="AZ29" s="38"/>
      <c r="BA29" s="9" t="s">
        <v>178</v>
      </c>
    </row>
    <row r="30" spans="1:53" s="11" customFormat="1" ht="54.75" customHeight="1">
      <c r="A30" s="53" t="s">
        <v>179</v>
      </c>
      <c r="B30" s="57" t="s">
        <v>180</v>
      </c>
      <c r="C30" s="53" t="s">
        <v>68</v>
      </c>
      <c r="D30" s="53" t="s">
        <v>150</v>
      </c>
      <c r="E30" s="53" t="s">
        <v>81</v>
      </c>
      <c r="F30" s="53" t="s">
        <v>81</v>
      </c>
      <c r="G30" s="53" t="s">
        <v>94</v>
      </c>
      <c r="H30" s="54">
        <v>114999999.99999999</v>
      </c>
      <c r="I30" s="54" t="s">
        <v>181</v>
      </c>
      <c r="J30" s="54">
        <f>PR[[#This Row],[التكلفة (المحدثه)  شاملة الضريبة]]-K30</f>
        <v>0</v>
      </c>
      <c r="K30" s="54">
        <v>132249724</v>
      </c>
      <c r="L30" s="61">
        <v>132249724</v>
      </c>
      <c r="M30" s="43" t="s">
        <v>72</v>
      </c>
      <c r="N30" s="69" t="s">
        <v>157</v>
      </c>
      <c r="O30" s="45" t="s">
        <v>142</v>
      </c>
      <c r="P30" s="75" t="s">
        <v>87</v>
      </c>
      <c r="Q30" s="295"/>
      <c r="R30" s="77" t="s">
        <v>7</v>
      </c>
      <c r="S30" s="228">
        <v>45109</v>
      </c>
      <c r="T30" s="229">
        <v>45139</v>
      </c>
      <c r="U30" s="245">
        <v>45139</v>
      </c>
      <c r="V30" s="246">
        <v>45169</v>
      </c>
      <c r="W30" s="228">
        <v>45169</v>
      </c>
      <c r="X30" s="229">
        <v>45312</v>
      </c>
      <c r="Y30" s="245">
        <v>45575</v>
      </c>
      <c r="Z30" s="246">
        <v>45638</v>
      </c>
      <c r="AA30" s="247">
        <v>45734</v>
      </c>
      <c r="AB30" s="248">
        <f>PR[[#This Row],[تاريخ بداية .المرحله]]+188</f>
        <v>45922</v>
      </c>
      <c r="AC30" s="247">
        <f>PR[[#This Row],[تاريخ. نهاية المرحله]]+1</f>
        <v>45923</v>
      </c>
      <c r="AD30" s="248">
        <f>PR[[#This Row],[.تاريخ بداية المرحله]] + ((PR[[#This Row],[مدة المشروع (شهر)]]*30)-55)</f>
        <v>46948</v>
      </c>
      <c r="AE30" s="280">
        <f>PR[[#This Row],[التكلفة (المحدثه)  شاملة الضريبة]]*0.9</f>
        <v>119024751.60000001</v>
      </c>
      <c r="AF30" s="247">
        <f>PR[[#This Row],[تاريخ. نهاية. المرحله]]+1</f>
        <v>46949</v>
      </c>
      <c r="AG30" s="248">
        <f>PR[[#This Row],[تاريخ بداية.. المرحله..]]+28</f>
        <v>46977</v>
      </c>
      <c r="AH30" s="280">
        <f>PR[[#This Row],[التكلفة (المحدثه)  شاملة الضريبة]]*0.1</f>
        <v>13224972.4</v>
      </c>
      <c r="AI30" s="247">
        <f>PR[[#This Row],[تاريخ ..نهاية المرحله.]]+1</f>
        <v>46978</v>
      </c>
      <c r="AJ30" s="248">
        <f>PR[[#This Row],[.تاريخ بداية المرحله]]+1095</f>
        <v>47018</v>
      </c>
      <c r="AK30" s="8" t="s">
        <v>7</v>
      </c>
      <c r="AL30" s="30" t="s">
        <v>157</v>
      </c>
      <c r="AM30" s="28" t="s">
        <v>158</v>
      </c>
      <c r="AN30" s="9" t="s">
        <v>159</v>
      </c>
      <c r="AO30" s="10">
        <v>45644</v>
      </c>
      <c r="AP30" s="9" t="s">
        <v>160</v>
      </c>
      <c r="AQ30" s="10">
        <v>45701</v>
      </c>
      <c r="AR30" s="16" t="s">
        <v>161</v>
      </c>
      <c r="AS30" s="29" t="s">
        <v>146</v>
      </c>
      <c r="AT30" s="28" t="s">
        <v>157</v>
      </c>
      <c r="AU30" s="37">
        <v>132249723.99999999</v>
      </c>
      <c r="AV30" s="38">
        <v>45734</v>
      </c>
      <c r="AW30" s="38"/>
      <c r="AX30" s="9"/>
      <c r="AY30" s="9" t="s">
        <v>171</v>
      </c>
      <c r="AZ30" s="38"/>
      <c r="BA30" s="9"/>
    </row>
    <row r="31" spans="1:53" s="11" customFormat="1" ht="54.75" customHeight="1">
      <c r="A31" s="53" t="s">
        <v>182</v>
      </c>
      <c r="B31" s="57" t="s">
        <v>183</v>
      </c>
      <c r="C31" s="53" t="s">
        <v>68</v>
      </c>
      <c r="D31" s="53" t="s">
        <v>150</v>
      </c>
      <c r="E31" s="53" t="s">
        <v>81</v>
      </c>
      <c r="F31" s="53" t="s">
        <v>93</v>
      </c>
      <c r="G31" s="53" t="s">
        <v>94</v>
      </c>
      <c r="H31" s="54">
        <v>46000000</v>
      </c>
      <c r="I31" s="54" t="s">
        <v>184</v>
      </c>
      <c r="J31" s="54">
        <f>PR[[#This Row],[التكلفة (المحدثه)  شاملة الضريبة]]-K31</f>
        <v>0</v>
      </c>
      <c r="K31" s="54">
        <v>88550000</v>
      </c>
      <c r="L31" s="61">
        <v>88550000</v>
      </c>
      <c r="M31" s="43" t="s">
        <v>72</v>
      </c>
      <c r="N31" s="55" t="s">
        <v>157</v>
      </c>
      <c r="O31" s="45" t="s">
        <v>142</v>
      </c>
      <c r="P31" s="75" t="s">
        <v>75</v>
      </c>
      <c r="Q31" s="295"/>
      <c r="R31" s="77" t="s">
        <v>7</v>
      </c>
      <c r="S31" s="228">
        <v>45109</v>
      </c>
      <c r="T31" s="229">
        <v>45139</v>
      </c>
      <c r="U31" s="245">
        <v>45139</v>
      </c>
      <c r="V31" s="246">
        <v>45169</v>
      </c>
      <c r="W31" s="228">
        <v>45169</v>
      </c>
      <c r="X31" s="229">
        <v>45312</v>
      </c>
      <c r="Y31" s="245">
        <v>45575</v>
      </c>
      <c r="Z31" s="246">
        <v>45641</v>
      </c>
      <c r="AA31" s="247">
        <v>45707</v>
      </c>
      <c r="AB31" s="248">
        <f>PR[[#This Row],[تاريخ بداية .المرحله]]+188</f>
        <v>45895</v>
      </c>
      <c r="AC31" s="247">
        <f>PR[[#This Row],[تاريخ. نهاية المرحله]]+1</f>
        <v>45896</v>
      </c>
      <c r="AD31" s="248">
        <f>PR[[#This Row],[.تاريخ بداية المرحله]] + ((PR[[#This Row],[مدة المشروع (شهر)]]*30)-55)</f>
        <v>46561</v>
      </c>
      <c r="AE31" s="280">
        <f>PR[[#This Row],[التكلفة (المحدثه)  شاملة الضريبة]]*0.9</f>
        <v>79695000</v>
      </c>
      <c r="AF31" s="247">
        <f>PR[[#This Row],[تاريخ. نهاية. المرحله]]+1</f>
        <v>46562</v>
      </c>
      <c r="AG31" s="248">
        <f>PR[[#This Row],[تاريخ بداية.. المرحله..]]+28</f>
        <v>46590</v>
      </c>
      <c r="AH31" s="280">
        <f>PR[[#This Row],[التكلفة (المحدثه)  شاملة الضريبة]]*0.1</f>
        <v>8855000</v>
      </c>
      <c r="AI31" s="247">
        <f>PR[[#This Row],[تاريخ ..نهاية المرحله.]]+1</f>
        <v>46591</v>
      </c>
      <c r="AJ31" s="248">
        <f>PR[[#This Row],[.تاريخ بداية المرحله]]+729</f>
        <v>46625</v>
      </c>
      <c r="AK31" s="8" t="s">
        <v>7</v>
      </c>
      <c r="AL31" s="28" t="s">
        <v>157</v>
      </c>
      <c r="AM31" s="28" t="s">
        <v>158</v>
      </c>
      <c r="AN31" s="9" t="s">
        <v>159</v>
      </c>
      <c r="AO31" s="10">
        <v>45651</v>
      </c>
      <c r="AP31" s="9" t="s">
        <v>160</v>
      </c>
      <c r="AQ31" s="10">
        <v>45673</v>
      </c>
      <c r="AR31" s="183" t="s">
        <v>157</v>
      </c>
      <c r="AS31" s="29" t="s">
        <v>146</v>
      </c>
      <c r="AT31" s="28" t="s">
        <v>185</v>
      </c>
      <c r="AU31" s="37">
        <v>0</v>
      </c>
      <c r="AV31" s="38">
        <v>45707</v>
      </c>
      <c r="AW31" s="38"/>
      <c r="AX31" s="9"/>
      <c r="AY31" s="9"/>
      <c r="AZ31" s="38"/>
      <c r="BA31" s="9"/>
    </row>
    <row r="32" spans="1:53" s="11" customFormat="1" ht="54.75" customHeight="1">
      <c r="A32" s="53" t="s">
        <v>186</v>
      </c>
      <c r="B32" s="57" t="s">
        <v>187</v>
      </c>
      <c r="C32" s="53" t="s">
        <v>68</v>
      </c>
      <c r="D32" s="53" t="s">
        <v>150</v>
      </c>
      <c r="E32" s="53" t="s">
        <v>81</v>
      </c>
      <c r="F32" s="53" t="s">
        <v>93</v>
      </c>
      <c r="G32" s="53" t="s">
        <v>94</v>
      </c>
      <c r="H32" s="54">
        <v>46158700</v>
      </c>
      <c r="I32" s="54" t="s">
        <v>184</v>
      </c>
      <c r="J32" s="54">
        <f>PR[[#This Row],[التكلفة (المحدثه)  شاملة الضريبة]]-K32</f>
        <v>0</v>
      </c>
      <c r="K32" s="54">
        <v>153703250</v>
      </c>
      <c r="L32" s="61">
        <v>153703250</v>
      </c>
      <c r="M32" s="43" t="s">
        <v>72</v>
      </c>
      <c r="N32" s="69" t="s">
        <v>157</v>
      </c>
      <c r="O32" s="45" t="s">
        <v>142</v>
      </c>
      <c r="P32" s="75" t="s">
        <v>75</v>
      </c>
      <c r="Q32" s="295"/>
      <c r="R32" s="77" t="s">
        <v>7</v>
      </c>
      <c r="S32" s="228">
        <v>45109</v>
      </c>
      <c r="T32" s="229">
        <v>45139</v>
      </c>
      <c r="U32" s="245">
        <v>45139</v>
      </c>
      <c r="V32" s="246">
        <v>45169</v>
      </c>
      <c r="W32" s="228">
        <v>45169</v>
      </c>
      <c r="X32" s="229">
        <v>45312</v>
      </c>
      <c r="Y32" s="245">
        <v>45575</v>
      </c>
      <c r="Z32" s="246">
        <v>45641</v>
      </c>
      <c r="AA32" s="247">
        <v>45707</v>
      </c>
      <c r="AB32" s="248">
        <f>PR[[#This Row],[تاريخ بداية .المرحله]]+188</f>
        <v>45895</v>
      </c>
      <c r="AC32" s="247">
        <f>PR[[#This Row],[تاريخ. نهاية المرحله]]+1</f>
        <v>45896</v>
      </c>
      <c r="AD32" s="248">
        <f>PR[[#This Row],[.تاريخ بداية المرحله]] + ((PR[[#This Row],[مدة المشروع (شهر)]]*30)-55)</f>
        <v>46561</v>
      </c>
      <c r="AE32" s="280">
        <f>PR[[#This Row],[التكلفة (المحدثه)  شاملة الضريبة]]*0.9</f>
        <v>138332925</v>
      </c>
      <c r="AF32" s="247">
        <f>PR[[#This Row],[تاريخ. نهاية. المرحله]]+1</f>
        <v>46562</v>
      </c>
      <c r="AG32" s="248">
        <f>PR[[#This Row],[تاريخ بداية.. المرحله..]]+28</f>
        <v>46590</v>
      </c>
      <c r="AH32" s="280">
        <f>PR[[#This Row],[التكلفة (المحدثه)  شاملة الضريبة]]*0.1</f>
        <v>15370325</v>
      </c>
      <c r="AI32" s="247">
        <f>PR[[#This Row],[تاريخ ..نهاية المرحله.]]+1</f>
        <v>46591</v>
      </c>
      <c r="AJ32" s="248">
        <f>PR[[#This Row],[.تاريخ بداية المرحله]]+729</f>
        <v>46625</v>
      </c>
      <c r="AK32" s="8" t="s">
        <v>7</v>
      </c>
      <c r="AL32" s="30" t="s">
        <v>157</v>
      </c>
      <c r="AM32" s="28" t="s">
        <v>158</v>
      </c>
      <c r="AN32" s="9" t="s">
        <v>159</v>
      </c>
      <c r="AO32" s="10">
        <v>45651</v>
      </c>
      <c r="AP32" s="9" t="s">
        <v>160</v>
      </c>
      <c r="AQ32" s="10">
        <v>45673</v>
      </c>
      <c r="AR32" s="185" t="s">
        <v>161</v>
      </c>
      <c r="AS32" s="29" t="s">
        <v>146</v>
      </c>
      <c r="AT32" s="28" t="s">
        <v>157</v>
      </c>
      <c r="AU32" s="37">
        <v>153703250</v>
      </c>
      <c r="AV32" s="38">
        <v>45707</v>
      </c>
      <c r="AW32" s="38"/>
      <c r="AX32" s="9"/>
      <c r="AY32" s="9" t="s">
        <v>188</v>
      </c>
      <c r="AZ32" s="38"/>
      <c r="BA32" s="9"/>
    </row>
    <row r="33" spans="1:53" s="11" customFormat="1" ht="54.75" customHeight="1">
      <c r="A33" s="53" t="s">
        <v>189</v>
      </c>
      <c r="B33" s="57" t="s">
        <v>190</v>
      </c>
      <c r="C33" s="53" t="s">
        <v>68</v>
      </c>
      <c r="D33" s="53" t="s">
        <v>150</v>
      </c>
      <c r="E33" s="53" t="s">
        <v>81</v>
      </c>
      <c r="F33" s="53" t="s">
        <v>191</v>
      </c>
      <c r="G33" s="53" t="s">
        <v>94</v>
      </c>
      <c r="H33" s="54">
        <v>69000000</v>
      </c>
      <c r="I33" s="54" t="s">
        <v>181</v>
      </c>
      <c r="J33" s="54">
        <f>PR[[#This Row],[التكلفة (المحدثه)  شاملة الضريبة]]-K33</f>
        <v>0</v>
      </c>
      <c r="K33" s="54">
        <v>82587652.5</v>
      </c>
      <c r="L33" s="61">
        <v>82587652.5</v>
      </c>
      <c r="M33" s="43" t="s">
        <v>72</v>
      </c>
      <c r="N33" s="55" t="s">
        <v>157</v>
      </c>
      <c r="O33" s="45" t="s">
        <v>142</v>
      </c>
      <c r="P33" s="75" t="s">
        <v>75</v>
      </c>
      <c r="Q33" s="295"/>
      <c r="R33" s="77" t="s">
        <v>7</v>
      </c>
      <c r="S33" s="228">
        <v>45109</v>
      </c>
      <c r="T33" s="229">
        <v>45139</v>
      </c>
      <c r="U33" s="245">
        <v>45139</v>
      </c>
      <c r="V33" s="246">
        <v>45169</v>
      </c>
      <c r="W33" s="228">
        <v>45169</v>
      </c>
      <c r="X33" s="229">
        <v>45312</v>
      </c>
      <c r="Y33" s="245">
        <v>45575</v>
      </c>
      <c r="Z33" s="246">
        <v>45643</v>
      </c>
      <c r="AA33" s="247">
        <v>45729</v>
      </c>
      <c r="AB33" s="248">
        <f>PR[[#This Row],[تاريخ بداية .المرحله]]+188</f>
        <v>45917</v>
      </c>
      <c r="AC33" s="247">
        <f>PR[[#This Row],[تاريخ. نهاية المرحله]]+1</f>
        <v>45918</v>
      </c>
      <c r="AD33" s="248">
        <f>PR[[#This Row],[.تاريخ بداية المرحله]] + ((PR[[#This Row],[مدة المشروع (شهر)]]*30)-55)</f>
        <v>46583</v>
      </c>
      <c r="AE33" s="280">
        <f>PR[[#This Row],[التكلفة (المحدثه)  شاملة الضريبة]]*0.9</f>
        <v>74328887.25</v>
      </c>
      <c r="AF33" s="247">
        <f>PR[[#This Row],[تاريخ. نهاية. المرحله]]+1</f>
        <v>46584</v>
      </c>
      <c r="AG33" s="248">
        <f>PR[[#This Row],[تاريخ بداية.. المرحله..]]+28</f>
        <v>46612</v>
      </c>
      <c r="AH33" s="280">
        <f>PR[[#This Row],[التكلفة (المحدثه)  شاملة الضريبة]]*0.1</f>
        <v>8258765.25</v>
      </c>
      <c r="AI33" s="247">
        <f>PR[[#This Row],[تاريخ ..نهاية المرحله.]]+1</f>
        <v>46613</v>
      </c>
      <c r="AJ33" s="248">
        <f>PR[[#This Row],[.تاريخ بداية المرحله]]+729</f>
        <v>46647</v>
      </c>
      <c r="AK33" s="8" t="s">
        <v>7</v>
      </c>
      <c r="AL33" s="28" t="s">
        <v>157</v>
      </c>
      <c r="AM33" s="28" t="s">
        <v>158</v>
      </c>
      <c r="AN33" s="9" t="s">
        <v>159</v>
      </c>
      <c r="AO33" s="10">
        <v>45651</v>
      </c>
      <c r="AP33" s="9" t="s">
        <v>160</v>
      </c>
      <c r="AQ33" s="10">
        <v>45673</v>
      </c>
      <c r="AR33" s="183" t="s">
        <v>157</v>
      </c>
      <c r="AS33" s="29" t="s">
        <v>146</v>
      </c>
      <c r="AT33" s="28" t="s">
        <v>185</v>
      </c>
      <c r="AU33" s="37">
        <v>0</v>
      </c>
      <c r="AV33" s="38">
        <v>45729</v>
      </c>
      <c r="AW33" s="38"/>
      <c r="AX33" s="9"/>
      <c r="AY33" s="9"/>
      <c r="AZ33" s="38"/>
      <c r="BA33" s="9"/>
    </row>
    <row r="34" spans="1:53" s="11" customFormat="1" ht="54.75" customHeight="1">
      <c r="A34" s="53" t="s">
        <v>192</v>
      </c>
      <c r="B34" s="57" t="s">
        <v>193</v>
      </c>
      <c r="C34" s="53" t="s">
        <v>68</v>
      </c>
      <c r="D34" s="53" t="s">
        <v>150</v>
      </c>
      <c r="E34" s="53" t="s">
        <v>81</v>
      </c>
      <c r="F34" s="53" t="s">
        <v>194</v>
      </c>
      <c r="G34" s="53" t="s">
        <v>86</v>
      </c>
      <c r="H34" s="54">
        <v>34000000</v>
      </c>
      <c r="I34" s="54" t="s">
        <v>174</v>
      </c>
      <c r="J34" s="54">
        <f>PR[[#This Row],[التكلفة (المحدثه)  شاملة الضريبة]]-K34</f>
        <v>0</v>
      </c>
      <c r="K34" s="54">
        <v>56525881</v>
      </c>
      <c r="L34" s="61">
        <v>56525880.999999993</v>
      </c>
      <c r="M34" s="43" t="s">
        <v>72</v>
      </c>
      <c r="N34" s="69" t="s">
        <v>157</v>
      </c>
      <c r="O34" s="45" t="s">
        <v>142</v>
      </c>
      <c r="P34" s="75" t="s">
        <v>87</v>
      </c>
      <c r="Q34" s="295"/>
      <c r="R34" s="77" t="s">
        <v>7</v>
      </c>
      <c r="S34" s="228">
        <v>45109</v>
      </c>
      <c r="T34" s="229">
        <v>45139</v>
      </c>
      <c r="U34" s="245">
        <v>45139</v>
      </c>
      <c r="V34" s="246">
        <v>45169</v>
      </c>
      <c r="W34" s="228">
        <v>45169</v>
      </c>
      <c r="X34" s="229">
        <v>45312</v>
      </c>
      <c r="Y34" s="245">
        <v>45575</v>
      </c>
      <c r="Z34" s="246">
        <v>45643</v>
      </c>
      <c r="AA34" s="247">
        <v>45706</v>
      </c>
      <c r="AB34" s="248">
        <f>PR[[#This Row],[تاريخ بداية .المرحله]]+188</f>
        <v>45894</v>
      </c>
      <c r="AC34" s="247">
        <f>PR[[#This Row],[تاريخ. نهاية المرحله]]+1</f>
        <v>45895</v>
      </c>
      <c r="AD34" s="248">
        <f>PR[[#This Row],[.تاريخ بداية المرحله]] + ((PR[[#This Row],[مدة المشروع (شهر)]]*30)-55)</f>
        <v>46920</v>
      </c>
      <c r="AE34" s="280">
        <f>PR[[#This Row],[التكلفة (المحدثه)  شاملة الضريبة]]*0.9</f>
        <v>50873292.899999991</v>
      </c>
      <c r="AF34" s="247">
        <f>PR[[#This Row],[تاريخ. نهاية. المرحله]]+1</f>
        <v>46921</v>
      </c>
      <c r="AG34" s="248">
        <f>PR[[#This Row],[تاريخ بداية.. المرحله..]]+28</f>
        <v>46949</v>
      </c>
      <c r="AH34" s="280">
        <f>PR[[#This Row],[التكلفة (المحدثه)  شاملة الضريبة]]*0.1</f>
        <v>5652588.0999999996</v>
      </c>
      <c r="AI34" s="247">
        <f>PR[[#This Row],[تاريخ ..نهاية المرحله.]]+1</f>
        <v>46950</v>
      </c>
      <c r="AJ34" s="248">
        <f>PR[[#This Row],[.تاريخ بداية المرحله]]+1095</f>
        <v>46990</v>
      </c>
      <c r="AK34" s="8" t="s">
        <v>7</v>
      </c>
      <c r="AL34" s="30" t="s">
        <v>157</v>
      </c>
      <c r="AM34" s="28" t="s">
        <v>158</v>
      </c>
      <c r="AN34" s="9" t="s">
        <v>159</v>
      </c>
      <c r="AO34" s="10">
        <v>45651</v>
      </c>
      <c r="AP34" s="9" t="s">
        <v>160</v>
      </c>
      <c r="AQ34" s="10">
        <v>45673</v>
      </c>
      <c r="AR34" s="16" t="s">
        <v>161</v>
      </c>
      <c r="AS34" s="29" t="s">
        <v>146</v>
      </c>
      <c r="AT34" s="28" t="s">
        <v>157</v>
      </c>
      <c r="AU34" s="37">
        <v>56525880.999999993</v>
      </c>
      <c r="AV34" s="38">
        <v>45706</v>
      </c>
      <c r="AW34" s="38"/>
      <c r="AX34" s="9"/>
      <c r="AY34" s="9" t="s">
        <v>195</v>
      </c>
      <c r="AZ34" s="38"/>
      <c r="BA34" s="9"/>
    </row>
    <row r="35" spans="1:53" s="11" customFormat="1" ht="54.75" customHeight="1">
      <c r="A35" s="53" t="s">
        <v>196</v>
      </c>
      <c r="B35" s="57" t="s">
        <v>197</v>
      </c>
      <c r="C35" s="53" t="s">
        <v>68</v>
      </c>
      <c r="D35" s="53" t="s">
        <v>150</v>
      </c>
      <c r="E35" s="53" t="s">
        <v>81</v>
      </c>
      <c r="F35" s="53" t="s">
        <v>107</v>
      </c>
      <c r="G35" s="53" t="s">
        <v>86</v>
      </c>
      <c r="H35" s="54">
        <v>74750000</v>
      </c>
      <c r="I35" s="54" t="s">
        <v>198</v>
      </c>
      <c r="J35" s="54">
        <f>PR[[#This Row],[التكلفة (المحدثه)  شاملة الضريبة]]-K35</f>
        <v>0</v>
      </c>
      <c r="K35" s="54">
        <v>172333443.19999999</v>
      </c>
      <c r="L35" s="61">
        <v>172333443.19999999</v>
      </c>
      <c r="M35" s="43" t="s">
        <v>72</v>
      </c>
      <c r="N35" s="55" t="s">
        <v>199</v>
      </c>
      <c r="O35" s="45" t="s">
        <v>142</v>
      </c>
      <c r="P35" s="75" t="s">
        <v>87</v>
      </c>
      <c r="Q35" s="295"/>
      <c r="R35" s="77" t="s">
        <v>7</v>
      </c>
      <c r="S35" s="228">
        <v>45109</v>
      </c>
      <c r="T35" s="229">
        <v>45139</v>
      </c>
      <c r="U35" s="245">
        <v>45139</v>
      </c>
      <c r="V35" s="246">
        <v>45169</v>
      </c>
      <c r="W35" s="228">
        <v>45169</v>
      </c>
      <c r="X35" s="229">
        <v>45312</v>
      </c>
      <c r="Y35" s="245">
        <v>45575</v>
      </c>
      <c r="Z35" s="246">
        <v>45683</v>
      </c>
      <c r="AA35" s="247">
        <v>45707</v>
      </c>
      <c r="AB35" s="248">
        <f>PR[[#This Row],[تاريخ بداية .المرحله]]+188</f>
        <v>45895</v>
      </c>
      <c r="AC35" s="247">
        <f>PR[[#This Row],[تاريخ. نهاية المرحله]]+1</f>
        <v>45896</v>
      </c>
      <c r="AD35" s="248">
        <f>PR[[#This Row],[.تاريخ بداية المرحله]] + ((PR[[#This Row],[مدة المشروع (شهر)]]*30)-55)</f>
        <v>46921</v>
      </c>
      <c r="AE35" s="280">
        <f>PR[[#This Row],[التكلفة (المحدثه)  شاملة الضريبة]]*0.9</f>
        <v>155100098.88</v>
      </c>
      <c r="AF35" s="247">
        <f>PR[[#This Row],[تاريخ. نهاية. المرحله]]+1</f>
        <v>46922</v>
      </c>
      <c r="AG35" s="248">
        <f>PR[[#This Row],[تاريخ بداية.. المرحله..]]+28</f>
        <v>46950</v>
      </c>
      <c r="AH35" s="280">
        <f>PR[[#This Row],[التكلفة (المحدثه)  شاملة الضريبة]]*0.1</f>
        <v>17233344.32</v>
      </c>
      <c r="AI35" s="247">
        <f>PR[[#This Row],[تاريخ ..نهاية المرحله.]]+1</f>
        <v>46951</v>
      </c>
      <c r="AJ35" s="248">
        <f>PR[[#This Row],[.تاريخ بداية المرحله]]+1095</f>
        <v>46991</v>
      </c>
      <c r="AK35" s="8" t="s">
        <v>7</v>
      </c>
      <c r="AL35" s="28" t="s">
        <v>199</v>
      </c>
      <c r="AM35" s="28" t="s">
        <v>158</v>
      </c>
      <c r="AN35" s="9" t="s">
        <v>159</v>
      </c>
      <c r="AO35" s="10">
        <v>45697</v>
      </c>
      <c r="AP35" s="9" t="s">
        <v>160</v>
      </c>
      <c r="AQ35" s="10">
        <v>45779</v>
      </c>
      <c r="AR35" s="40" t="s">
        <v>200</v>
      </c>
      <c r="AS35" s="29" t="s">
        <v>146</v>
      </c>
      <c r="AT35" s="28" t="s">
        <v>201</v>
      </c>
      <c r="AU35" s="37">
        <v>0</v>
      </c>
      <c r="AV35" s="38">
        <v>45707</v>
      </c>
      <c r="AW35" s="38"/>
      <c r="AX35" s="9"/>
      <c r="AY35" s="9"/>
      <c r="AZ35" s="38"/>
      <c r="BA35" s="9" t="s">
        <v>202</v>
      </c>
    </row>
    <row r="36" spans="1:53" s="11" customFormat="1" ht="54.75" customHeight="1">
      <c r="A36" s="53" t="s">
        <v>203</v>
      </c>
      <c r="B36" s="57" t="s">
        <v>204</v>
      </c>
      <c r="C36" s="53" t="s">
        <v>68</v>
      </c>
      <c r="D36" s="53" t="s">
        <v>150</v>
      </c>
      <c r="E36" s="53" t="s">
        <v>81</v>
      </c>
      <c r="F36" s="53" t="s">
        <v>81</v>
      </c>
      <c r="G36" s="53" t="s">
        <v>86</v>
      </c>
      <c r="H36" s="54">
        <v>48299999.999999993</v>
      </c>
      <c r="I36" s="54" t="s">
        <v>174</v>
      </c>
      <c r="J36" s="54">
        <f>PR[[#This Row],[التكلفة (المحدثه)  شاملة الضريبة]]-K36</f>
        <v>0</v>
      </c>
      <c r="K36" s="54">
        <v>55680637.899999999</v>
      </c>
      <c r="L36" s="61">
        <v>55680637.899999999</v>
      </c>
      <c r="M36" s="43" t="s">
        <v>72</v>
      </c>
      <c r="N36" s="69" t="s">
        <v>157</v>
      </c>
      <c r="O36" s="45" t="s">
        <v>142</v>
      </c>
      <c r="P36" s="75" t="s">
        <v>87</v>
      </c>
      <c r="Q36" s="295"/>
      <c r="R36" s="77" t="s">
        <v>7</v>
      </c>
      <c r="S36" s="228">
        <v>45109</v>
      </c>
      <c r="T36" s="229">
        <v>45139</v>
      </c>
      <c r="U36" s="245">
        <v>45139</v>
      </c>
      <c r="V36" s="246">
        <v>45169</v>
      </c>
      <c r="W36" s="228">
        <v>45169</v>
      </c>
      <c r="X36" s="229">
        <v>45312</v>
      </c>
      <c r="Y36" s="245">
        <v>45575</v>
      </c>
      <c r="Z36" s="246">
        <v>45664</v>
      </c>
      <c r="AA36" s="247">
        <v>45707</v>
      </c>
      <c r="AB36" s="248">
        <f>PR[[#This Row],[تاريخ بداية .المرحله]]+188</f>
        <v>45895</v>
      </c>
      <c r="AC36" s="247">
        <f>PR[[#This Row],[تاريخ. نهاية المرحله]]+1</f>
        <v>45896</v>
      </c>
      <c r="AD36" s="248">
        <f>PR[[#This Row],[.تاريخ بداية المرحله]] + ((PR[[#This Row],[مدة المشروع (شهر)]]*30)-55)</f>
        <v>46921</v>
      </c>
      <c r="AE36" s="280">
        <f>PR[[#This Row],[التكلفة (المحدثه)  شاملة الضريبة]]*0.9</f>
        <v>50112574.109999999</v>
      </c>
      <c r="AF36" s="247">
        <f>PR[[#This Row],[تاريخ. نهاية. المرحله]]+1</f>
        <v>46922</v>
      </c>
      <c r="AG36" s="248">
        <f>PR[[#This Row],[تاريخ بداية.. المرحله..]]+28</f>
        <v>46950</v>
      </c>
      <c r="AH36" s="280">
        <f>PR[[#This Row],[التكلفة (المحدثه)  شاملة الضريبة]]*0.1</f>
        <v>5568063.79</v>
      </c>
      <c r="AI36" s="247">
        <f>PR[[#This Row],[تاريخ ..نهاية المرحله.]]+1</f>
        <v>46951</v>
      </c>
      <c r="AJ36" s="248">
        <f>PR[[#This Row],[.تاريخ بداية المرحله]]+1095</f>
        <v>46991</v>
      </c>
      <c r="AK36" s="8" t="s">
        <v>7</v>
      </c>
      <c r="AL36" s="30" t="s">
        <v>157</v>
      </c>
      <c r="AM36" s="28" t="s">
        <v>158</v>
      </c>
      <c r="AN36" s="9" t="s">
        <v>159</v>
      </c>
      <c r="AO36" s="10">
        <v>45697</v>
      </c>
      <c r="AP36" s="9" t="s">
        <v>160</v>
      </c>
      <c r="AQ36" s="10">
        <v>45779</v>
      </c>
      <c r="AR36" s="16" t="s">
        <v>161</v>
      </c>
      <c r="AS36" s="29" t="s">
        <v>146</v>
      </c>
      <c r="AT36" s="28" t="s">
        <v>157</v>
      </c>
      <c r="AU36" s="37">
        <v>55680637.899999999</v>
      </c>
      <c r="AV36" s="38">
        <v>45707</v>
      </c>
      <c r="AW36" s="38"/>
      <c r="AX36" s="9"/>
      <c r="AY36" s="9" t="s">
        <v>162</v>
      </c>
      <c r="AZ36" s="38"/>
      <c r="BA36" s="9"/>
    </row>
    <row r="37" spans="1:53" s="11" customFormat="1" ht="54.75" customHeight="1">
      <c r="A37" s="53" t="s">
        <v>205</v>
      </c>
      <c r="B37" s="57" t="s">
        <v>206</v>
      </c>
      <c r="C37" s="53" t="s">
        <v>68</v>
      </c>
      <c r="D37" s="53" t="s">
        <v>165</v>
      </c>
      <c r="E37" s="53" t="s">
        <v>81</v>
      </c>
      <c r="F37" s="53" t="s">
        <v>114</v>
      </c>
      <c r="G37" s="53" t="s">
        <v>86</v>
      </c>
      <c r="H37" s="54">
        <v>57282649.999999993</v>
      </c>
      <c r="I37" s="54" t="e">
        <v>#N/A</v>
      </c>
      <c r="J37" s="54">
        <f>PR[[#This Row],[التكلفة (المحدثه)  شاملة الضريبة]]-K37</f>
        <v>-5.0000026822090149E-3</v>
      </c>
      <c r="K37" s="54">
        <v>34688953.630000003</v>
      </c>
      <c r="L37" s="61">
        <v>34688953.625</v>
      </c>
      <c r="M37" s="43" t="s">
        <v>72</v>
      </c>
      <c r="N37" s="70" t="s">
        <v>207</v>
      </c>
      <c r="O37" s="45" t="s">
        <v>142</v>
      </c>
      <c r="P37" s="75" t="s">
        <v>75</v>
      </c>
      <c r="Q37" s="295"/>
      <c r="R37" s="77" t="s">
        <v>7</v>
      </c>
      <c r="S37" s="228">
        <v>45109</v>
      </c>
      <c r="T37" s="229">
        <v>45139</v>
      </c>
      <c r="U37" s="245">
        <v>45600</v>
      </c>
      <c r="V37" s="246">
        <v>45630</v>
      </c>
      <c r="W37" s="228">
        <f>PR[[#This Row],[تاريخ نهاية المرحله…]]+1</f>
        <v>45631</v>
      </c>
      <c r="X37" s="229">
        <f>PR[[#This Row],[تاريخ بداية المرحله-.]]-1</f>
        <v>45660</v>
      </c>
      <c r="Y37" s="245">
        <v>45661</v>
      </c>
      <c r="Z37" s="246">
        <v>45690</v>
      </c>
      <c r="AA37" s="247">
        <v>45810</v>
      </c>
      <c r="AB37" s="248">
        <f>PR[[#This Row],[تاريخ بداية .المرحله]]+188</f>
        <v>45998</v>
      </c>
      <c r="AC37" s="247">
        <f>PR[[#This Row],[تاريخ. نهاية المرحله]]+1</f>
        <v>45999</v>
      </c>
      <c r="AD37" s="248">
        <f>PR[[#This Row],[.تاريخ بداية المرحله]] + ((PR[[#This Row],[مدة المشروع (شهر)]]*30)-55)</f>
        <v>46664</v>
      </c>
      <c r="AE37" s="280">
        <f>PR[[#This Row],[التكلفة (المحدثه)  شاملة الضريبة]]*0.9</f>
        <v>31220058.262499999</v>
      </c>
      <c r="AF37" s="247">
        <f>PR[[#This Row],[تاريخ. نهاية. المرحله]]+1</f>
        <v>46665</v>
      </c>
      <c r="AG37" s="248">
        <f>PR[[#This Row],[تاريخ بداية.. المرحله..]]+28</f>
        <v>46693</v>
      </c>
      <c r="AH37" s="280">
        <f>PR[[#This Row],[التكلفة (المحدثه)  شاملة الضريبة]]*0.1</f>
        <v>3468895.3625000003</v>
      </c>
      <c r="AI37" s="247">
        <f>PR[[#This Row],[تاريخ ..نهاية المرحله.]]+1</f>
        <v>46694</v>
      </c>
      <c r="AJ37" s="248">
        <f>PR[[#This Row],[.تاريخ بداية المرحله]]+729</f>
        <v>46728</v>
      </c>
      <c r="AK37" s="8" t="s">
        <v>7</v>
      </c>
      <c r="AL37" s="28" t="s">
        <v>208</v>
      </c>
      <c r="AM37" s="28" t="s">
        <v>158</v>
      </c>
      <c r="AN37" s="9" t="s">
        <v>159</v>
      </c>
      <c r="AO37" s="10">
        <v>45754</v>
      </c>
      <c r="AP37" s="9">
        <v>9002250193</v>
      </c>
      <c r="AQ37" s="10">
        <v>45802</v>
      </c>
      <c r="AR37" s="28" t="s">
        <v>208</v>
      </c>
      <c r="AS37" s="29" t="s">
        <v>146</v>
      </c>
      <c r="AT37" s="28" t="s">
        <v>209</v>
      </c>
      <c r="AU37" s="37">
        <v>21792498.849999998</v>
      </c>
      <c r="AV37" s="38">
        <v>45810</v>
      </c>
      <c r="AW37" s="38"/>
      <c r="AX37" s="9"/>
      <c r="AY37" s="9"/>
      <c r="AZ37" s="38"/>
      <c r="BA37" s="9" t="s">
        <v>178</v>
      </c>
    </row>
    <row r="38" spans="1:53" s="11" customFormat="1" ht="54.75" customHeight="1">
      <c r="A38" s="56" t="s">
        <v>210</v>
      </c>
      <c r="B38" s="57" t="s">
        <v>211</v>
      </c>
      <c r="C38" s="53" t="s">
        <v>68</v>
      </c>
      <c r="D38" s="53" t="s">
        <v>150</v>
      </c>
      <c r="E38" s="53" t="s">
        <v>81</v>
      </c>
      <c r="F38" s="53" t="s">
        <v>107</v>
      </c>
      <c r="G38" s="53" t="s">
        <v>86</v>
      </c>
      <c r="H38" s="54">
        <v>34500000</v>
      </c>
      <c r="I38" s="54" t="s">
        <v>198</v>
      </c>
      <c r="J38" s="54">
        <f>PR[[#This Row],[التكلفة (المحدثه)  شاملة الضريبة]]-K38</f>
        <v>0</v>
      </c>
      <c r="K38" s="54">
        <v>116758476.5</v>
      </c>
      <c r="L38" s="61">
        <v>116758476.5</v>
      </c>
      <c r="M38" s="43" t="s">
        <v>72</v>
      </c>
      <c r="N38" s="55" t="s">
        <v>212</v>
      </c>
      <c r="O38" s="45" t="s">
        <v>142</v>
      </c>
      <c r="P38" s="75" t="s">
        <v>87</v>
      </c>
      <c r="Q38" s="295"/>
      <c r="R38" s="77" t="s">
        <v>7</v>
      </c>
      <c r="S38" s="228">
        <v>45109</v>
      </c>
      <c r="T38" s="229">
        <v>45139</v>
      </c>
      <c r="U38" s="245">
        <v>45139</v>
      </c>
      <c r="V38" s="246">
        <v>45169</v>
      </c>
      <c r="W38" s="228">
        <v>45169</v>
      </c>
      <c r="X38" s="229">
        <v>45312</v>
      </c>
      <c r="Y38" s="245">
        <v>45575</v>
      </c>
      <c r="Z38" s="246">
        <v>45693</v>
      </c>
      <c r="AA38" s="247">
        <v>45847</v>
      </c>
      <c r="AB38" s="248">
        <f>PR[[#This Row],[تاريخ بداية .المرحله]]+188</f>
        <v>46035</v>
      </c>
      <c r="AC38" s="247">
        <f>PR[[#This Row],[تاريخ. نهاية المرحله]]+1</f>
        <v>46036</v>
      </c>
      <c r="AD38" s="248">
        <f>PR[[#This Row],[.تاريخ بداية المرحله]] + ((PR[[#This Row],[مدة المشروع (شهر)]]*30)-55)</f>
        <v>47061</v>
      </c>
      <c r="AE38" s="280">
        <f>PR[[#This Row],[التكلفة (المحدثه)  شاملة الضريبة]]*0.9</f>
        <v>105082628.85000001</v>
      </c>
      <c r="AF38" s="247">
        <f>PR[[#This Row],[تاريخ. نهاية. المرحله]]+1</f>
        <v>47062</v>
      </c>
      <c r="AG38" s="248">
        <f>PR[[#This Row],[تاريخ بداية.. المرحله..]]+28</f>
        <v>47090</v>
      </c>
      <c r="AH38" s="280">
        <f>PR[[#This Row],[التكلفة (المحدثه)  شاملة الضريبة]]*0.1</f>
        <v>11675847.65</v>
      </c>
      <c r="AI38" s="247">
        <f>PR[[#This Row],[تاريخ ..نهاية المرحله.]]+1</f>
        <v>47091</v>
      </c>
      <c r="AJ38" s="248">
        <f>PR[[#This Row],[.تاريخ بداية المرحله]]+1095</f>
        <v>47131</v>
      </c>
      <c r="AK38" s="8" t="s">
        <v>7</v>
      </c>
      <c r="AL38" s="28" t="s">
        <v>212</v>
      </c>
      <c r="AM38" s="28" t="s">
        <v>158</v>
      </c>
      <c r="AN38" s="9" t="s">
        <v>159</v>
      </c>
      <c r="AO38" s="10">
        <v>45694</v>
      </c>
      <c r="AP38" s="9" t="s">
        <v>160</v>
      </c>
      <c r="AQ38" s="10">
        <v>45701</v>
      </c>
      <c r="AR38" s="16" t="s">
        <v>213</v>
      </c>
      <c r="AS38" s="29" t="s">
        <v>146</v>
      </c>
      <c r="AT38" s="28" t="s">
        <v>185</v>
      </c>
      <c r="AU38" s="37">
        <v>0</v>
      </c>
      <c r="AV38" s="38">
        <v>45847</v>
      </c>
      <c r="AW38" s="38"/>
      <c r="AX38" s="9"/>
      <c r="AY38" s="9"/>
      <c r="AZ38" s="38"/>
      <c r="BA38" s="9"/>
    </row>
    <row r="39" spans="1:53" s="11" customFormat="1" ht="54.75" customHeight="1" thickBot="1">
      <c r="A39" s="143" t="s">
        <v>214</v>
      </c>
      <c r="B39" s="195" t="s">
        <v>215</v>
      </c>
      <c r="C39" s="143" t="s">
        <v>68</v>
      </c>
      <c r="D39" s="143" t="s">
        <v>150</v>
      </c>
      <c r="E39" s="143" t="s">
        <v>81</v>
      </c>
      <c r="F39" s="143" t="s">
        <v>191</v>
      </c>
      <c r="G39" s="143" t="s">
        <v>86</v>
      </c>
      <c r="H39" s="144">
        <v>43700000</v>
      </c>
      <c r="I39" s="144" t="s">
        <v>174</v>
      </c>
      <c r="J39" s="144">
        <f>PR[[#This Row],[التكلفة (المحدثه)  شاملة الضريبة]]-K39</f>
        <v>0</v>
      </c>
      <c r="K39" s="144">
        <v>64047339.850000001</v>
      </c>
      <c r="L39" s="307">
        <v>64047339.850000001</v>
      </c>
      <c r="M39" s="146" t="s">
        <v>72</v>
      </c>
      <c r="N39" s="324" t="s">
        <v>157</v>
      </c>
      <c r="O39" s="189" t="s">
        <v>142</v>
      </c>
      <c r="P39" s="325" t="s">
        <v>75</v>
      </c>
      <c r="Q39" s="326"/>
      <c r="R39" s="329" t="s">
        <v>7</v>
      </c>
      <c r="S39" s="236">
        <v>45109</v>
      </c>
      <c r="T39" s="237">
        <v>45139</v>
      </c>
      <c r="U39" s="249">
        <v>45139</v>
      </c>
      <c r="V39" s="250">
        <v>45169</v>
      </c>
      <c r="W39" s="236">
        <v>45169</v>
      </c>
      <c r="X39" s="237">
        <v>45312</v>
      </c>
      <c r="Y39" s="249">
        <v>45575</v>
      </c>
      <c r="Z39" s="250">
        <v>45705</v>
      </c>
      <c r="AA39" s="251">
        <v>45761</v>
      </c>
      <c r="AB39" s="252">
        <f>PR[[#This Row],[تاريخ بداية .المرحله]]+188</f>
        <v>45949</v>
      </c>
      <c r="AC39" s="257">
        <f>PR[[#This Row],[تاريخ. نهاية المرحله]]+1</f>
        <v>45950</v>
      </c>
      <c r="AD39" s="258">
        <f>PR[[#This Row],[.تاريخ بداية المرحله]] + ((PR[[#This Row],[مدة المشروع (شهر)]]*30)-55)</f>
        <v>46615</v>
      </c>
      <c r="AE39" s="281">
        <f>PR[[#This Row],[التكلفة (المحدثه)  شاملة الضريبة]]*0.9</f>
        <v>57642605.865000002</v>
      </c>
      <c r="AF39" s="251">
        <f>PR[[#This Row],[تاريخ. نهاية. المرحله]]+1</f>
        <v>46616</v>
      </c>
      <c r="AG39" s="252">
        <f>PR[[#This Row],[تاريخ بداية.. المرحله..]]+28</f>
        <v>46644</v>
      </c>
      <c r="AH39" s="281">
        <f>PR[[#This Row],[التكلفة (المحدثه)  شاملة الضريبة]]*0.1</f>
        <v>6404733.9850000003</v>
      </c>
      <c r="AI39" s="251">
        <f>PR[[#This Row],[تاريخ ..نهاية المرحله.]]+1</f>
        <v>46645</v>
      </c>
      <c r="AJ39" s="252">
        <f>PR[[#This Row],[.تاريخ بداية المرحله]]+729</f>
        <v>46679</v>
      </c>
      <c r="AK39" s="8" t="s">
        <v>7</v>
      </c>
      <c r="AL39" s="30" t="s">
        <v>157</v>
      </c>
      <c r="AM39" s="183" t="s">
        <v>158</v>
      </c>
      <c r="AN39" s="9" t="s">
        <v>159</v>
      </c>
      <c r="AO39" s="10">
        <v>45713</v>
      </c>
      <c r="AP39" s="9" t="s">
        <v>160</v>
      </c>
      <c r="AQ39" s="10">
        <v>45738</v>
      </c>
      <c r="AR39" s="16" t="s">
        <v>161</v>
      </c>
      <c r="AS39" s="29" t="s">
        <v>146</v>
      </c>
      <c r="AT39" s="28" t="s">
        <v>157</v>
      </c>
      <c r="AU39" s="37">
        <v>64047339.849999994</v>
      </c>
      <c r="AV39" s="38">
        <v>45761</v>
      </c>
      <c r="AW39" s="38"/>
      <c r="AX39" s="9"/>
      <c r="AY39" s="9" t="s">
        <v>167</v>
      </c>
      <c r="AZ39" s="38"/>
      <c r="BA39" s="9"/>
    </row>
    <row r="40" spans="1:53" s="11" customFormat="1" ht="54.75" customHeight="1" thickTop="1">
      <c r="A40" s="316" t="s">
        <v>216</v>
      </c>
      <c r="B40" s="210" t="s">
        <v>217</v>
      </c>
      <c r="C40" s="211" t="s">
        <v>68</v>
      </c>
      <c r="D40" s="211" t="s">
        <v>150</v>
      </c>
      <c r="E40" s="211" t="s">
        <v>81</v>
      </c>
      <c r="F40" s="211" t="s">
        <v>166</v>
      </c>
      <c r="G40" s="211" t="s">
        <v>86</v>
      </c>
      <c r="H40" s="320">
        <v>87745000</v>
      </c>
      <c r="I40" s="320" t="s">
        <v>218</v>
      </c>
      <c r="J40" s="320">
        <f>PR[[#This Row],[التكلفة (المحدثه)  شاملة الضريبة]]-K40</f>
        <v>0</v>
      </c>
      <c r="K40" s="320">
        <v>87745000</v>
      </c>
      <c r="L40" s="308">
        <v>87745000</v>
      </c>
      <c r="M40" s="322" t="s">
        <v>72</v>
      </c>
      <c r="N40" s="212" t="s">
        <v>219</v>
      </c>
      <c r="O40" s="213" t="s">
        <v>142</v>
      </c>
      <c r="P40" s="226" t="s">
        <v>75</v>
      </c>
      <c r="Q40" s="292"/>
      <c r="R40" s="328" t="s">
        <v>7</v>
      </c>
      <c r="S40" s="238">
        <v>45109</v>
      </c>
      <c r="T40" s="239">
        <v>45139</v>
      </c>
      <c r="U40" s="240">
        <v>45139</v>
      </c>
      <c r="V40" s="241">
        <v>45169</v>
      </c>
      <c r="W40" s="238">
        <v>45169</v>
      </c>
      <c r="X40" s="239">
        <v>45312</v>
      </c>
      <c r="Y40" s="240">
        <v>45692</v>
      </c>
      <c r="Z40" s="241">
        <v>45732</v>
      </c>
      <c r="AA40" s="242">
        <v>45792</v>
      </c>
      <c r="AB40" s="243">
        <f>PR[[#This Row],[تاريخ بداية .المرحله]]+188</f>
        <v>45980</v>
      </c>
      <c r="AC40" s="242">
        <f>PR[[#This Row],[تاريخ. نهاية المرحله]]+1</f>
        <v>45981</v>
      </c>
      <c r="AD40" s="243">
        <f>PR[[#This Row],[.تاريخ بداية المرحله]] + ((PR[[#This Row],[مدة المشروع (شهر)]]*30)-55)</f>
        <v>46646</v>
      </c>
      <c r="AE40" s="279">
        <f>PR[[#This Row],[التكلفة (المحدثه)  شاملة الضريبة]]*0.9</f>
        <v>78970500</v>
      </c>
      <c r="AF40" s="242">
        <f>PR[[#This Row],[تاريخ. نهاية. المرحله]]+1</f>
        <v>46647</v>
      </c>
      <c r="AG40" s="243">
        <f>PR[[#This Row],[تاريخ بداية.. المرحله..]]+28</f>
        <v>46675</v>
      </c>
      <c r="AH40" s="279">
        <f>PR[[#This Row],[التكلفة (المحدثه)  شاملة الضريبة]]*0.1</f>
        <v>8774500</v>
      </c>
      <c r="AI40" s="242">
        <f>PR[[#This Row],[تاريخ ..نهاية المرحله.]]+1</f>
        <v>46676</v>
      </c>
      <c r="AJ40" s="243">
        <f>PR[[#This Row],[.تاريخ بداية المرحله]]+729</f>
        <v>46710</v>
      </c>
      <c r="AK40" s="8" t="s">
        <v>7</v>
      </c>
      <c r="AL40" s="28" t="s">
        <v>208</v>
      </c>
      <c r="AM40" s="28" t="s">
        <v>158</v>
      </c>
      <c r="AN40" s="9" t="s">
        <v>159</v>
      </c>
      <c r="AO40" s="10">
        <v>45775</v>
      </c>
      <c r="AP40" s="9">
        <v>902250284</v>
      </c>
      <c r="AQ40" s="10">
        <v>45782</v>
      </c>
      <c r="AR40" s="183" t="s">
        <v>208</v>
      </c>
      <c r="AS40" s="29" t="s">
        <v>146</v>
      </c>
      <c r="AT40" s="28" t="s">
        <v>185</v>
      </c>
      <c r="AU40" s="37">
        <v>0</v>
      </c>
      <c r="AV40" s="38">
        <v>45792</v>
      </c>
      <c r="AW40" s="38"/>
      <c r="AX40" s="9"/>
      <c r="AY40" s="9"/>
      <c r="AZ40" s="38"/>
      <c r="BA40" s="9"/>
    </row>
    <row r="41" spans="1:53" s="11" customFormat="1" ht="54.75" customHeight="1">
      <c r="A41" s="214" t="s">
        <v>220</v>
      </c>
      <c r="B41" s="57" t="s">
        <v>221</v>
      </c>
      <c r="C41" s="53" t="s">
        <v>68</v>
      </c>
      <c r="D41" s="53" t="s">
        <v>137</v>
      </c>
      <c r="E41" s="53" t="s">
        <v>81</v>
      </c>
      <c r="F41" s="53" t="s">
        <v>114</v>
      </c>
      <c r="G41" s="53" t="s">
        <v>94</v>
      </c>
      <c r="H41" s="54">
        <v>97749999.999999985</v>
      </c>
      <c r="I41" s="54" t="s">
        <v>222</v>
      </c>
      <c r="J41" s="54">
        <f>PR[[#This Row],[التكلفة (المحدثه)  شاملة الضريبة]]-K41</f>
        <v>9.9998712539672852E-4</v>
      </c>
      <c r="K41" s="54">
        <v>157324356.13</v>
      </c>
      <c r="L41" s="61">
        <v>157324356.13099998</v>
      </c>
      <c r="M41" s="43" t="s">
        <v>72</v>
      </c>
      <c r="N41" s="70" t="s">
        <v>223</v>
      </c>
      <c r="O41" s="45" t="s">
        <v>142</v>
      </c>
      <c r="P41" s="75" t="s">
        <v>87</v>
      </c>
      <c r="Q41" s="295"/>
      <c r="R41" s="77" t="s">
        <v>7</v>
      </c>
      <c r="S41" s="228">
        <v>45109</v>
      </c>
      <c r="T41" s="229">
        <v>45139</v>
      </c>
      <c r="U41" s="245">
        <v>45139</v>
      </c>
      <c r="V41" s="246">
        <v>45169</v>
      </c>
      <c r="W41" s="228">
        <v>45169</v>
      </c>
      <c r="X41" s="229">
        <v>45313</v>
      </c>
      <c r="Y41" s="245">
        <v>45648</v>
      </c>
      <c r="Z41" s="246">
        <v>45739</v>
      </c>
      <c r="AA41" s="247">
        <v>45771</v>
      </c>
      <c r="AB41" s="248">
        <f>PR[[#This Row],[تاريخ بداية .المرحله]]+188</f>
        <v>45959</v>
      </c>
      <c r="AC41" s="247">
        <f>PR[[#This Row],[تاريخ. نهاية المرحله]]+1</f>
        <v>45960</v>
      </c>
      <c r="AD41" s="248">
        <f>PR[[#This Row],[.تاريخ بداية المرحله]] + ((PR[[#This Row],[مدة المشروع (شهر)]]*30)-55)</f>
        <v>46985</v>
      </c>
      <c r="AE41" s="280">
        <f>PR[[#This Row],[التكلفة (المحدثه)  شاملة الضريبة]]*0.9</f>
        <v>141591920.51789999</v>
      </c>
      <c r="AF41" s="247">
        <f>PR[[#This Row],[تاريخ. نهاية. المرحله]]+1</f>
        <v>46986</v>
      </c>
      <c r="AG41" s="248">
        <f>PR[[#This Row],[تاريخ بداية.. المرحله..]]+28</f>
        <v>47014</v>
      </c>
      <c r="AH41" s="280">
        <f>PR[[#This Row],[التكلفة (المحدثه)  شاملة الضريبة]]*0.1</f>
        <v>15732435.6131</v>
      </c>
      <c r="AI41" s="247">
        <f>PR[[#This Row],[تاريخ ..نهاية المرحله.]]+1</f>
        <v>47015</v>
      </c>
      <c r="AJ41" s="248">
        <f>PR[[#This Row],[.تاريخ بداية المرحله]]+1095</f>
        <v>47055</v>
      </c>
      <c r="AK41" s="8" t="s">
        <v>7</v>
      </c>
      <c r="AL41" s="28" t="s">
        <v>223</v>
      </c>
      <c r="AM41" s="28" t="s">
        <v>158</v>
      </c>
      <c r="AN41" s="9" t="s">
        <v>159</v>
      </c>
      <c r="AO41" s="10">
        <v>45754</v>
      </c>
      <c r="AP41" s="9">
        <v>0</v>
      </c>
      <c r="AQ41" s="10">
        <v>45761</v>
      </c>
      <c r="AR41" s="16" t="s">
        <v>213</v>
      </c>
      <c r="AS41" s="29" t="s">
        <v>146</v>
      </c>
      <c r="AT41" s="28" t="s">
        <v>185</v>
      </c>
      <c r="AU41" s="37">
        <v>0</v>
      </c>
      <c r="AV41" s="38">
        <v>45771</v>
      </c>
      <c r="AW41" s="38"/>
      <c r="AX41" s="9"/>
      <c r="AY41" s="9"/>
      <c r="AZ41" s="38"/>
      <c r="BA41" s="9" t="s">
        <v>178</v>
      </c>
    </row>
    <row r="42" spans="1:53" s="11" customFormat="1" ht="54.75" customHeight="1">
      <c r="A42" s="214" t="s">
        <v>224</v>
      </c>
      <c r="B42" s="57" t="s">
        <v>225</v>
      </c>
      <c r="C42" s="53" t="s">
        <v>68</v>
      </c>
      <c r="D42" s="53" t="s">
        <v>165</v>
      </c>
      <c r="E42" s="53" t="s">
        <v>81</v>
      </c>
      <c r="F42" s="53" t="s">
        <v>191</v>
      </c>
      <c r="G42" s="53" t="s">
        <v>86</v>
      </c>
      <c r="H42" s="54">
        <v>19550000</v>
      </c>
      <c r="I42" s="54" t="e">
        <v>#N/A</v>
      </c>
      <c r="J42" s="54">
        <f>PR[[#This Row],[التكلفة (المحدثه)  شاملة الضريبة]]-K42</f>
        <v>0</v>
      </c>
      <c r="K42" s="54">
        <v>19550000</v>
      </c>
      <c r="L42" s="61">
        <v>19550000</v>
      </c>
      <c r="M42" s="43" t="s">
        <v>72</v>
      </c>
      <c r="N42" s="55" t="s">
        <v>226</v>
      </c>
      <c r="O42" s="45" t="s">
        <v>142</v>
      </c>
      <c r="P42" s="75" t="s">
        <v>75</v>
      </c>
      <c r="Q42" s="295"/>
      <c r="R42" s="77" t="s">
        <v>7</v>
      </c>
      <c r="S42" s="228">
        <v>45691</v>
      </c>
      <c r="T42" s="229">
        <v>45721</v>
      </c>
      <c r="U42" s="245">
        <v>45721</v>
      </c>
      <c r="V42" s="246">
        <v>45741</v>
      </c>
      <c r="W42" s="228">
        <f>PR[[#This Row],[تاريخ نهاية المرحله…]]+1</f>
        <v>45742</v>
      </c>
      <c r="X42" s="229">
        <f>PR[[#This Row],[تاريخ بداية المرحله-.]]-1</f>
        <v>45759</v>
      </c>
      <c r="Y42" s="245">
        <v>45760</v>
      </c>
      <c r="Z42" s="246">
        <v>45805</v>
      </c>
      <c r="AA42" s="247">
        <v>45897</v>
      </c>
      <c r="AB42" s="248">
        <f>PR[[#This Row],[تاريخ بداية .المرحله]]+188</f>
        <v>46085</v>
      </c>
      <c r="AC42" s="247">
        <f>PR[[#This Row],[تاريخ. نهاية المرحله]]+1</f>
        <v>46086</v>
      </c>
      <c r="AD42" s="248">
        <f>PR[[#This Row],[.تاريخ بداية المرحله]] + ((PR[[#This Row],[مدة المشروع (شهر)]]*30)-55)</f>
        <v>46751</v>
      </c>
      <c r="AE42" s="280">
        <f>PR[[#This Row],[التكلفة (المحدثه)  شاملة الضريبة]]*0.9</f>
        <v>17595000</v>
      </c>
      <c r="AF42" s="247">
        <f>PR[[#This Row],[تاريخ. نهاية. المرحله]]+1</f>
        <v>46752</v>
      </c>
      <c r="AG42" s="248">
        <f>PR[[#This Row],[تاريخ بداية.. المرحله..]]+28</f>
        <v>46780</v>
      </c>
      <c r="AH42" s="280">
        <f>PR[[#This Row],[التكلفة (المحدثه)  شاملة الضريبة]]*0.1</f>
        <v>1955000</v>
      </c>
      <c r="AI42" s="247">
        <f>PR[[#This Row],[تاريخ ..نهاية المرحله.]]+1</f>
        <v>46781</v>
      </c>
      <c r="AJ42" s="248">
        <f>PR[[#This Row],[.تاريخ بداية المرحله]]+730</f>
        <v>46816</v>
      </c>
      <c r="AK42" s="8" t="s">
        <v>7</v>
      </c>
      <c r="AL42" s="28" t="s">
        <v>226</v>
      </c>
      <c r="AM42" s="28" t="s">
        <v>158</v>
      </c>
      <c r="AN42" s="9" t="s">
        <v>159</v>
      </c>
      <c r="AO42" s="10">
        <v>45848</v>
      </c>
      <c r="AP42" s="9" t="s">
        <v>160</v>
      </c>
      <c r="AQ42" s="10">
        <v>45860</v>
      </c>
      <c r="AR42" s="16" t="s">
        <v>227</v>
      </c>
      <c r="AS42" s="29" t="s">
        <v>146</v>
      </c>
      <c r="AT42" s="28" t="s">
        <v>226</v>
      </c>
      <c r="AU42" s="37">
        <v>0</v>
      </c>
      <c r="AV42" s="38">
        <v>45897</v>
      </c>
      <c r="AW42" s="38"/>
      <c r="AX42" s="9"/>
      <c r="AY42" s="9"/>
      <c r="AZ42" s="38"/>
      <c r="BA42" s="9"/>
    </row>
    <row r="43" spans="1:53" s="11" customFormat="1" ht="93.75" customHeight="1">
      <c r="A43" s="227" t="s">
        <v>228</v>
      </c>
      <c r="B43" s="195" t="s">
        <v>229</v>
      </c>
      <c r="C43" s="143" t="s">
        <v>68</v>
      </c>
      <c r="D43" s="143" t="s">
        <v>165</v>
      </c>
      <c r="E43" s="143" t="s">
        <v>81</v>
      </c>
      <c r="F43" s="143" t="s">
        <v>81</v>
      </c>
      <c r="G43" s="143" t="s">
        <v>94</v>
      </c>
      <c r="H43" s="144">
        <v>69000000</v>
      </c>
      <c r="I43" s="144" t="e">
        <v>#N/A</v>
      </c>
      <c r="J43" s="144">
        <f>PR[[#This Row],[التكلفة (المحدثه)  شاملة الضريبة]]-K43</f>
        <v>0</v>
      </c>
      <c r="K43" s="144">
        <v>69000000</v>
      </c>
      <c r="L43" s="307">
        <v>69000000</v>
      </c>
      <c r="M43" s="146" t="s">
        <v>72</v>
      </c>
      <c r="N43" s="145" t="s">
        <v>230</v>
      </c>
      <c r="O43" s="189" t="s">
        <v>142</v>
      </c>
      <c r="P43" s="325" t="s">
        <v>75</v>
      </c>
      <c r="Q43" s="326"/>
      <c r="R43" s="329" t="s">
        <v>7</v>
      </c>
      <c r="S43" s="236">
        <v>45710</v>
      </c>
      <c r="T43" s="237">
        <v>45740</v>
      </c>
      <c r="U43" s="249">
        <v>45740</v>
      </c>
      <c r="V43" s="250">
        <v>45760</v>
      </c>
      <c r="W43" s="236">
        <f>PR[[#This Row],[تاريخ نهاية المرحله…]]+1</f>
        <v>45761</v>
      </c>
      <c r="X43" s="237">
        <f>PR[[#This Row],[تاريخ بداية المرحله-.]]-1</f>
        <v>45787</v>
      </c>
      <c r="Y43" s="249">
        <v>45788</v>
      </c>
      <c r="Z43" s="250">
        <v>45804</v>
      </c>
      <c r="AA43" s="251">
        <v>45875</v>
      </c>
      <c r="AB43" s="252">
        <f>PR[[#This Row],[تاريخ بداية .المرحله]]+188</f>
        <v>46063</v>
      </c>
      <c r="AC43" s="251">
        <f>PR[[#This Row],[تاريخ. نهاية المرحله]]+1</f>
        <v>46064</v>
      </c>
      <c r="AD43" s="252">
        <f>PR[[#This Row],[.تاريخ بداية المرحله]] + ((PR[[#This Row],[مدة المشروع (شهر)]]*30)-55)</f>
        <v>46729</v>
      </c>
      <c r="AE43" s="281">
        <f>PR[[#This Row],[التكلفة (المحدثه)  شاملة الضريبة]]*0.9</f>
        <v>62100000</v>
      </c>
      <c r="AF43" s="251">
        <f>PR[[#This Row],[تاريخ. نهاية. المرحله]]+1</f>
        <v>46730</v>
      </c>
      <c r="AG43" s="252">
        <f>PR[[#This Row],[تاريخ بداية.. المرحله..]]+28</f>
        <v>46758</v>
      </c>
      <c r="AH43" s="281">
        <f>PR[[#This Row],[التكلفة (المحدثه)  شاملة الضريبة]]*0.1</f>
        <v>6900000</v>
      </c>
      <c r="AI43" s="251">
        <f>PR[[#This Row],[تاريخ ..نهاية المرحله.]]+1</f>
        <v>46759</v>
      </c>
      <c r="AJ43" s="252">
        <f>PR[[#This Row],[.تاريخ بداية المرحله]]+729</f>
        <v>46793</v>
      </c>
      <c r="AK43" s="8" t="s">
        <v>7</v>
      </c>
      <c r="AL43" s="28" t="s">
        <v>230</v>
      </c>
      <c r="AM43" s="28" t="s">
        <v>158</v>
      </c>
      <c r="AN43" s="9" t="s">
        <v>159</v>
      </c>
      <c r="AO43" s="10">
        <v>45854</v>
      </c>
      <c r="AP43" s="9">
        <v>902250414</v>
      </c>
      <c r="AQ43" s="10">
        <v>45866</v>
      </c>
      <c r="AR43" s="16" t="s">
        <v>231</v>
      </c>
      <c r="AS43" s="29" t="s">
        <v>146</v>
      </c>
      <c r="AT43" s="28" t="s">
        <v>201</v>
      </c>
      <c r="AU43" s="37">
        <v>0</v>
      </c>
      <c r="AV43" s="38">
        <v>45875</v>
      </c>
      <c r="AW43" s="38"/>
      <c r="AX43" s="9"/>
      <c r="AY43" s="9"/>
      <c r="AZ43" s="38"/>
      <c r="BA43" s="9"/>
    </row>
    <row r="44" spans="1:53" s="11" customFormat="1" ht="54.75" customHeight="1" thickBot="1">
      <c r="A44" s="318" t="s">
        <v>232</v>
      </c>
      <c r="B44" s="217" t="s">
        <v>233</v>
      </c>
      <c r="C44" s="218" t="s">
        <v>68</v>
      </c>
      <c r="D44" s="218" t="s">
        <v>137</v>
      </c>
      <c r="E44" s="218" t="s">
        <v>81</v>
      </c>
      <c r="F44" s="218" t="s">
        <v>81</v>
      </c>
      <c r="G44" s="218" t="s">
        <v>94</v>
      </c>
      <c r="H44" s="225">
        <v>28749999.999999996</v>
      </c>
      <c r="I44" s="225" t="s">
        <v>234</v>
      </c>
      <c r="J44" s="225">
        <f>PR[[#This Row],[التكلفة (المحدثه)  شاملة الضريبة]]-K44</f>
        <v>0</v>
      </c>
      <c r="K44" s="225">
        <v>28750000</v>
      </c>
      <c r="L44" s="309">
        <v>28749999.999999996</v>
      </c>
      <c r="M44" s="220" t="s">
        <v>72</v>
      </c>
      <c r="N44" s="219" t="s">
        <v>175</v>
      </c>
      <c r="O44" s="221" t="s">
        <v>142</v>
      </c>
      <c r="P44" s="222" t="s">
        <v>111</v>
      </c>
      <c r="Q44" s="296"/>
      <c r="R44" s="223" t="s">
        <v>7</v>
      </c>
      <c r="S44" s="253">
        <v>45109</v>
      </c>
      <c r="T44" s="254">
        <v>45139</v>
      </c>
      <c r="U44" s="255">
        <v>45139</v>
      </c>
      <c r="V44" s="256">
        <v>45169</v>
      </c>
      <c r="W44" s="253">
        <v>45169</v>
      </c>
      <c r="X44" s="254">
        <v>45313</v>
      </c>
      <c r="Y44" s="255">
        <v>45848</v>
      </c>
      <c r="Z44" s="256">
        <v>45916</v>
      </c>
      <c r="AA44" s="257">
        <v>46006</v>
      </c>
      <c r="AB44" s="258">
        <f>PR[[#This Row],[تاريخ بداية .المرحله]]+188</f>
        <v>46194</v>
      </c>
      <c r="AC44" s="257">
        <f>PR[[#This Row],[تاريخ. نهاية المرحله]]+1</f>
        <v>46195</v>
      </c>
      <c r="AD44" s="258">
        <f>PR[[#This Row],[.تاريخ بداية المرحله]] + ((PR[[#This Row],[مدة المشروع (شهر)]]*30)-28)</f>
        <v>46527</v>
      </c>
      <c r="AE44" s="282">
        <f>PR[[#This Row],[التكلفة (المحدثه)  شاملة الضريبة]]*0.9</f>
        <v>25874999.999999996</v>
      </c>
      <c r="AF44" s="257">
        <f>PR[[#This Row],[تاريخ. نهاية. المرحله]]+1</f>
        <v>46528</v>
      </c>
      <c r="AG44" s="258">
        <f>PR[[#This Row],[تاريخ بداية.. المرحله..]]+14</f>
        <v>46542</v>
      </c>
      <c r="AH44" s="282">
        <f>PR[[#This Row],[التكلفة (المحدثه)  شاملة الضريبة]]*0.1</f>
        <v>2875000</v>
      </c>
      <c r="AI44" s="257">
        <f>PR[[#This Row],[تاريخ ..نهاية المرحله.]]+1</f>
        <v>46543</v>
      </c>
      <c r="AJ44" s="258">
        <f>PR[[#This Row],[.تاريخ بداية المرحله]]+365</f>
        <v>46560</v>
      </c>
      <c r="AK44" s="8" t="s">
        <v>7</v>
      </c>
      <c r="AL44" s="28" t="s">
        <v>175</v>
      </c>
      <c r="AM44" s="28" t="s">
        <v>158</v>
      </c>
      <c r="AN44" s="9" t="s">
        <v>76</v>
      </c>
      <c r="AO44" s="10"/>
      <c r="AP44" s="9" t="s">
        <v>160</v>
      </c>
      <c r="AQ44" s="10"/>
      <c r="AR44" s="16" t="s">
        <v>235</v>
      </c>
      <c r="AS44" s="29" t="s">
        <v>146</v>
      </c>
      <c r="AT44" s="28" t="s">
        <v>236</v>
      </c>
      <c r="AU44" s="37">
        <v>0</v>
      </c>
      <c r="AV44" s="38"/>
      <c r="AW44" s="38"/>
      <c r="AX44" s="9"/>
      <c r="AY44" s="9"/>
      <c r="AZ44" s="38"/>
      <c r="BA44" s="9" t="s">
        <v>178</v>
      </c>
    </row>
    <row r="45" spans="1:53" s="11" customFormat="1" ht="54.75" customHeight="1" thickTop="1">
      <c r="A45" s="317" t="s">
        <v>237</v>
      </c>
      <c r="B45" s="197" t="s">
        <v>238</v>
      </c>
      <c r="C45" s="196" t="s">
        <v>68</v>
      </c>
      <c r="D45" s="196" t="s">
        <v>165</v>
      </c>
      <c r="E45" s="196" t="s">
        <v>81</v>
      </c>
      <c r="F45" s="196" t="s">
        <v>81</v>
      </c>
      <c r="G45" s="196" t="s">
        <v>86</v>
      </c>
      <c r="H45" s="198">
        <v>5750000</v>
      </c>
      <c r="I45" s="198" t="e">
        <v>#N/A</v>
      </c>
      <c r="J45" s="198">
        <f>PR[[#This Row],[التكلفة (المحدثه)  شاملة الضريبة]]-K45</f>
        <v>2.4999994784593582E-3</v>
      </c>
      <c r="K45" s="198">
        <v>10746806.060000001</v>
      </c>
      <c r="L45" s="310">
        <v>10746806.0625</v>
      </c>
      <c r="M45" s="200" t="s">
        <v>72</v>
      </c>
      <c r="N45" s="323" t="s">
        <v>157</v>
      </c>
      <c r="O45" s="201" t="s">
        <v>142</v>
      </c>
      <c r="P45" s="224" t="s">
        <v>118</v>
      </c>
      <c r="Q45" s="294"/>
      <c r="R45" s="202" t="s">
        <v>7</v>
      </c>
      <c r="S45" s="259">
        <v>45312</v>
      </c>
      <c r="T45" s="260">
        <v>45342</v>
      </c>
      <c r="U45" s="261">
        <v>45342</v>
      </c>
      <c r="V45" s="262">
        <v>45357</v>
      </c>
      <c r="W45" s="259">
        <f>PR[[#This Row],[تاريخ نهاية المرحله…]]+1</f>
        <v>45358</v>
      </c>
      <c r="X45" s="260">
        <f>PR[[#This Row],[تاريخ بداية المرحله-.]]-1</f>
        <v>45512</v>
      </c>
      <c r="Y45" s="261">
        <v>45513</v>
      </c>
      <c r="Z45" s="262">
        <v>45558</v>
      </c>
      <c r="AA45" s="263">
        <v>45589</v>
      </c>
      <c r="AB45" s="264">
        <f>PR[[#This Row],[تاريخ بداية .المرحله]]+188</f>
        <v>45777</v>
      </c>
      <c r="AC45" s="263">
        <f>PR[[#This Row],[تاريخ. نهاية المرحله]]+1</f>
        <v>45778</v>
      </c>
      <c r="AD45" s="264">
        <f>PR[[#This Row],[.تاريخ بداية المرحله]] + ((PR[[#This Row],[مدة المشروع (شهر)]]*30)-28)</f>
        <v>46290</v>
      </c>
      <c r="AE45" s="283">
        <f>PR[[#This Row],[التكلفة (المحدثه)  شاملة الضريبة]]*0.9</f>
        <v>9672125.4562500007</v>
      </c>
      <c r="AF45" s="263">
        <f>PR[[#This Row],[تاريخ. نهاية. المرحله]]+1</f>
        <v>46291</v>
      </c>
      <c r="AG45" s="264">
        <f>PR[[#This Row],[تاريخ بداية.. المرحله..]]+28</f>
        <v>46319</v>
      </c>
      <c r="AH45" s="283">
        <f>PR[[#This Row],[التكلفة (المحدثه)  شاملة الضريبة]]*0.1</f>
        <v>1074680.60625</v>
      </c>
      <c r="AI45" s="263">
        <f>PR[[#This Row],[تاريخ ..نهاية المرحله.]]+1</f>
        <v>46320</v>
      </c>
      <c r="AJ45" s="264">
        <f>PR[[#This Row],[.تاريخ بداية المرحله]]+547</f>
        <v>46325</v>
      </c>
      <c r="AK45" s="8" t="s">
        <v>7</v>
      </c>
      <c r="AL45" s="30" t="s">
        <v>157</v>
      </c>
      <c r="AM45" s="28" t="s">
        <v>158</v>
      </c>
      <c r="AN45" s="9" t="s">
        <v>159</v>
      </c>
      <c r="AO45" s="10">
        <v>45566</v>
      </c>
      <c r="AP45" s="9" t="s">
        <v>160</v>
      </c>
      <c r="AQ45" s="10">
        <v>45581</v>
      </c>
      <c r="AR45" s="16" t="s">
        <v>239</v>
      </c>
      <c r="AS45" s="29" t="s">
        <v>146</v>
      </c>
      <c r="AT45" s="28" t="s">
        <v>157</v>
      </c>
      <c r="AU45" s="37">
        <v>8479709</v>
      </c>
      <c r="AV45" s="38">
        <v>45589</v>
      </c>
      <c r="AW45" s="38"/>
      <c r="AX45" s="9"/>
      <c r="AY45" s="9" t="s">
        <v>240</v>
      </c>
      <c r="AZ45" s="38"/>
      <c r="BA45" s="9"/>
    </row>
    <row r="46" spans="1:53" s="11" customFormat="1" ht="54.75" customHeight="1">
      <c r="A46" s="214" t="s">
        <v>241</v>
      </c>
      <c r="B46" s="57" t="s">
        <v>242</v>
      </c>
      <c r="C46" s="53" t="s">
        <v>68</v>
      </c>
      <c r="D46" s="53" t="s">
        <v>150</v>
      </c>
      <c r="E46" s="53" t="s">
        <v>81</v>
      </c>
      <c r="F46" s="53" t="s">
        <v>81</v>
      </c>
      <c r="G46" s="53" t="s">
        <v>94</v>
      </c>
      <c r="H46" s="54">
        <v>71530000</v>
      </c>
      <c r="I46" s="54" t="s">
        <v>170</v>
      </c>
      <c r="J46" s="54">
        <f>PR[[#This Row],[التكلفة (المحدثه)  شاملة الضريبة]]-K46</f>
        <v>0</v>
      </c>
      <c r="K46" s="54">
        <v>242258338.75</v>
      </c>
      <c r="L46" s="61">
        <v>242258338.74999997</v>
      </c>
      <c r="M46" s="43" t="s">
        <v>72</v>
      </c>
      <c r="N46" s="69" t="s">
        <v>243</v>
      </c>
      <c r="O46" s="45" t="s">
        <v>142</v>
      </c>
      <c r="P46" s="75" t="s">
        <v>75</v>
      </c>
      <c r="Q46" s="295"/>
      <c r="R46" s="77" t="s">
        <v>7</v>
      </c>
      <c r="S46" s="228">
        <v>45109</v>
      </c>
      <c r="T46" s="229">
        <v>45139</v>
      </c>
      <c r="U46" s="245">
        <v>45139</v>
      </c>
      <c r="V46" s="246">
        <v>45169</v>
      </c>
      <c r="W46" s="228">
        <v>45169</v>
      </c>
      <c r="X46" s="229">
        <v>45312</v>
      </c>
      <c r="Y46" s="245">
        <v>45386</v>
      </c>
      <c r="Z46" s="246">
        <v>45552</v>
      </c>
      <c r="AA46" s="247">
        <v>45578</v>
      </c>
      <c r="AB46" s="248">
        <f>PR[[#This Row],[تاريخ بداية .المرحله]]+188</f>
        <v>45766</v>
      </c>
      <c r="AC46" s="247">
        <f>PR[[#This Row],[تاريخ. نهاية المرحله]]+1</f>
        <v>45767</v>
      </c>
      <c r="AD46" s="248">
        <f>PR[[#This Row],[.تاريخ بداية المرحله]] + ((PR[[#This Row],[مدة المشروع (شهر)]]*30)-55)</f>
        <v>46432</v>
      </c>
      <c r="AE46" s="280">
        <f>PR[[#This Row],[التكلفة (المحدثه)  شاملة الضريبة]]*0.9</f>
        <v>218032504.87499997</v>
      </c>
      <c r="AF46" s="247">
        <f>PR[[#This Row],[تاريخ. نهاية. المرحله]]+1</f>
        <v>46433</v>
      </c>
      <c r="AG46" s="248">
        <f>PR[[#This Row],[تاريخ بداية.. المرحله..]]+28</f>
        <v>46461</v>
      </c>
      <c r="AH46" s="280">
        <f>PR[[#This Row],[التكلفة (المحدثه)  شاملة الضريبة]]*0.1</f>
        <v>24225833.875</v>
      </c>
      <c r="AI46" s="247">
        <f>PR[[#This Row],[تاريخ ..نهاية المرحله.]]+1</f>
        <v>46462</v>
      </c>
      <c r="AJ46" s="248">
        <f>PR[[#This Row],[.تاريخ بداية المرحله]]+729</f>
        <v>46496</v>
      </c>
      <c r="AK46" s="8" t="s">
        <v>7</v>
      </c>
      <c r="AL46" s="30" t="s">
        <v>243</v>
      </c>
      <c r="AM46" s="28" t="s">
        <v>158</v>
      </c>
      <c r="AN46" s="9" t="s">
        <v>159</v>
      </c>
      <c r="AO46" s="10">
        <v>45552</v>
      </c>
      <c r="AP46" s="9" t="s">
        <v>160</v>
      </c>
      <c r="AQ46" s="10">
        <v>45552</v>
      </c>
      <c r="AR46" s="16" t="s">
        <v>244</v>
      </c>
      <c r="AS46" s="29" t="s">
        <v>146</v>
      </c>
      <c r="AT46" s="28" t="s">
        <v>157</v>
      </c>
      <c r="AU46" s="37">
        <v>242258338.74999997</v>
      </c>
      <c r="AV46" s="38">
        <v>45578</v>
      </c>
      <c r="AW46" s="38"/>
      <c r="AX46" s="9"/>
      <c r="AY46" s="9" t="s">
        <v>245</v>
      </c>
      <c r="AZ46" s="38"/>
      <c r="BA46" s="9"/>
    </row>
    <row r="47" spans="1:53" s="11" customFormat="1" ht="54.75" customHeight="1">
      <c r="A47" s="214" t="s">
        <v>246</v>
      </c>
      <c r="B47" s="57" t="s">
        <v>247</v>
      </c>
      <c r="C47" s="53" t="s">
        <v>68</v>
      </c>
      <c r="D47" s="53" t="s">
        <v>150</v>
      </c>
      <c r="E47" s="53" t="s">
        <v>81</v>
      </c>
      <c r="F47" s="53" t="s">
        <v>81</v>
      </c>
      <c r="G47" s="53" t="s">
        <v>94</v>
      </c>
      <c r="H47" s="54">
        <v>47000000</v>
      </c>
      <c r="I47" s="54" t="s">
        <v>170</v>
      </c>
      <c r="J47" s="54">
        <f>PR[[#This Row],[التكلفة (المحدثه)  شاملة الضريبة]]-K47</f>
        <v>0</v>
      </c>
      <c r="K47" s="54">
        <v>145614552.5</v>
      </c>
      <c r="L47" s="61">
        <v>145614552.5</v>
      </c>
      <c r="M47" s="43" t="s">
        <v>72</v>
      </c>
      <c r="N47" s="69" t="s">
        <v>157</v>
      </c>
      <c r="O47" s="45" t="s">
        <v>142</v>
      </c>
      <c r="P47" s="75" t="s">
        <v>75</v>
      </c>
      <c r="Q47" s="295"/>
      <c r="R47" s="77" t="s">
        <v>7</v>
      </c>
      <c r="S47" s="228">
        <v>45109</v>
      </c>
      <c r="T47" s="229">
        <v>45139</v>
      </c>
      <c r="U47" s="245">
        <v>45139</v>
      </c>
      <c r="V47" s="246">
        <v>45169</v>
      </c>
      <c r="W47" s="228">
        <v>45169</v>
      </c>
      <c r="X47" s="229">
        <v>45312</v>
      </c>
      <c r="Y47" s="245">
        <v>45386</v>
      </c>
      <c r="Z47" s="246">
        <v>45560</v>
      </c>
      <c r="AA47" s="247">
        <v>45589</v>
      </c>
      <c r="AB47" s="248">
        <f>PR[[#This Row],[تاريخ بداية .المرحله]]+188</f>
        <v>45777</v>
      </c>
      <c r="AC47" s="247">
        <f>PR[[#This Row],[تاريخ. نهاية المرحله]]+1</f>
        <v>45778</v>
      </c>
      <c r="AD47" s="248">
        <f>PR[[#This Row],[.تاريخ بداية المرحله]] + ((PR[[#This Row],[مدة المشروع (شهر)]]*30)-55)</f>
        <v>46443</v>
      </c>
      <c r="AE47" s="280">
        <f>PR[[#This Row],[التكلفة (المحدثه)  شاملة الضريبة]]*0.9</f>
        <v>131053097.25</v>
      </c>
      <c r="AF47" s="247">
        <f>PR[[#This Row],[تاريخ. نهاية. المرحله]]+1</f>
        <v>46444</v>
      </c>
      <c r="AG47" s="248">
        <f>PR[[#This Row],[تاريخ بداية.. المرحله..]]+28</f>
        <v>46472</v>
      </c>
      <c r="AH47" s="280">
        <f>PR[[#This Row],[التكلفة (المحدثه)  شاملة الضريبة]]*0.1</f>
        <v>14561455.25</v>
      </c>
      <c r="AI47" s="247">
        <f>PR[[#This Row],[تاريخ ..نهاية المرحله.]]+1</f>
        <v>46473</v>
      </c>
      <c r="AJ47" s="248">
        <f>PR[[#This Row],[.تاريخ بداية المرحله]]+729</f>
        <v>46507</v>
      </c>
      <c r="AK47" s="8" t="s">
        <v>7</v>
      </c>
      <c r="AL47" s="30" t="s">
        <v>157</v>
      </c>
      <c r="AM47" s="28" t="s">
        <v>158</v>
      </c>
      <c r="AN47" s="9" t="s">
        <v>159</v>
      </c>
      <c r="AO47" s="10">
        <v>45566</v>
      </c>
      <c r="AP47" s="9" t="s">
        <v>160</v>
      </c>
      <c r="AQ47" s="10">
        <v>45581</v>
      </c>
      <c r="AR47" s="16" t="s">
        <v>248</v>
      </c>
      <c r="AS47" s="29" t="s">
        <v>146</v>
      </c>
      <c r="AT47" s="28" t="s">
        <v>157</v>
      </c>
      <c r="AU47" s="37">
        <v>145475000</v>
      </c>
      <c r="AV47" s="38">
        <v>45589</v>
      </c>
      <c r="AW47" s="38"/>
      <c r="AX47" s="9"/>
      <c r="AY47" s="9" t="s">
        <v>249</v>
      </c>
      <c r="AZ47" s="38"/>
      <c r="BA47" s="9"/>
    </row>
    <row r="48" spans="1:53" s="11" customFormat="1" ht="54.75" customHeight="1">
      <c r="A48" s="214" t="s">
        <v>250</v>
      </c>
      <c r="B48" s="57" t="s">
        <v>251</v>
      </c>
      <c r="C48" s="53" t="s">
        <v>68</v>
      </c>
      <c r="D48" s="53" t="s">
        <v>150</v>
      </c>
      <c r="E48" s="53" t="s">
        <v>81</v>
      </c>
      <c r="F48" s="53" t="s">
        <v>81</v>
      </c>
      <c r="G48" s="53" t="s">
        <v>94</v>
      </c>
      <c r="H48" s="54">
        <v>103499999.99999999</v>
      </c>
      <c r="I48" s="54" t="s">
        <v>151</v>
      </c>
      <c r="J48" s="54">
        <f>PR[[#This Row],[التكلفة (المحدثه)  شاملة الضريبة]]-K48</f>
        <v>0</v>
      </c>
      <c r="K48" s="54">
        <v>282926773.62</v>
      </c>
      <c r="L48" s="61">
        <v>282926773.62</v>
      </c>
      <c r="M48" s="43" t="s">
        <v>72</v>
      </c>
      <c r="N48" s="69" t="s">
        <v>252</v>
      </c>
      <c r="O48" s="45" t="s">
        <v>142</v>
      </c>
      <c r="P48" s="75" t="s">
        <v>87</v>
      </c>
      <c r="Q48" s="295"/>
      <c r="R48" s="77" t="s">
        <v>7</v>
      </c>
      <c r="S48" s="228">
        <v>45109</v>
      </c>
      <c r="T48" s="229">
        <v>45139</v>
      </c>
      <c r="U48" s="245">
        <v>45139</v>
      </c>
      <c r="V48" s="246">
        <v>45169</v>
      </c>
      <c r="W48" s="228">
        <v>45169</v>
      </c>
      <c r="X48" s="229">
        <v>45312</v>
      </c>
      <c r="Y48" s="245">
        <v>45386</v>
      </c>
      <c r="Z48" s="246">
        <v>45559</v>
      </c>
      <c r="AA48" s="247">
        <v>45603</v>
      </c>
      <c r="AB48" s="248">
        <f>PR[[#This Row],[تاريخ بداية .المرحله]]+188</f>
        <v>45791</v>
      </c>
      <c r="AC48" s="247">
        <f>PR[[#This Row],[تاريخ. نهاية المرحله]]+1</f>
        <v>45792</v>
      </c>
      <c r="AD48" s="248">
        <f>PR[[#This Row],[.تاريخ بداية المرحله]] + ((PR[[#This Row],[مدة المشروع (شهر)]]*30)-55)</f>
        <v>46817</v>
      </c>
      <c r="AE48" s="280">
        <f>PR[[#This Row],[التكلفة (المحدثه)  شاملة الضريبة]]*0.9</f>
        <v>254634096.25800002</v>
      </c>
      <c r="AF48" s="247">
        <f>PR[[#This Row],[تاريخ. نهاية. المرحله]]+1</f>
        <v>46818</v>
      </c>
      <c r="AG48" s="248">
        <f>PR[[#This Row],[تاريخ بداية.. المرحله..]]+28</f>
        <v>46846</v>
      </c>
      <c r="AH48" s="280">
        <f>PR[[#This Row],[التكلفة (المحدثه)  شاملة الضريبة]]*0.1</f>
        <v>28292677.362000003</v>
      </c>
      <c r="AI48" s="247">
        <f>PR[[#This Row],[تاريخ ..نهاية المرحله.]]+1</f>
        <v>46847</v>
      </c>
      <c r="AJ48" s="248">
        <f>PR[[#This Row],[.تاريخ بداية المرحله]]+1095</f>
        <v>46887</v>
      </c>
      <c r="AK48" s="8" t="s">
        <v>7</v>
      </c>
      <c r="AL48" s="30" t="s">
        <v>252</v>
      </c>
      <c r="AM48" s="28" t="s">
        <v>158</v>
      </c>
      <c r="AN48" s="9" t="s">
        <v>159</v>
      </c>
      <c r="AO48" s="10">
        <v>45565</v>
      </c>
      <c r="AP48" s="9" t="s">
        <v>160</v>
      </c>
      <c r="AQ48" s="10">
        <v>45585</v>
      </c>
      <c r="AR48" s="183" t="s">
        <v>161</v>
      </c>
      <c r="AS48" s="29" t="s">
        <v>146</v>
      </c>
      <c r="AT48" s="28" t="s">
        <v>157</v>
      </c>
      <c r="AU48" s="37">
        <v>226584455.14999998</v>
      </c>
      <c r="AV48" s="38">
        <v>45603</v>
      </c>
      <c r="AW48" s="38"/>
      <c r="AX48" s="9"/>
      <c r="AY48" s="9" t="s">
        <v>171</v>
      </c>
      <c r="AZ48" s="38"/>
      <c r="BA48" s="9"/>
    </row>
    <row r="49" spans="1:53" s="11" customFormat="1" ht="54.75" customHeight="1">
      <c r="A49" s="214" t="s">
        <v>253</v>
      </c>
      <c r="B49" s="57" t="s">
        <v>254</v>
      </c>
      <c r="C49" s="53" t="s">
        <v>68</v>
      </c>
      <c r="D49" s="53" t="s">
        <v>150</v>
      </c>
      <c r="E49" s="53" t="s">
        <v>81</v>
      </c>
      <c r="F49" s="53" t="s">
        <v>81</v>
      </c>
      <c r="G49" s="53" t="s">
        <v>94</v>
      </c>
      <c r="H49" s="54">
        <v>57499999.999999993</v>
      </c>
      <c r="I49" s="54" t="s">
        <v>170</v>
      </c>
      <c r="J49" s="54">
        <f>PR[[#This Row],[التكلفة (المحدثه)  شاملة الضريبة]]-K49</f>
        <v>0</v>
      </c>
      <c r="K49" s="54">
        <v>146941169.5</v>
      </c>
      <c r="L49" s="61">
        <v>146941169.5</v>
      </c>
      <c r="M49" s="43" t="s">
        <v>72</v>
      </c>
      <c r="N49" s="69" t="s">
        <v>157</v>
      </c>
      <c r="O49" s="45" t="s">
        <v>142</v>
      </c>
      <c r="P49" s="75" t="s">
        <v>87</v>
      </c>
      <c r="Q49" s="295"/>
      <c r="R49" s="77" t="s">
        <v>7</v>
      </c>
      <c r="S49" s="228">
        <v>45109</v>
      </c>
      <c r="T49" s="229">
        <v>45139</v>
      </c>
      <c r="U49" s="245">
        <v>45139</v>
      </c>
      <c r="V49" s="246">
        <v>45169</v>
      </c>
      <c r="W49" s="228">
        <v>45169</v>
      </c>
      <c r="X49" s="229">
        <v>45312</v>
      </c>
      <c r="Y49" s="245">
        <v>45386</v>
      </c>
      <c r="Z49" s="246">
        <v>45564</v>
      </c>
      <c r="AA49" s="247">
        <v>45589</v>
      </c>
      <c r="AB49" s="248">
        <f>PR[[#This Row],[تاريخ بداية .المرحله]]+188</f>
        <v>45777</v>
      </c>
      <c r="AC49" s="247">
        <f>PR[[#This Row],[تاريخ. نهاية المرحله]]+1</f>
        <v>45778</v>
      </c>
      <c r="AD49" s="248">
        <f>PR[[#This Row],[.تاريخ بداية المرحله]] + ((PR[[#This Row],[مدة المشروع (شهر)]]*30)-55)</f>
        <v>46803</v>
      </c>
      <c r="AE49" s="280">
        <f>PR[[#This Row],[التكلفة (المحدثه)  شاملة الضريبة]]*0.9</f>
        <v>132247052.55</v>
      </c>
      <c r="AF49" s="247">
        <f>PR[[#This Row],[تاريخ. نهاية. المرحله]]+1</f>
        <v>46804</v>
      </c>
      <c r="AG49" s="248">
        <f>PR[[#This Row],[تاريخ بداية.. المرحله..]]+28</f>
        <v>46832</v>
      </c>
      <c r="AH49" s="280">
        <f>PR[[#This Row],[التكلفة (المحدثه)  شاملة الضريبة]]*0.1</f>
        <v>14694116.950000001</v>
      </c>
      <c r="AI49" s="247">
        <f>PR[[#This Row],[تاريخ ..نهاية المرحله.]]+1</f>
        <v>46833</v>
      </c>
      <c r="AJ49" s="248">
        <f>PR[[#This Row],[.تاريخ بداية المرحله]]+1095</f>
        <v>46873</v>
      </c>
      <c r="AK49" s="8" t="s">
        <v>7</v>
      </c>
      <c r="AL49" s="30" t="s">
        <v>157</v>
      </c>
      <c r="AM49" s="28" t="s">
        <v>158</v>
      </c>
      <c r="AN49" s="9" t="s">
        <v>159</v>
      </c>
      <c r="AO49" s="10">
        <v>45566</v>
      </c>
      <c r="AP49" s="9" t="s">
        <v>160</v>
      </c>
      <c r="AQ49" s="10">
        <v>45581</v>
      </c>
      <c r="AR49" s="16" t="s">
        <v>255</v>
      </c>
      <c r="AS49" s="29" t="s">
        <v>146</v>
      </c>
      <c r="AT49" s="28" t="s">
        <v>157</v>
      </c>
      <c r="AU49" s="37">
        <v>146941169.5</v>
      </c>
      <c r="AV49" s="38">
        <v>45589</v>
      </c>
      <c r="AW49" s="38"/>
      <c r="AX49" s="9"/>
      <c r="AY49" s="9" t="s">
        <v>249</v>
      </c>
      <c r="AZ49" s="38"/>
      <c r="BA49" s="9"/>
    </row>
    <row r="50" spans="1:53" s="11" customFormat="1" ht="54.75" customHeight="1">
      <c r="A50" s="215" t="s">
        <v>256</v>
      </c>
      <c r="B50" s="57" t="s">
        <v>257</v>
      </c>
      <c r="C50" s="53" t="s">
        <v>68</v>
      </c>
      <c r="D50" s="53" t="s">
        <v>150</v>
      </c>
      <c r="E50" s="53" t="s">
        <v>81</v>
      </c>
      <c r="F50" s="53" t="s">
        <v>81</v>
      </c>
      <c r="G50" s="53" t="s">
        <v>86</v>
      </c>
      <c r="H50" s="54">
        <v>40250000</v>
      </c>
      <c r="I50" s="54" t="s">
        <v>258</v>
      </c>
      <c r="J50" s="54">
        <f>PR[[#This Row],[التكلفة (المحدثه)  شاملة الضريبة]]-K50</f>
        <v>0</v>
      </c>
      <c r="K50" s="54">
        <v>118754739</v>
      </c>
      <c r="L50" s="61">
        <v>118754739</v>
      </c>
      <c r="M50" s="43" t="s">
        <v>72</v>
      </c>
      <c r="N50" s="69" t="s">
        <v>157</v>
      </c>
      <c r="O50" s="45" t="s">
        <v>142</v>
      </c>
      <c r="P50" s="75" t="s">
        <v>87</v>
      </c>
      <c r="Q50" s="295"/>
      <c r="R50" s="77" t="s">
        <v>7</v>
      </c>
      <c r="S50" s="228">
        <v>45109</v>
      </c>
      <c r="T50" s="229">
        <v>45139</v>
      </c>
      <c r="U50" s="245">
        <v>45139</v>
      </c>
      <c r="V50" s="246">
        <v>45169</v>
      </c>
      <c r="W50" s="228">
        <v>45169</v>
      </c>
      <c r="X50" s="229">
        <v>45312</v>
      </c>
      <c r="Y50" s="245">
        <v>45386</v>
      </c>
      <c r="Z50" s="246">
        <v>45540</v>
      </c>
      <c r="AA50" s="247">
        <v>45560</v>
      </c>
      <c r="AB50" s="248">
        <f>PR[[#This Row],[تاريخ بداية .المرحله]]+188</f>
        <v>45748</v>
      </c>
      <c r="AC50" s="247">
        <f>PR[[#This Row],[تاريخ. نهاية المرحله]]+1</f>
        <v>45749</v>
      </c>
      <c r="AD50" s="248">
        <f>PR[[#This Row],[.تاريخ بداية المرحله]] + ((PR[[#This Row],[مدة المشروع (شهر)]]*30)-55)</f>
        <v>46774</v>
      </c>
      <c r="AE50" s="280">
        <f>PR[[#This Row],[التكلفة (المحدثه)  شاملة الضريبة]]*0.9</f>
        <v>106879265.10000001</v>
      </c>
      <c r="AF50" s="247">
        <f>PR[[#This Row],[تاريخ. نهاية. المرحله]]+1</f>
        <v>46775</v>
      </c>
      <c r="AG50" s="248">
        <f>PR[[#This Row],[تاريخ بداية.. المرحله..]]+28</f>
        <v>46803</v>
      </c>
      <c r="AH50" s="280">
        <f>PR[[#This Row],[التكلفة (المحدثه)  شاملة الضريبة]]*0.1</f>
        <v>11875473.9</v>
      </c>
      <c r="AI50" s="247">
        <f>PR[[#This Row],[تاريخ ..نهاية المرحله.]]+1</f>
        <v>46804</v>
      </c>
      <c r="AJ50" s="248">
        <f>PR[[#This Row],[.تاريخ بداية المرحله]]+1095</f>
        <v>46844</v>
      </c>
      <c r="AK50" s="8" t="s">
        <v>7</v>
      </c>
      <c r="AL50" s="30" t="s">
        <v>157</v>
      </c>
      <c r="AM50" s="28" t="s">
        <v>158</v>
      </c>
      <c r="AN50" s="9" t="s">
        <v>159</v>
      </c>
      <c r="AO50" s="10">
        <v>45525</v>
      </c>
      <c r="AP50" s="9" t="s">
        <v>160</v>
      </c>
      <c r="AQ50" s="10">
        <v>45545</v>
      </c>
      <c r="AR50" s="16" t="s">
        <v>259</v>
      </c>
      <c r="AS50" s="29" t="s">
        <v>146</v>
      </c>
      <c r="AT50" s="28" t="s">
        <v>157</v>
      </c>
      <c r="AU50" s="37">
        <v>97990073.999999985</v>
      </c>
      <c r="AV50" s="38">
        <v>45560</v>
      </c>
      <c r="AW50" s="38"/>
      <c r="AX50" s="9"/>
      <c r="AY50" s="9" t="s">
        <v>171</v>
      </c>
      <c r="AZ50" s="38"/>
      <c r="BA50" s="9"/>
    </row>
    <row r="51" spans="1:53" s="11" customFormat="1" ht="54.75" customHeight="1">
      <c r="A51" s="214" t="s">
        <v>260</v>
      </c>
      <c r="B51" s="57" t="s">
        <v>261</v>
      </c>
      <c r="C51" s="53" t="s">
        <v>68</v>
      </c>
      <c r="D51" s="53" t="s">
        <v>150</v>
      </c>
      <c r="E51" s="53" t="s">
        <v>81</v>
      </c>
      <c r="F51" s="53" t="s">
        <v>81</v>
      </c>
      <c r="G51" s="53" t="s">
        <v>94</v>
      </c>
      <c r="H51" s="54">
        <v>111549999.99999999</v>
      </c>
      <c r="I51" s="54" t="s">
        <v>151</v>
      </c>
      <c r="J51" s="54">
        <f>PR[[#This Row],[التكلفة (المحدثه)  شاملة الضريبة]]-K51</f>
        <v>0</v>
      </c>
      <c r="K51" s="54">
        <v>235546911.15000001</v>
      </c>
      <c r="L51" s="61">
        <v>235546911.15000001</v>
      </c>
      <c r="M51" s="43" t="s">
        <v>72</v>
      </c>
      <c r="N51" s="69" t="s">
        <v>199</v>
      </c>
      <c r="O51" s="45" t="s">
        <v>142</v>
      </c>
      <c r="P51" s="75" t="s">
        <v>87</v>
      </c>
      <c r="Q51" s="295"/>
      <c r="R51" s="77" t="s">
        <v>7</v>
      </c>
      <c r="S51" s="228">
        <v>45109</v>
      </c>
      <c r="T51" s="229">
        <v>45139</v>
      </c>
      <c r="U51" s="245">
        <v>45139</v>
      </c>
      <c r="V51" s="246">
        <v>45169</v>
      </c>
      <c r="W51" s="228">
        <v>45169</v>
      </c>
      <c r="X51" s="229">
        <v>45312</v>
      </c>
      <c r="Y51" s="245">
        <v>45386</v>
      </c>
      <c r="Z51" s="246">
        <v>45539</v>
      </c>
      <c r="AA51" s="247">
        <v>45561</v>
      </c>
      <c r="AB51" s="248">
        <f>PR[[#This Row],[تاريخ بداية .المرحله]]+188</f>
        <v>45749</v>
      </c>
      <c r="AC51" s="247">
        <f>PR[[#This Row],[تاريخ. نهاية المرحله]]+1</f>
        <v>45750</v>
      </c>
      <c r="AD51" s="248">
        <f>PR[[#This Row],[.تاريخ بداية المرحله]] + ((PR[[#This Row],[مدة المشروع (شهر)]]*30)-55)</f>
        <v>46775</v>
      </c>
      <c r="AE51" s="280">
        <f>PR[[#This Row],[التكلفة (المحدثه)  شاملة الضريبة]]*0.9</f>
        <v>211992220.035</v>
      </c>
      <c r="AF51" s="247">
        <f>PR[[#This Row],[تاريخ. نهاية. المرحله]]+1</f>
        <v>46776</v>
      </c>
      <c r="AG51" s="248">
        <f>PR[[#This Row],[تاريخ بداية.. المرحله..]]+28</f>
        <v>46804</v>
      </c>
      <c r="AH51" s="280">
        <f>PR[[#This Row],[التكلفة (المحدثه)  شاملة الضريبة]]*0.1</f>
        <v>23554691.115000002</v>
      </c>
      <c r="AI51" s="247">
        <f>PR[[#This Row],[تاريخ ..نهاية المرحله.]]+1</f>
        <v>46805</v>
      </c>
      <c r="AJ51" s="248">
        <f>PR[[#This Row],[.تاريخ بداية المرحله]]+1095</f>
        <v>46845</v>
      </c>
      <c r="AK51" s="8" t="s">
        <v>7</v>
      </c>
      <c r="AL51" s="30" t="s">
        <v>199</v>
      </c>
      <c r="AM51" s="28" t="s">
        <v>158</v>
      </c>
      <c r="AN51" s="9" t="s">
        <v>262</v>
      </c>
      <c r="AO51" s="10">
        <v>45799</v>
      </c>
      <c r="AP51" s="9" t="s">
        <v>160</v>
      </c>
      <c r="AQ51" s="10">
        <v>45799</v>
      </c>
      <c r="AR51" s="16" t="s">
        <v>263</v>
      </c>
      <c r="AS51" s="29" t="s">
        <v>146</v>
      </c>
      <c r="AT51" s="28" t="s">
        <v>264</v>
      </c>
      <c r="AU51" s="37">
        <v>0</v>
      </c>
      <c r="AV51" s="38">
        <v>45561</v>
      </c>
      <c r="AW51" s="38"/>
      <c r="AX51" s="9"/>
      <c r="AY51" s="9"/>
      <c r="AZ51" s="38"/>
      <c r="BA51" s="9" t="s">
        <v>178</v>
      </c>
    </row>
    <row r="52" spans="1:53" s="11" customFormat="1" ht="54.75" customHeight="1">
      <c r="A52" s="214" t="s">
        <v>265</v>
      </c>
      <c r="B52" s="57" t="s">
        <v>266</v>
      </c>
      <c r="C52" s="53" t="s">
        <v>68</v>
      </c>
      <c r="D52" s="53" t="s">
        <v>150</v>
      </c>
      <c r="E52" s="53" t="s">
        <v>81</v>
      </c>
      <c r="F52" s="53" t="s">
        <v>93</v>
      </c>
      <c r="G52" s="53" t="s">
        <v>86</v>
      </c>
      <c r="H52" s="54">
        <v>28749999.999999996</v>
      </c>
      <c r="I52" s="54" t="s">
        <v>156</v>
      </c>
      <c r="J52" s="54">
        <f>PR[[#This Row],[التكلفة (المحدثه)  شاملة الضريبة]]-K52</f>
        <v>0</v>
      </c>
      <c r="K52" s="54">
        <v>30431665.699999999</v>
      </c>
      <c r="L52" s="312">
        <v>30431665.699999999</v>
      </c>
      <c r="M52" s="43" t="s">
        <v>72</v>
      </c>
      <c r="N52" s="55" t="s">
        <v>267</v>
      </c>
      <c r="O52" s="45" t="s">
        <v>142</v>
      </c>
      <c r="P52" s="45"/>
      <c r="Q52" s="298">
        <v>30431665.699999999</v>
      </c>
      <c r="R52" s="77" t="s">
        <v>268</v>
      </c>
      <c r="S52" s="154">
        <v>45109</v>
      </c>
      <c r="T52" s="155">
        <v>45139</v>
      </c>
      <c r="U52" s="156">
        <v>45139</v>
      </c>
      <c r="V52" s="157">
        <v>45169</v>
      </c>
      <c r="W52" s="154">
        <v>45169</v>
      </c>
      <c r="X52" s="155">
        <v>45312</v>
      </c>
      <c r="Y52" s="156">
        <v>45386</v>
      </c>
      <c r="Z52" s="157">
        <v>45566</v>
      </c>
      <c r="AA52" s="154">
        <v>45592</v>
      </c>
      <c r="AB52" s="158">
        <v>45944</v>
      </c>
      <c r="AC52" s="154">
        <v>46004</v>
      </c>
      <c r="AD52" s="159">
        <v>46618</v>
      </c>
      <c r="AE52" s="285">
        <f>PR[[#This Row],[التكلفة (المحدثه)  شاملة الضريبة]]*0.9</f>
        <v>27388499.129999999</v>
      </c>
      <c r="AF52" s="160">
        <v>46046</v>
      </c>
      <c r="AG52" s="159">
        <v>46662</v>
      </c>
      <c r="AH52" s="273">
        <f>PR[[#This Row],[التكلفة (المحدثه)  شاملة الضريبة]]*0.1</f>
        <v>3043166.5700000003</v>
      </c>
      <c r="AI52" s="160">
        <v>46643</v>
      </c>
      <c r="AJ52" s="159">
        <v>46681</v>
      </c>
      <c r="AK52" s="8" t="s">
        <v>268</v>
      </c>
      <c r="AL52" s="28" t="s">
        <v>267</v>
      </c>
      <c r="AM52" s="28" t="s">
        <v>267</v>
      </c>
      <c r="AN52" s="9" t="s">
        <v>159</v>
      </c>
      <c r="AO52" s="10">
        <v>45827</v>
      </c>
      <c r="AP52" s="9">
        <v>902250353</v>
      </c>
      <c r="AQ52" s="10">
        <v>45831</v>
      </c>
      <c r="AR52" s="16" t="s">
        <v>267</v>
      </c>
      <c r="AS52" s="29" t="s">
        <v>146</v>
      </c>
      <c r="AT52" s="29" t="s">
        <v>201</v>
      </c>
      <c r="AU52" s="37">
        <v>30431665.699999999</v>
      </c>
      <c r="AV52" s="38">
        <v>45592</v>
      </c>
      <c r="AW52" s="38">
        <v>45854</v>
      </c>
      <c r="AX52" s="9">
        <v>901250206</v>
      </c>
      <c r="AY52" s="9" t="s">
        <v>269</v>
      </c>
      <c r="AZ52" s="38"/>
      <c r="BA52" s="9"/>
    </row>
    <row r="53" spans="1:53" s="11" customFormat="1" ht="54.75" customHeight="1">
      <c r="A53" s="214" t="s">
        <v>270</v>
      </c>
      <c r="B53" s="57" t="s">
        <v>271</v>
      </c>
      <c r="C53" s="53" t="s">
        <v>68</v>
      </c>
      <c r="D53" s="53" t="s">
        <v>150</v>
      </c>
      <c r="E53" s="53" t="s">
        <v>81</v>
      </c>
      <c r="F53" s="53" t="s">
        <v>81</v>
      </c>
      <c r="G53" s="53" t="s">
        <v>86</v>
      </c>
      <c r="H53" s="54">
        <v>59799999.999999993</v>
      </c>
      <c r="I53" s="54" t="s">
        <v>156</v>
      </c>
      <c r="J53" s="54">
        <f>PR[[#This Row],[التكلفة (المحدثه)  شاملة الضريبة]]-K53</f>
        <v>0</v>
      </c>
      <c r="K53" s="54">
        <v>37933893.100000001</v>
      </c>
      <c r="L53" s="312">
        <v>37933893.100000001</v>
      </c>
      <c r="M53" s="43" t="s">
        <v>72</v>
      </c>
      <c r="N53" s="55" t="s">
        <v>267</v>
      </c>
      <c r="O53" s="45" t="s">
        <v>142</v>
      </c>
      <c r="P53" s="45"/>
      <c r="Q53" s="298">
        <v>37933893.100000001</v>
      </c>
      <c r="R53" s="77" t="s">
        <v>268</v>
      </c>
      <c r="S53" s="154">
        <v>45109</v>
      </c>
      <c r="T53" s="155">
        <v>45139</v>
      </c>
      <c r="U53" s="156">
        <v>45139</v>
      </c>
      <c r="V53" s="157">
        <v>45169</v>
      </c>
      <c r="W53" s="154">
        <v>45169</v>
      </c>
      <c r="X53" s="155">
        <v>45312</v>
      </c>
      <c r="Y53" s="156">
        <v>45386</v>
      </c>
      <c r="Z53" s="157">
        <v>45603</v>
      </c>
      <c r="AA53" s="154">
        <v>45687</v>
      </c>
      <c r="AB53" s="158">
        <v>45943</v>
      </c>
      <c r="AC53" s="154">
        <v>46033</v>
      </c>
      <c r="AD53" s="159">
        <v>46965</v>
      </c>
      <c r="AE53" s="285">
        <f>PR[[#This Row],[التكلفة (المحدثه)  شاملة الضريبة]]*0.9</f>
        <v>34140503.789999999</v>
      </c>
      <c r="AF53" s="160">
        <v>46120</v>
      </c>
      <c r="AG53" s="159">
        <v>46965</v>
      </c>
      <c r="AH53" s="273">
        <f>PR[[#This Row],[التكلفة (المحدثه)  شاملة الضريبة]]*0.1</f>
        <v>3793389.3100000005</v>
      </c>
      <c r="AI53" s="160">
        <v>47009</v>
      </c>
      <c r="AJ53" s="159">
        <v>47044</v>
      </c>
      <c r="AK53" s="8" t="s">
        <v>268</v>
      </c>
      <c r="AL53" s="28" t="s">
        <v>267</v>
      </c>
      <c r="AM53" s="28" t="s">
        <v>267</v>
      </c>
      <c r="AN53" s="9" t="s">
        <v>159</v>
      </c>
      <c r="AO53" s="10">
        <v>45615</v>
      </c>
      <c r="AP53" s="9">
        <v>902240630</v>
      </c>
      <c r="AQ53" s="10">
        <v>45638</v>
      </c>
      <c r="AR53" s="16" t="s">
        <v>267</v>
      </c>
      <c r="AS53" s="29" t="s">
        <v>146</v>
      </c>
      <c r="AT53" s="29" t="s">
        <v>157</v>
      </c>
      <c r="AU53" s="37">
        <v>37933893.099999994</v>
      </c>
      <c r="AV53" s="38">
        <v>45687</v>
      </c>
      <c r="AW53" s="38">
        <v>45832</v>
      </c>
      <c r="AX53" s="9">
        <v>901250199</v>
      </c>
      <c r="AY53" s="9" t="s">
        <v>272</v>
      </c>
      <c r="AZ53" s="38"/>
      <c r="BA53" s="9"/>
    </row>
    <row r="54" spans="1:53" s="11" customFormat="1" ht="54.75" customHeight="1">
      <c r="A54" s="214" t="s">
        <v>273</v>
      </c>
      <c r="B54" s="57" t="s">
        <v>274</v>
      </c>
      <c r="C54" s="53" t="s">
        <v>68</v>
      </c>
      <c r="D54" s="53" t="s">
        <v>150</v>
      </c>
      <c r="E54" s="53" t="s">
        <v>81</v>
      </c>
      <c r="F54" s="53" t="s">
        <v>194</v>
      </c>
      <c r="G54" s="53" t="s">
        <v>86</v>
      </c>
      <c r="H54" s="54">
        <v>109249999.99999999</v>
      </c>
      <c r="I54" s="54" t="s">
        <v>258</v>
      </c>
      <c r="J54" s="54">
        <f>PR[[#This Row],[التكلفة (المحدثه)  شاملة الضريبة]]-K54</f>
        <v>0</v>
      </c>
      <c r="K54" s="54">
        <v>43412500</v>
      </c>
      <c r="L54" s="312">
        <v>43412500</v>
      </c>
      <c r="M54" s="43" t="s">
        <v>72</v>
      </c>
      <c r="N54" s="55" t="s">
        <v>267</v>
      </c>
      <c r="O54" s="45" t="s">
        <v>142</v>
      </c>
      <c r="P54" s="45"/>
      <c r="Q54" s="298">
        <v>43412500</v>
      </c>
      <c r="R54" s="77" t="s">
        <v>268</v>
      </c>
      <c r="S54" s="154">
        <v>45109</v>
      </c>
      <c r="T54" s="155">
        <v>45139</v>
      </c>
      <c r="U54" s="156">
        <v>45139</v>
      </c>
      <c r="V54" s="157">
        <v>45169</v>
      </c>
      <c r="W54" s="154">
        <v>45169</v>
      </c>
      <c r="X54" s="155">
        <v>45312</v>
      </c>
      <c r="Y54" s="156">
        <v>45386</v>
      </c>
      <c r="Z54" s="157">
        <v>45603</v>
      </c>
      <c r="AA54" s="154">
        <v>45642</v>
      </c>
      <c r="AB54" s="158">
        <v>45902</v>
      </c>
      <c r="AC54" s="154">
        <v>45997</v>
      </c>
      <c r="AD54" s="159">
        <v>46972</v>
      </c>
      <c r="AE54" s="285">
        <f>PR[[#This Row],[التكلفة (المحدثه)  شاملة الضريبة]]*0.9</f>
        <v>39071250</v>
      </c>
      <c r="AF54" s="160">
        <v>46043</v>
      </c>
      <c r="AG54" s="159">
        <v>46909</v>
      </c>
      <c r="AH54" s="273">
        <f>PR[[#This Row],[التكلفة (المحدثه)  شاملة الضريبة]]*0.1</f>
        <v>4341250</v>
      </c>
      <c r="AI54" s="160">
        <v>46754</v>
      </c>
      <c r="AJ54" s="159">
        <v>47003</v>
      </c>
      <c r="AK54" s="8" t="s">
        <v>268</v>
      </c>
      <c r="AL54" s="28" t="s">
        <v>267</v>
      </c>
      <c r="AM54" s="28" t="s">
        <v>267</v>
      </c>
      <c r="AN54" s="9" t="s">
        <v>159</v>
      </c>
      <c r="AO54" s="10">
        <v>45634</v>
      </c>
      <c r="AP54" s="9">
        <v>902240658</v>
      </c>
      <c r="AQ54" s="10">
        <v>45635</v>
      </c>
      <c r="AR54" s="16" t="s">
        <v>267</v>
      </c>
      <c r="AS54" s="29" t="s">
        <v>146</v>
      </c>
      <c r="AT54" s="29" t="s">
        <v>185</v>
      </c>
      <c r="AU54" s="37">
        <v>43412500</v>
      </c>
      <c r="AV54" s="38">
        <v>45642</v>
      </c>
      <c r="AW54" s="38">
        <v>45827</v>
      </c>
      <c r="AX54" s="9">
        <v>901250191</v>
      </c>
      <c r="AY54" s="9" t="s">
        <v>275</v>
      </c>
      <c r="AZ54" s="38">
        <v>45902</v>
      </c>
      <c r="BA54" s="9"/>
    </row>
    <row r="55" spans="1:53" s="11" customFormat="1" ht="54.75" customHeight="1">
      <c r="A55" s="214" t="s">
        <v>276</v>
      </c>
      <c r="B55" s="57" t="s">
        <v>277</v>
      </c>
      <c r="C55" s="53" t="s">
        <v>68</v>
      </c>
      <c r="D55" s="53" t="s">
        <v>150</v>
      </c>
      <c r="E55" s="53" t="s">
        <v>81</v>
      </c>
      <c r="F55" s="53" t="s">
        <v>81</v>
      </c>
      <c r="G55" s="53" t="s">
        <v>86</v>
      </c>
      <c r="H55" s="54">
        <v>114999999.99999999</v>
      </c>
      <c r="I55" s="54" t="s">
        <v>198</v>
      </c>
      <c r="J55" s="54">
        <f>PR[[#This Row],[التكلفة (المحدثه)  شاملة الضريبة]]-K55</f>
        <v>0</v>
      </c>
      <c r="K55" s="54">
        <v>68354965</v>
      </c>
      <c r="L55" s="312">
        <v>68354965</v>
      </c>
      <c r="M55" s="43" t="s">
        <v>72</v>
      </c>
      <c r="N55" s="55" t="s">
        <v>267</v>
      </c>
      <c r="O55" s="45" t="s">
        <v>142</v>
      </c>
      <c r="P55" s="75">
        <v>36</v>
      </c>
      <c r="Q55" s="298">
        <v>68354965</v>
      </c>
      <c r="R55" s="179" t="s">
        <v>268</v>
      </c>
      <c r="S55" s="161">
        <v>45109</v>
      </c>
      <c r="T55" s="162">
        <v>45139</v>
      </c>
      <c r="U55" s="163">
        <v>45139</v>
      </c>
      <c r="V55" s="164">
        <v>45169</v>
      </c>
      <c r="W55" s="161">
        <v>45169</v>
      </c>
      <c r="X55" s="162">
        <v>45312</v>
      </c>
      <c r="Y55" s="163">
        <v>45575</v>
      </c>
      <c r="Z55" s="164">
        <v>45637</v>
      </c>
      <c r="AA55" s="165">
        <v>45665</v>
      </c>
      <c r="AB55" s="166">
        <v>45972</v>
      </c>
      <c r="AC55" s="271">
        <f>PR[[#This Row],[تاريخ. نهاية المرحله]]+1</f>
        <v>45973</v>
      </c>
      <c r="AD55" s="148">
        <f>PR[[#This Row],[.تاريخ بداية المرحله]] + ((PR[[#This Row],[مدة المشروع (شهر)]]*30)-55)</f>
        <v>46998</v>
      </c>
      <c r="AE55" s="286">
        <f>PR[[#This Row],[التكلفة (المحدثه)  شاملة الضريبة]]*0.9</f>
        <v>61519468.5</v>
      </c>
      <c r="AF55" s="147">
        <f>PR[[#This Row],[تاريخ. نهاية. المرحله]]+1</f>
        <v>46999</v>
      </c>
      <c r="AG55" s="148">
        <f>PR[[#This Row],[تاريخ بداية.. المرحله..]]+28</f>
        <v>47027</v>
      </c>
      <c r="AH55" s="274">
        <f>PR[[#This Row],[التكلفة (المحدثه)  شاملة الضريبة]]*0.1</f>
        <v>6835496.5</v>
      </c>
      <c r="AI55" s="149">
        <f>PR[[#This Row],[تاريخ ..نهاية المرحله.]]+1</f>
        <v>47028</v>
      </c>
      <c r="AJ55" s="150">
        <f>PR[[#This Row],[.تاريخ بداية المرحله]]+1095</f>
        <v>47068</v>
      </c>
      <c r="AK55" s="8" t="s">
        <v>7</v>
      </c>
      <c r="AL55" s="28" t="s">
        <v>278</v>
      </c>
      <c r="AM55" s="28" t="s">
        <v>158</v>
      </c>
      <c r="AN55" s="9" t="s">
        <v>159</v>
      </c>
      <c r="AO55" s="10">
        <v>45649</v>
      </c>
      <c r="AP55" s="9">
        <v>902240684</v>
      </c>
      <c r="AQ55" s="10">
        <v>45649</v>
      </c>
      <c r="AR55" s="16" t="s">
        <v>279</v>
      </c>
      <c r="AS55" s="29" t="s">
        <v>146</v>
      </c>
      <c r="AT55" s="28" t="s">
        <v>279</v>
      </c>
      <c r="AU55" s="37">
        <v>68354965</v>
      </c>
      <c r="AV55" s="38">
        <v>45665</v>
      </c>
      <c r="AW55" s="38">
        <v>45875</v>
      </c>
      <c r="AX55" s="9">
        <v>901250253</v>
      </c>
      <c r="AY55" s="9" t="s">
        <v>272</v>
      </c>
      <c r="AZ55" s="38"/>
      <c r="BA55" s="9"/>
    </row>
    <row r="56" spans="1:53" s="11" customFormat="1" ht="54.75" customHeight="1">
      <c r="A56" s="214" t="s">
        <v>280</v>
      </c>
      <c r="B56" s="57" t="s">
        <v>281</v>
      </c>
      <c r="C56" s="53" t="s">
        <v>68</v>
      </c>
      <c r="D56" s="53" t="s">
        <v>150</v>
      </c>
      <c r="E56" s="53" t="s">
        <v>81</v>
      </c>
      <c r="F56" s="53" t="s">
        <v>107</v>
      </c>
      <c r="G56" s="53" t="s">
        <v>94</v>
      </c>
      <c r="H56" s="54">
        <v>86250000</v>
      </c>
      <c r="I56" s="54" t="s">
        <v>184</v>
      </c>
      <c r="J56" s="54">
        <f>PR[[#This Row],[التكلفة (المحدثه)  شاملة الضريبة]]-K56</f>
        <v>0</v>
      </c>
      <c r="K56" s="54">
        <v>47026323</v>
      </c>
      <c r="L56" s="312">
        <v>47026323</v>
      </c>
      <c r="M56" s="43" t="s">
        <v>72</v>
      </c>
      <c r="N56" s="55" t="s">
        <v>267</v>
      </c>
      <c r="O56" s="45" t="s">
        <v>142</v>
      </c>
      <c r="P56" s="45"/>
      <c r="Q56" s="298">
        <v>47026323</v>
      </c>
      <c r="R56" s="77" t="s">
        <v>268</v>
      </c>
      <c r="S56" s="154">
        <v>45109</v>
      </c>
      <c r="T56" s="155">
        <v>45139</v>
      </c>
      <c r="U56" s="156">
        <v>45139</v>
      </c>
      <c r="V56" s="157">
        <v>45169</v>
      </c>
      <c r="W56" s="154">
        <v>45169</v>
      </c>
      <c r="X56" s="155">
        <v>45312</v>
      </c>
      <c r="Y56" s="156">
        <v>45575</v>
      </c>
      <c r="Z56" s="157">
        <v>45643</v>
      </c>
      <c r="AA56" s="154">
        <v>45692</v>
      </c>
      <c r="AB56" s="158">
        <v>45851</v>
      </c>
      <c r="AC56" s="154">
        <v>45952</v>
      </c>
      <c r="AD56" s="159">
        <v>46945</v>
      </c>
      <c r="AE56" s="285">
        <f>PR[[#This Row],[التكلفة (المحدثه)  شاملة الضريبة]]*0.9</f>
        <v>42323690.700000003</v>
      </c>
      <c r="AF56" s="160">
        <v>46223</v>
      </c>
      <c r="AG56" s="159">
        <v>46957</v>
      </c>
      <c r="AH56" s="273">
        <f>PR[[#This Row],[التكلفة (المحدثه)  شاملة الضريبة]]*0.1</f>
        <v>4702632.3</v>
      </c>
      <c r="AI56" s="160">
        <v>46914</v>
      </c>
      <c r="AJ56" s="159">
        <v>46963</v>
      </c>
      <c r="AK56" s="8" t="s">
        <v>268</v>
      </c>
      <c r="AL56" s="28" t="s">
        <v>267</v>
      </c>
      <c r="AM56" s="28" t="s">
        <v>267</v>
      </c>
      <c r="AN56" s="9" t="s">
        <v>159</v>
      </c>
      <c r="AO56" s="10">
        <v>45678</v>
      </c>
      <c r="AP56" s="9">
        <v>902250036</v>
      </c>
      <c r="AQ56" s="10">
        <v>45686</v>
      </c>
      <c r="AR56" s="16" t="s">
        <v>267</v>
      </c>
      <c r="AS56" s="29" t="s">
        <v>146</v>
      </c>
      <c r="AT56" s="28" t="s">
        <v>185</v>
      </c>
      <c r="AU56" s="37">
        <v>47026322.997000001</v>
      </c>
      <c r="AV56" s="38">
        <v>45692</v>
      </c>
      <c r="AW56" s="38">
        <v>45783</v>
      </c>
      <c r="AX56" s="9">
        <v>901250150</v>
      </c>
      <c r="AY56" s="9" t="s">
        <v>282</v>
      </c>
      <c r="AZ56" s="38">
        <v>45851</v>
      </c>
      <c r="BA56" s="9"/>
    </row>
    <row r="57" spans="1:53" s="11" customFormat="1" ht="54.75" customHeight="1">
      <c r="A57" s="214" t="s">
        <v>283</v>
      </c>
      <c r="B57" s="57" t="s">
        <v>284</v>
      </c>
      <c r="C57" s="53" t="s">
        <v>68</v>
      </c>
      <c r="D57" s="53" t="s">
        <v>150</v>
      </c>
      <c r="E57" s="53" t="s">
        <v>81</v>
      </c>
      <c r="F57" s="53" t="s">
        <v>194</v>
      </c>
      <c r="G57" s="53" t="s">
        <v>94</v>
      </c>
      <c r="H57" s="54">
        <v>57500000</v>
      </c>
      <c r="I57" s="54" t="s">
        <v>181</v>
      </c>
      <c r="J57" s="54">
        <f>PR[[#This Row],[التكلفة (المحدثه)  شاملة الضريبة]]-K57</f>
        <v>0</v>
      </c>
      <c r="K57" s="54">
        <v>25754250</v>
      </c>
      <c r="L57" s="312">
        <v>25754250</v>
      </c>
      <c r="M57" s="43" t="s">
        <v>72</v>
      </c>
      <c r="N57" s="55" t="s">
        <v>267</v>
      </c>
      <c r="O57" s="45" t="s">
        <v>142</v>
      </c>
      <c r="P57" s="45"/>
      <c r="Q57" s="298">
        <v>25754250</v>
      </c>
      <c r="R57" s="77" t="s">
        <v>268</v>
      </c>
      <c r="S57" s="154">
        <v>45109</v>
      </c>
      <c r="T57" s="155">
        <v>45139</v>
      </c>
      <c r="U57" s="156">
        <v>45139</v>
      </c>
      <c r="V57" s="157">
        <v>45169</v>
      </c>
      <c r="W57" s="154">
        <v>45169</v>
      </c>
      <c r="X57" s="155">
        <v>45312</v>
      </c>
      <c r="Y57" s="156">
        <v>45575</v>
      </c>
      <c r="Z57" s="157">
        <v>45642</v>
      </c>
      <c r="AA57" s="154">
        <v>45665</v>
      </c>
      <c r="AB57" s="158">
        <v>45900</v>
      </c>
      <c r="AC57" s="154">
        <v>45985</v>
      </c>
      <c r="AD57" s="159">
        <v>46910</v>
      </c>
      <c r="AE57" s="285">
        <f>PR[[#This Row],[التكلفة (المحدثه)  شاملة الضريبة]]*0.9</f>
        <v>23178825</v>
      </c>
      <c r="AF57" s="160">
        <v>46695</v>
      </c>
      <c r="AG57" s="159">
        <v>46980</v>
      </c>
      <c r="AH57" s="273">
        <f>PR[[#This Row],[التكلفة (المحدثه)  شاملة الضريبة]]*0.1</f>
        <v>2575425</v>
      </c>
      <c r="AI57" s="160">
        <v>46950</v>
      </c>
      <c r="AJ57" s="159">
        <v>47005</v>
      </c>
      <c r="AK57" s="8" t="s">
        <v>268</v>
      </c>
      <c r="AL57" s="28" t="s">
        <v>267</v>
      </c>
      <c r="AM57" s="183" t="s">
        <v>267</v>
      </c>
      <c r="AN57" s="9" t="s">
        <v>159</v>
      </c>
      <c r="AO57" s="10">
        <v>45655</v>
      </c>
      <c r="AP57" s="9">
        <v>902240704</v>
      </c>
      <c r="AQ57" s="10">
        <v>45659</v>
      </c>
      <c r="AR57" s="16" t="s">
        <v>267</v>
      </c>
      <c r="AS57" s="29" t="s">
        <v>146</v>
      </c>
      <c r="AT57" s="28" t="s">
        <v>157</v>
      </c>
      <c r="AU57" s="37">
        <v>25754249.999999996</v>
      </c>
      <c r="AV57" s="38">
        <v>45665</v>
      </c>
      <c r="AW57" s="38">
        <v>45827</v>
      </c>
      <c r="AX57" s="9">
        <v>901250200</v>
      </c>
      <c r="AY57" s="9" t="s">
        <v>285</v>
      </c>
      <c r="AZ57" s="38">
        <v>45900</v>
      </c>
      <c r="BA57" s="9"/>
    </row>
    <row r="58" spans="1:53" s="11" customFormat="1" ht="54.75" customHeight="1">
      <c r="A58" s="214" t="s">
        <v>286</v>
      </c>
      <c r="B58" s="57" t="s">
        <v>287</v>
      </c>
      <c r="C58" s="53" t="s">
        <v>68</v>
      </c>
      <c r="D58" s="53" t="s">
        <v>150</v>
      </c>
      <c r="E58" s="53" t="s">
        <v>81</v>
      </c>
      <c r="F58" s="53" t="s">
        <v>110</v>
      </c>
      <c r="G58" s="53" t="s">
        <v>86</v>
      </c>
      <c r="H58" s="54">
        <v>28749999.999999996</v>
      </c>
      <c r="I58" s="54" t="s">
        <v>198</v>
      </c>
      <c r="J58" s="54">
        <f>PR[[#This Row],[التكلفة (المحدثه)  شاملة الضريبة]]-K58</f>
        <v>0</v>
      </c>
      <c r="K58" s="54">
        <v>21801222.75</v>
      </c>
      <c r="L58" s="312">
        <v>21801222.75</v>
      </c>
      <c r="M58" s="43" t="s">
        <v>72</v>
      </c>
      <c r="N58" s="44" t="s">
        <v>267</v>
      </c>
      <c r="O58" s="45" t="s">
        <v>142</v>
      </c>
      <c r="P58" s="75">
        <v>36</v>
      </c>
      <c r="Q58" s="298">
        <v>21801222.75</v>
      </c>
      <c r="R58" s="179" t="s">
        <v>268</v>
      </c>
      <c r="S58" s="161">
        <v>45109</v>
      </c>
      <c r="T58" s="162">
        <v>45139</v>
      </c>
      <c r="U58" s="163">
        <v>45139</v>
      </c>
      <c r="V58" s="164">
        <v>45169</v>
      </c>
      <c r="W58" s="161">
        <v>45169</v>
      </c>
      <c r="X58" s="162">
        <v>45312</v>
      </c>
      <c r="Y58" s="163">
        <v>45575</v>
      </c>
      <c r="Z58" s="164">
        <v>45700</v>
      </c>
      <c r="AA58" s="165">
        <v>45789</v>
      </c>
      <c r="AB58" s="166">
        <v>45966</v>
      </c>
      <c r="AC58" s="271">
        <f>PR[[#This Row],[تاريخ. نهاية المرحله]]+1</f>
        <v>45967</v>
      </c>
      <c r="AD58" s="148">
        <f>PR[[#This Row],[.تاريخ بداية المرحله]] + ((PR[[#This Row],[مدة المشروع (شهر)]]*30)-55)</f>
        <v>46992</v>
      </c>
      <c r="AE58" s="286">
        <f>PR[[#This Row],[التكلفة (المحدثه)  شاملة الضريبة]]*0.9</f>
        <v>19621100.475000001</v>
      </c>
      <c r="AF58" s="147">
        <f>PR[[#This Row],[تاريخ. نهاية. المرحله]]+1</f>
        <v>46993</v>
      </c>
      <c r="AG58" s="148">
        <f>PR[[#This Row],[تاريخ بداية.. المرحله..]]+28</f>
        <v>47021</v>
      </c>
      <c r="AH58" s="274">
        <f>PR[[#This Row],[التكلفة (المحدثه)  شاملة الضريبة]]*0.1</f>
        <v>2180122.2749999999</v>
      </c>
      <c r="AI58" s="149">
        <f>PR[[#This Row],[تاريخ ..نهاية المرحله.]]+1</f>
        <v>47022</v>
      </c>
      <c r="AJ58" s="150">
        <f>PR[[#This Row],[.تاريخ بداية المرحله]]+1095</f>
        <v>47062</v>
      </c>
      <c r="AK58" s="8" t="s">
        <v>7</v>
      </c>
      <c r="AL58" s="32" t="s">
        <v>278</v>
      </c>
      <c r="AM58" s="28" t="s">
        <v>158</v>
      </c>
      <c r="AN58" s="9" t="s">
        <v>159</v>
      </c>
      <c r="AO58" s="10">
        <v>45771</v>
      </c>
      <c r="AP58" s="9">
        <v>902250263</v>
      </c>
      <c r="AQ58" s="10">
        <v>45771</v>
      </c>
      <c r="AR58" s="16" t="s">
        <v>279</v>
      </c>
      <c r="AS58" s="29" t="s">
        <v>146</v>
      </c>
      <c r="AT58" s="28" t="s">
        <v>279</v>
      </c>
      <c r="AU58" s="37">
        <v>21801222.75</v>
      </c>
      <c r="AV58" s="38">
        <v>45789</v>
      </c>
      <c r="AW58" s="38">
        <v>45902</v>
      </c>
      <c r="AX58" s="9">
        <v>901250341</v>
      </c>
      <c r="AY58" s="9" t="s">
        <v>288</v>
      </c>
      <c r="AZ58" s="38"/>
      <c r="BA58" s="9"/>
    </row>
    <row r="59" spans="1:53" s="11" customFormat="1" ht="54.75" customHeight="1">
      <c r="A59" s="214" t="s">
        <v>289</v>
      </c>
      <c r="B59" s="57" t="s">
        <v>290</v>
      </c>
      <c r="C59" s="53" t="s">
        <v>68</v>
      </c>
      <c r="D59" s="53" t="s">
        <v>165</v>
      </c>
      <c r="E59" s="53" t="s">
        <v>81</v>
      </c>
      <c r="F59" s="53" t="s">
        <v>114</v>
      </c>
      <c r="G59" s="53" t="s">
        <v>86</v>
      </c>
      <c r="H59" s="54">
        <v>63249999.999999993</v>
      </c>
      <c r="I59" s="54" t="e">
        <v>#N/A</v>
      </c>
      <c r="J59" s="54">
        <f>PR[[#This Row],[التكلفة (المحدثه)  شاملة الضريبة]]-K59</f>
        <v>0</v>
      </c>
      <c r="K59" s="54">
        <v>20790349.75</v>
      </c>
      <c r="L59" s="312">
        <v>20790349.75</v>
      </c>
      <c r="M59" s="43" t="s">
        <v>72</v>
      </c>
      <c r="N59" s="55" t="s">
        <v>267</v>
      </c>
      <c r="O59" s="45" t="s">
        <v>142</v>
      </c>
      <c r="P59" s="45"/>
      <c r="Q59" s="298">
        <v>20790349.75</v>
      </c>
      <c r="R59" s="77" t="s">
        <v>268</v>
      </c>
      <c r="S59" s="154">
        <v>45109</v>
      </c>
      <c r="T59" s="155">
        <v>45139</v>
      </c>
      <c r="U59" s="156">
        <v>45587</v>
      </c>
      <c r="V59" s="157">
        <v>45617</v>
      </c>
      <c r="W59" s="154">
        <f>PR[[#This Row],[تاريخ نهاية المرحله…]]+1</f>
        <v>45618</v>
      </c>
      <c r="X59" s="155">
        <f>PR[[#This Row],[تاريخ بداية المرحله-.]]-1</f>
        <v>45660</v>
      </c>
      <c r="Y59" s="156">
        <v>45661</v>
      </c>
      <c r="Z59" s="157">
        <v>45706</v>
      </c>
      <c r="AA59" s="154">
        <v>45726</v>
      </c>
      <c r="AB59" s="158">
        <v>45888</v>
      </c>
      <c r="AC59" s="154">
        <v>45948</v>
      </c>
      <c r="AD59" s="159">
        <v>46609</v>
      </c>
      <c r="AE59" s="285">
        <f>PR[[#This Row],[التكلفة (المحدثه)  شاملة الضريبة]]*0.9</f>
        <v>18711314.775000002</v>
      </c>
      <c r="AF59" s="160">
        <v>45981</v>
      </c>
      <c r="AG59" s="159">
        <v>46609</v>
      </c>
      <c r="AH59" s="273">
        <f>PR[[#This Row],[التكلفة (المحدثه)  شاملة الضريبة]]*0.1</f>
        <v>2079034.9750000001</v>
      </c>
      <c r="AI59" s="160">
        <v>46576</v>
      </c>
      <c r="AJ59" s="159">
        <v>46631</v>
      </c>
      <c r="AK59" s="8" t="s">
        <v>268</v>
      </c>
      <c r="AL59" s="32" t="s">
        <v>267</v>
      </c>
      <c r="AM59" s="28" t="s">
        <v>267</v>
      </c>
      <c r="AN59" s="9" t="s">
        <v>159</v>
      </c>
      <c r="AO59" s="10">
        <v>45715</v>
      </c>
      <c r="AP59" s="9">
        <v>902250144</v>
      </c>
      <c r="AQ59" s="10">
        <v>45720</v>
      </c>
      <c r="AR59" s="16" t="s">
        <v>267</v>
      </c>
      <c r="AS59" s="29" t="s">
        <v>146</v>
      </c>
      <c r="AT59" s="28" t="s">
        <v>226</v>
      </c>
      <c r="AU59" s="37">
        <v>20790349.75</v>
      </c>
      <c r="AV59" s="38">
        <v>45726</v>
      </c>
      <c r="AW59" s="38">
        <v>45830</v>
      </c>
      <c r="AX59" s="9">
        <v>901250201</v>
      </c>
      <c r="AY59" s="9" t="s">
        <v>291</v>
      </c>
      <c r="AZ59" s="38">
        <v>45888</v>
      </c>
      <c r="BA59" s="9"/>
    </row>
    <row r="60" spans="1:53" s="11" customFormat="1" ht="54.75" customHeight="1">
      <c r="A60" s="215" t="s">
        <v>292</v>
      </c>
      <c r="B60" s="57" t="s">
        <v>293</v>
      </c>
      <c r="C60" s="53" t="s">
        <v>68</v>
      </c>
      <c r="D60" s="53" t="s">
        <v>165</v>
      </c>
      <c r="E60" s="53" t="s">
        <v>81</v>
      </c>
      <c r="F60" s="53" t="s">
        <v>294</v>
      </c>
      <c r="G60" s="53" t="s">
        <v>122</v>
      </c>
      <c r="H60" s="54">
        <v>221143052.67049998</v>
      </c>
      <c r="I60" s="54" t="e">
        <v>#N/A</v>
      </c>
      <c r="J60" s="54">
        <f>PR[[#This Row],[التكلفة (المحدثه)  شاملة الضريبة]]-K60</f>
        <v>0</v>
      </c>
      <c r="K60" s="54">
        <v>221143052.28</v>
      </c>
      <c r="L60" s="312">
        <v>221143052.28</v>
      </c>
      <c r="M60" s="43" t="s">
        <v>72</v>
      </c>
      <c r="N60" s="55" t="s">
        <v>267</v>
      </c>
      <c r="O60" s="45" t="s">
        <v>142</v>
      </c>
      <c r="P60" s="45"/>
      <c r="Q60" s="298">
        <v>221143052.28</v>
      </c>
      <c r="R60" s="77" t="s">
        <v>268</v>
      </c>
      <c r="S60" s="154">
        <v>45049</v>
      </c>
      <c r="T60" s="155">
        <v>45079</v>
      </c>
      <c r="U60" s="156">
        <v>45079</v>
      </c>
      <c r="V60" s="157">
        <v>45109</v>
      </c>
      <c r="W60" s="154">
        <f>PR[[#This Row],[تاريخ نهاية المرحله…]]+1</f>
        <v>45110</v>
      </c>
      <c r="X60" s="155">
        <f>PR[[#This Row],[تاريخ بداية المرحله-.]]-1</f>
        <v>45138</v>
      </c>
      <c r="Y60" s="156">
        <v>45139</v>
      </c>
      <c r="Z60" s="157">
        <f>PR[[#This Row],[تاريخ بداية .المرحله]]-1</f>
        <v>45168</v>
      </c>
      <c r="AA60" s="154">
        <v>45169</v>
      </c>
      <c r="AB60" s="158">
        <v>45295</v>
      </c>
      <c r="AC60" s="154">
        <v>45386</v>
      </c>
      <c r="AD60" s="159">
        <v>46408</v>
      </c>
      <c r="AE60" s="285">
        <f>PR[[#This Row],[التكلفة (المحدثه)  شاملة الضريبة]]*0.9</f>
        <v>199028747.05200002</v>
      </c>
      <c r="AF60" s="160" t="s">
        <v>295</v>
      </c>
      <c r="AG60" s="159" t="s">
        <v>295</v>
      </c>
      <c r="AH60" s="273">
        <f>PR[[#This Row],[التكلفة (المحدثه)  شاملة الضريبة]]*0.1</f>
        <v>22114305.228</v>
      </c>
      <c r="AI60" s="160">
        <v>45529</v>
      </c>
      <c r="AJ60" s="159">
        <v>46408</v>
      </c>
      <c r="AK60" s="8" t="s">
        <v>268</v>
      </c>
      <c r="AL60" s="28" t="s">
        <v>267</v>
      </c>
      <c r="AM60" s="28" t="s">
        <v>267</v>
      </c>
      <c r="AN60" s="9" t="s">
        <v>159</v>
      </c>
      <c r="AO60" s="10"/>
      <c r="AP60" s="9">
        <v>0</v>
      </c>
      <c r="AQ60" s="10"/>
      <c r="AR60" s="16" t="s">
        <v>267</v>
      </c>
      <c r="AS60" s="29" t="s">
        <v>146</v>
      </c>
      <c r="AT60" s="28" t="s">
        <v>157</v>
      </c>
      <c r="AU60" s="37">
        <v>221143052.27950001</v>
      </c>
      <c r="AV60" s="38">
        <v>45169</v>
      </c>
      <c r="AW60" s="38">
        <v>45292</v>
      </c>
      <c r="AX60" s="9">
        <v>101230608</v>
      </c>
      <c r="AY60" s="9" t="s">
        <v>296</v>
      </c>
      <c r="AZ60" s="38">
        <v>45295</v>
      </c>
      <c r="BA60" s="9"/>
    </row>
    <row r="61" spans="1:53" s="11" customFormat="1" ht="54.75" customHeight="1">
      <c r="A61" s="214" t="s">
        <v>297</v>
      </c>
      <c r="B61" s="57" t="s">
        <v>298</v>
      </c>
      <c r="C61" s="53" t="s">
        <v>68</v>
      </c>
      <c r="D61" s="53" t="s">
        <v>165</v>
      </c>
      <c r="E61" s="53" t="s">
        <v>81</v>
      </c>
      <c r="F61" s="53" t="s">
        <v>294</v>
      </c>
      <c r="G61" s="53" t="s">
        <v>122</v>
      </c>
      <c r="H61" s="54">
        <v>122816423.72999999</v>
      </c>
      <c r="I61" s="54" t="e">
        <v>#N/A</v>
      </c>
      <c r="J61" s="54">
        <f>PR[[#This Row],[التكلفة (المحدثه)  شاملة الضريبة]]-K61</f>
        <v>0</v>
      </c>
      <c r="K61" s="54">
        <v>122816423.28</v>
      </c>
      <c r="L61" s="312">
        <v>122816423.28</v>
      </c>
      <c r="M61" s="43" t="s">
        <v>72</v>
      </c>
      <c r="N61" s="55" t="s">
        <v>267</v>
      </c>
      <c r="O61" s="45" t="s">
        <v>142</v>
      </c>
      <c r="P61" s="45"/>
      <c r="Q61" s="298">
        <v>122816423.28</v>
      </c>
      <c r="R61" s="77" t="s">
        <v>268</v>
      </c>
      <c r="S61" s="154">
        <v>45049</v>
      </c>
      <c r="T61" s="155">
        <v>45079</v>
      </c>
      <c r="U61" s="156">
        <v>45079</v>
      </c>
      <c r="V61" s="157">
        <v>45109</v>
      </c>
      <c r="W61" s="154">
        <f>PR[[#This Row],[تاريخ نهاية المرحله…]]+1</f>
        <v>45110</v>
      </c>
      <c r="X61" s="155">
        <f>PR[[#This Row],[تاريخ بداية المرحله-.]]-1</f>
        <v>45138</v>
      </c>
      <c r="Y61" s="156">
        <v>45139</v>
      </c>
      <c r="Z61" s="157">
        <f>PR[[#This Row],[تاريخ بداية .المرحله]]-1</f>
        <v>45168</v>
      </c>
      <c r="AA61" s="154">
        <v>45169</v>
      </c>
      <c r="AB61" s="158">
        <v>45295</v>
      </c>
      <c r="AC61" s="154" t="s">
        <v>299</v>
      </c>
      <c r="AD61" s="159">
        <v>46407</v>
      </c>
      <c r="AE61" s="285">
        <f>PR[[#This Row],[التكلفة (المحدثه)  شاملة الضريبة]]*0.9</f>
        <v>110534780.95200001</v>
      </c>
      <c r="AF61" s="160" t="s">
        <v>295</v>
      </c>
      <c r="AG61" s="159" t="s">
        <v>295</v>
      </c>
      <c r="AH61" s="273">
        <f>PR[[#This Row],[التكلفة (المحدثه)  شاملة الضريبة]]*0.1</f>
        <v>12281642.328000002</v>
      </c>
      <c r="AI61" s="168">
        <v>45533</v>
      </c>
      <c r="AJ61" s="169">
        <v>46407</v>
      </c>
      <c r="AK61" s="8" t="s">
        <v>268</v>
      </c>
      <c r="AL61" s="28" t="s">
        <v>267</v>
      </c>
      <c r="AM61" s="28" t="s">
        <v>267</v>
      </c>
      <c r="AN61" s="9" t="s">
        <v>159</v>
      </c>
      <c r="AO61" s="10"/>
      <c r="AP61" s="9">
        <v>0</v>
      </c>
      <c r="AQ61" s="10"/>
      <c r="AR61" s="16" t="s">
        <v>267</v>
      </c>
      <c r="AS61" s="29" t="s">
        <v>146</v>
      </c>
      <c r="AT61" s="28" t="s">
        <v>279</v>
      </c>
      <c r="AU61" s="37">
        <v>122816423.2815</v>
      </c>
      <c r="AV61" s="38">
        <v>45169</v>
      </c>
      <c r="AW61" s="38">
        <v>45292</v>
      </c>
      <c r="AX61" s="9">
        <v>101230604</v>
      </c>
      <c r="AY61" s="9" t="s">
        <v>300</v>
      </c>
      <c r="AZ61" s="38">
        <v>45295</v>
      </c>
      <c r="BA61" s="9"/>
    </row>
    <row r="62" spans="1:53" s="11" customFormat="1" ht="54.75" customHeight="1">
      <c r="A62" s="214" t="s">
        <v>301</v>
      </c>
      <c r="B62" s="57" t="s">
        <v>302</v>
      </c>
      <c r="C62" s="53" t="s">
        <v>68</v>
      </c>
      <c r="D62" s="53" t="s">
        <v>165</v>
      </c>
      <c r="E62" s="53" t="s">
        <v>81</v>
      </c>
      <c r="F62" s="53" t="s">
        <v>81</v>
      </c>
      <c r="G62" s="53" t="s">
        <v>122</v>
      </c>
      <c r="H62" s="54">
        <v>134092930.47</v>
      </c>
      <c r="I62" s="54" t="e">
        <v>#N/A</v>
      </c>
      <c r="J62" s="54">
        <f>PR[[#This Row],[التكلفة (المحدثه)  شاملة الضريبة]]-K62</f>
        <v>0</v>
      </c>
      <c r="K62" s="54">
        <v>336544740</v>
      </c>
      <c r="L62" s="312">
        <v>336544740</v>
      </c>
      <c r="M62" s="43" t="s">
        <v>72</v>
      </c>
      <c r="N62" s="55" t="s">
        <v>267</v>
      </c>
      <c r="O62" s="45" t="s">
        <v>142</v>
      </c>
      <c r="P62" s="45"/>
      <c r="Q62" s="298">
        <v>336544740</v>
      </c>
      <c r="R62" s="77" t="s">
        <v>268</v>
      </c>
      <c r="S62" s="154">
        <v>45063</v>
      </c>
      <c r="T62" s="155">
        <v>45093</v>
      </c>
      <c r="U62" s="156">
        <v>45093</v>
      </c>
      <c r="V62" s="157">
        <v>45123</v>
      </c>
      <c r="W62" s="154">
        <f>PR[[#This Row],[تاريخ نهاية المرحله…]]+1</f>
        <v>45124</v>
      </c>
      <c r="X62" s="155">
        <f>PR[[#This Row],[تاريخ بداية المرحله-.]]-1</f>
        <v>45152</v>
      </c>
      <c r="Y62" s="156">
        <v>45153</v>
      </c>
      <c r="Z62" s="157">
        <f>PR[[#This Row],[تاريخ بداية .المرحله]]-1</f>
        <v>45182</v>
      </c>
      <c r="AA62" s="154">
        <v>45183</v>
      </c>
      <c r="AB62" s="158">
        <v>45572</v>
      </c>
      <c r="AC62" s="154">
        <v>45796</v>
      </c>
      <c r="AD62" s="159">
        <v>47621</v>
      </c>
      <c r="AE62" s="285">
        <f>PR[[#This Row],[التكلفة (المحدثه)  شاملة الضريبة]]*0.9</f>
        <v>302890266</v>
      </c>
      <c r="AF62" s="160" t="s">
        <v>295</v>
      </c>
      <c r="AG62" s="159" t="s">
        <v>295</v>
      </c>
      <c r="AH62" s="273">
        <f>PR[[#This Row],[التكلفة (المحدثه)  شاملة الضريبة]]*0.1</f>
        <v>33654474</v>
      </c>
      <c r="AI62" s="160">
        <v>45796</v>
      </c>
      <c r="AJ62" s="159">
        <v>47621</v>
      </c>
      <c r="AK62" s="8" t="s">
        <v>268</v>
      </c>
      <c r="AL62" s="28" t="s">
        <v>267</v>
      </c>
      <c r="AM62" s="28" t="s">
        <v>267</v>
      </c>
      <c r="AN62" s="9" t="s">
        <v>159</v>
      </c>
      <c r="AO62" s="10"/>
      <c r="AP62" s="9">
        <v>0</v>
      </c>
      <c r="AQ62" s="10"/>
      <c r="AR62" s="16" t="s">
        <v>267</v>
      </c>
      <c r="AS62" s="29" t="s">
        <v>146</v>
      </c>
      <c r="AT62" s="28" t="s">
        <v>157</v>
      </c>
      <c r="AU62" s="37">
        <v>336544740</v>
      </c>
      <c r="AV62" s="38">
        <v>45183</v>
      </c>
      <c r="AW62" s="38">
        <v>45400</v>
      </c>
      <c r="AX62" s="9">
        <v>101240212</v>
      </c>
      <c r="AY62" s="9" t="s">
        <v>303</v>
      </c>
      <c r="AZ62" s="38">
        <v>45572</v>
      </c>
      <c r="BA62" s="9"/>
    </row>
    <row r="63" spans="1:53" s="11" customFormat="1" ht="54.75" customHeight="1">
      <c r="A63" s="214" t="s">
        <v>304</v>
      </c>
      <c r="B63" s="57" t="s">
        <v>305</v>
      </c>
      <c r="C63" s="53" t="s">
        <v>68</v>
      </c>
      <c r="D63" s="53" t="s">
        <v>165</v>
      </c>
      <c r="E63" s="53" t="s">
        <v>81</v>
      </c>
      <c r="F63" s="53" t="s">
        <v>294</v>
      </c>
      <c r="G63" s="53" t="s">
        <v>122</v>
      </c>
      <c r="H63" s="54">
        <v>134092930.47</v>
      </c>
      <c r="I63" s="54" t="e">
        <v>#N/A</v>
      </c>
      <c r="J63" s="54">
        <f>PR[[#This Row],[التكلفة (المحدثه)  شاملة الضريبة]]-K63</f>
        <v>0</v>
      </c>
      <c r="K63" s="54">
        <v>98670000</v>
      </c>
      <c r="L63" s="312">
        <v>98670000</v>
      </c>
      <c r="M63" s="43" t="s">
        <v>72</v>
      </c>
      <c r="N63" s="55" t="s">
        <v>267</v>
      </c>
      <c r="O63" s="45" t="s">
        <v>142</v>
      </c>
      <c r="P63" s="45"/>
      <c r="Q63" s="298">
        <v>98670000</v>
      </c>
      <c r="R63" s="77" t="s">
        <v>268</v>
      </c>
      <c r="S63" s="154">
        <v>44765</v>
      </c>
      <c r="T63" s="155">
        <v>44795</v>
      </c>
      <c r="U63" s="156">
        <v>44795</v>
      </c>
      <c r="V63" s="157">
        <v>44825</v>
      </c>
      <c r="W63" s="154">
        <f>PR[[#This Row],[تاريخ نهاية المرحله…]]+1</f>
        <v>44826</v>
      </c>
      <c r="X63" s="155">
        <f>PR[[#This Row],[تاريخ بداية المرحله-.]]-1</f>
        <v>44883</v>
      </c>
      <c r="Y63" s="156">
        <v>44884</v>
      </c>
      <c r="Z63" s="157">
        <f>PR[[#This Row],[تاريخ بداية .المرحله]]-1</f>
        <v>44884</v>
      </c>
      <c r="AA63" s="154">
        <v>44885</v>
      </c>
      <c r="AB63" s="158">
        <v>45161</v>
      </c>
      <c r="AC63" s="154">
        <v>45158</v>
      </c>
      <c r="AD63" s="159">
        <v>46984</v>
      </c>
      <c r="AE63" s="285">
        <f>PR[[#This Row],[التكلفة (المحدثه)  شاملة الضريبة]]*0.9</f>
        <v>88803000</v>
      </c>
      <c r="AF63" s="160" t="s">
        <v>295</v>
      </c>
      <c r="AG63" s="159" t="s">
        <v>295</v>
      </c>
      <c r="AH63" s="273">
        <f>PR[[#This Row],[التكلفة (المحدثه)  شاملة الضريبة]]*0.1</f>
        <v>9867000</v>
      </c>
      <c r="AI63" s="160">
        <v>45158</v>
      </c>
      <c r="AJ63" s="159">
        <v>46984</v>
      </c>
      <c r="AK63" s="8" t="s">
        <v>268</v>
      </c>
      <c r="AL63" s="28" t="s">
        <v>267</v>
      </c>
      <c r="AM63" s="28" t="s">
        <v>267</v>
      </c>
      <c r="AN63" s="9" t="s">
        <v>159</v>
      </c>
      <c r="AO63" s="10"/>
      <c r="AP63" s="9">
        <v>0</v>
      </c>
      <c r="AQ63" s="10"/>
      <c r="AR63" s="16" t="s">
        <v>267</v>
      </c>
      <c r="AS63" s="29" t="s">
        <v>146</v>
      </c>
      <c r="AT63" s="28" t="s">
        <v>264</v>
      </c>
      <c r="AU63" s="37">
        <v>98669999.999999985</v>
      </c>
      <c r="AV63" s="38">
        <v>44885</v>
      </c>
      <c r="AW63" s="38">
        <v>45134</v>
      </c>
      <c r="AX63" s="9">
        <v>101230259</v>
      </c>
      <c r="AY63" s="9" t="s">
        <v>306</v>
      </c>
      <c r="AZ63" s="38">
        <v>45161</v>
      </c>
      <c r="BA63" s="9"/>
    </row>
    <row r="64" spans="1:53" s="11" customFormat="1" ht="54.75" customHeight="1">
      <c r="A64" s="214">
        <v>10203</v>
      </c>
      <c r="B64" s="62" t="s">
        <v>307</v>
      </c>
      <c r="C64" s="53" t="s">
        <v>68</v>
      </c>
      <c r="D64" s="53" t="s">
        <v>165</v>
      </c>
      <c r="E64" s="53" t="s">
        <v>81</v>
      </c>
      <c r="F64" s="53" t="s">
        <v>81</v>
      </c>
      <c r="G64" s="53" t="s">
        <v>94</v>
      </c>
      <c r="H64" s="54">
        <v>117213916.09450001</v>
      </c>
      <c r="I64" s="54" t="e">
        <v>#N/A</v>
      </c>
      <c r="J64" s="54">
        <f>PR[[#This Row],[التكلفة (المحدثه)  شاملة الضريبة]]-K64</f>
        <v>0</v>
      </c>
      <c r="K64" s="54">
        <v>117213916.06</v>
      </c>
      <c r="L64" s="312">
        <v>117213916.06</v>
      </c>
      <c r="M64" s="43" t="s">
        <v>72</v>
      </c>
      <c r="N64" s="55" t="s">
        <v>267</v>
      </c>
      <c r="O64" s="45" t="s">
        <v>142</v>
      </c>
      <c r="P64" s="45"/>
      <c r="Q64" s="298">
        <v>117213916.06</v>
      </c>
      <c r="R64" s="77" t="s">
        <v>268</v>
      </c>
      <c r="S64" s="154">
        <v>44775</v>
      </c>
      <c r="T64" s="155">
        <v>44805</v>
      </c>
      <c r="U64" s="156">
        <v>44805</v>
      </c>
      <c r="V64" s="157">
        <v>44835</v>
      </c>
      <c r="W64" s="154">
        <f>PR[[#This Row],[تاريخ نهاية المرحله…]]+1</f>
        <v>44836</v>
      </c>
      <c r="X64" s="155">
        <f>PR[[#This Row],[تاريخ بداية المرحله-.]]-1</f>
        <v>44864</v>
      </c>
      <c r="Y64" s="156">
        <v>44865</v>
      </c>
      <c r="Z64" s="157">
        <v>44910</v>
      </c>
      <c r="AA64" s="154">
        <v>44990</v>
      </c>
      <c r="AB64" s="158">
        <v>45265</v>
      </c>
      <c r="AC64" s="154">
        <v>45371</v>
      </c>
      <c r="AD64" s="159">
        <v>46480</v>
      </c>
      <c r="AE64" s="285">
        <f>PR[[#This Row],[التكلفة (المحدثه)  شاملة الضريبة]]*0.9</f>
        <v>105492524.45400001</v>
      </c>
      <c r="AF64" s="160">
        <v>45545</v>
      </c>
      <c r="AG64" s="170">
        <v>46509</v>
      </c>
      <c r="AH64" s="275">
        <f>PR[[#This Row],[التكلفة (المحدثه)  شاملة الضريبة]]*0.1</f>
        <v>11721391.606000001</v>
      </c>
      <c r="AI64" s="160">
        <v>46474</v>
      </c>
      <c r="AJ64" s="159">
        <v>46482</v>
      </c>
      <c r="AK64" s="8" t="s">
        <v>268</v>
      </c>
      <c r="AL64" s="28" t="s">
        <v>267</v>
      </c>
      <c r="AM64" s="28" t="s">
        <v>267</v>
      </c>
      <c r="AN64" s="9" t="s">
        <v>159</v>
      </c>
      <c r="AO64" s="10">
        <v>44935</v>
      </c>
      <c r="AP64" s="9">
        <v>902230006</v>
      </c>
      <c r="AQ64" s="10">
        <v>44970</v>
      </c>
      <c r="AR64" s="16" t="s">
        <v>267</v>
      </c>
      <c r="AS64" s="29" t="s">
        <v>146</v>
      </c>
      <c r="AT64" s="28" t="s">
        <v>147</v>
      </c>
      <c r="AU64" s="37">
        <v>117213916.09450001</v>
      </c>
      <c r="AV64" s="38">
        <v>44990</v>
      </c>
      <c r="AW64" s="38">
        <v>45230</v>
      </c>
      <c r="AX64" s="9">
        <v>901230202</v>
      </c>
      <c r="AY64" s="9" t="s">
        <v>308</v>
      </c>
      <c r="AZ64" s="38">
        <v>45265</v>
      </c>
      <c r="BA64" s="9"/>
    </row>
    <row r="65" spans="1:53" s="11" customFormat="1" ht="54.75" customHeight="1">
      <c r="A65" s="214">
        <v>10137</v>
      </c>
      <c r="B65" s="62" t="s">
        <v>309</v>
      </c>
      <c r="C65" s="53" t="s">
        <v>68</v>
      </c>
      <c r="D65" s="53" t="s">
        <v>165</v>
      </c>
      <c r="E65" s="53" t="s">
        <v>81</v>
      </c>
      <c r="F65" s="53" t="s">
        <v>81</v>
      </c>
      <c r="G65" s="53" t="s">
        <v>94</v>
      </c>
      <c r="H65" s="54">
        <v>37841428.419499993</v>
      </c>
      <c r="I65" s="54" t="e">
        <v>#N/A</v>
      </c>
      <c r="J65" s="54">
        <f>PR[[#This Row],[التكلفة (المحدثه)  شاملة الضريبة]]-K65</f>
        <v>0</v>
      </c>
      <c r="K65" s="54">
        <v>37841428.420000002</v>
      </c>
      <c r="L65" s="312">
        <v>37841428.420000002</v>
      </c>
      <c r="M65" s="43" t="s">
        <v>72</v>
      </c>
      <c r="N65" s="55" t="s">
        <v>267</v>
      </c>
      <c r="O65" s="45" t="s">
        <v>142</v>
      </c>
      <c r="P65" s="45"/>
      <c r="Q65" s="298">
        <v>37841428.420000002</v>
      </c>
      <c r="R65" s="77" t="s">
        <v>268</v>
      </c>
      <c r="S65" s="154">
        <v>44775</v>
      </c>
      <c r="T65" s="155">
        <v>44805</v>
      </c>
      <c r="U65" s="156">
        <v>44805</v>
      </c>
      <c r="V65" s="157">
        <v>44835</v>
      </c>
      <c r="W65" s="154">
        <f>PR[[#This Row],[تاريخ نهاية المرحله…]]+1</f>
        <v>44836</v>
      </c>
      <c r="X65" s="155">
        <f>PR[[#This Row],[تاريخ بداية المرحله-.]]-1</f>
        <v>44864</v>
      </c>
      <c r="Y65" s="156">
        <v>44865</v>
      </c>
      <c r="Z65" s="157">
        <v>44910</v>
      </c>
      <c r="AA65" s="154">
        <v>44986</v>
      </c>
      <c r="AB65" s="158">
        <v>45242</v>
      </c>
      <c r="AC65" s="154">
        <v>45315</v>
      </c>
      <c r="AD65" s="159">
        <v>46040</v>
      </c>
      <c r="AE65" s="285">
        <f>PR[[#This Row],[التكلفة (المحدثه)  شاملة الضريبة]]*0.9</f>
        <v>34057285.578000002</v>
      </c>
      <c r="AF65" s="160">
        <v>45356</v>
      </c>
      <c r="AG65" s="170">
        <v>46112</v>
      </c>
      <c r="AH65" s="275">
        <f>PR[[#This Row],[التكلفة (المحدثه)  شاملة الضريبة]]*0.1</f>
        <v>3784142.8420000002</v>
      </c>
      <c r="AI65" s="160">
        <v>46023</v>
      </c>
      <c r="AJ65" s="159">
        <v>46040</v>
      </c>
      <c r="AK65" s="8" t="s">
        <v>268</v>
      </c>
      <c r="AL65" s="28" t="s">
        <v>267</v>
      </c>
      <c r="AM65" s="28" t="s">
        <v>267</v>
      </c>
      <c r="AN65" s="9" t="s">
        <v>159</v>
      </c>
      <c r="AO65" s="10">
        <v>44915</v>
      </c>
      <c r="AP65" s="9">
        <v>902220530</v>
      </c>
      <c r="AQ65" s="10">
        <v>44970</v>
      </c>
      <c r="AR65" s="16" t="s">
        <v>267</v>
      </c>
      <c r="AS65" s="29" t="s">
        <v>146</v>
      </c>
      <c r="AT65" s="28" t="s">
        <v>147</v>
      </c>
      <c r="AU65" s="37">
        <v>37841428.419499993</v>
      </c>
      <c r="AV65" s="38">
        <v>44986</v>
      </c>
      <c r="AW65" s="38">
        <v>45182</v>
      </c>
      <c r="AX65" s="9">
        <v>901230176</v>
      </c>
      <c r="AY65" s="9" t="s">
        <v>310</v>
      </c>
      <c r="AZ65" s="38">
        <v>45242</v>
      </c>
      <c r="BA65" s="9"/>
    </row>
    <row r="66" spans="1:53" s="11" customFormat="1" ht="54.75" customHeight="1">
      <c r="A66" s="214" t="s">
        <v>311</v>
      </c>
      <c r="B66" s="57" t="s">
        <v>312</v>
      </c>
      <c r="C66" s="53" t="s">
        <v>68</v>
      </c>
      <c r="D66" s="53" t="s">
        <v>165</v>
      </c>
      <c r="E66" s="53" t="s">
        <v>81</v>
      </c>
      <c r="F66" s="53" t="s">
        <v>81</v>
      </c>
      <c r="G66" s="53" t="s">
        <v>94</v>
      </c>
      <c r="H66" s="54">
        <v>20939976.25</v>
      </c>
      <c r="I66" s="54" t="e">
        <v>#N/A</v>
      </c>
      <c r="J66" s="54">
        <f>PR[[#This Row],[التكلفة (المحدثه)  شاملة الضريبة]]-K66</f>
        <v>0</v>
      </c>
      <c r="K66" s="54">
        <v>20939976.25</v>
      </c>
      <c r="L66" s="312">
        <v>20939976.25</v>
      </c>
      <c r="M66" s="43" t="s">
        <v>72</v>
      </c>
      <c r="N66" s="55" t="s">
        <v>267</v>
      </c>
      <c r="O66" s="45" t="s">
        <v>142</v>
      </c>
      <c r="P66" s="45"/>
      <c r="Q66" s="298">
        <v>20939976.25</v>
      </c>
      <c r="R66" s="77" t="s">
        <v>268</v>
      </c>
      <c r="S66" s="154">
        <v>44962</v>
      </c>
      <c r="T66" s="155">
        <v>44992</v>
      </c>
      <c r="U66" s="156">
        <v>44992</v>
      </c>
      <c r="V66" s="157">
        <v>45022</v>
      </c>
      <c r="W66" s="154">
        <f>PR[[#This Row],[تاريخ نهاية المرحله…]]+1</f>
        <v>45023</v>
      </c>
      <c r="X66" s="155">
        <f>PR[[#This Row],[تاريخ بداية المرحله-.]]-1</f>
        <v>45051</v>
      </c>
      <c r="Y66" s="156">
        <v>45052</v>
      </c>
      <c r="Z66" s="157">
        <v>45097</v>
      </c>
      <c r="AA66" s="154">
        <v>45182</v>
      </c>
      <c r="AB66" s="158">
        <v>45424</v>
      </c>
      <c r="AC66" s="154">
        <v>45482</v>
      </c>
      <c r="AD66" s="159">
        <v>46015</v>
      </c>
      <c r="AE66" s="285">
        <f>PR[[#This Row],[التكلفة (المحدثه)  شاملة الضريبة]]*0.9</f>
        <v>18845978.625</v>
      </c>
      <c r="AF66" s="160">
        <v>45605</v>
      </c>
      <c r="AG66" s="159">
        <v>46018</v>
      </c>
      <c r="AH66" s="273">
        <f>PR[[#This Row],[التكلفة (المحدثه)  شاملة الضريبة]]*0.1</f>
        <v>2093997.625</v>
      </c>
      <c r="AI66" s="160">
        <v>45953</v>
      </c>
      <c r="AJ66" s="159">
        <v>46022</v>
      </c>
      <c r="AK66" s="8" t="s">
        <v>268</v>
      </c>
      <c r="AL66" s="28" t="s">
        <v>267</v>
      </c>
      <c r="AM66" s="28" t="s">
        <v>267</v>
      </c>
      <c r="AN66" s="9" t="s">
        <v>159</v>
      </c>
      <c r="AO66" s="10"/>
      <c r="AP66" s="9" t="s">
        <v>160</v>
      </c>
      <c r="AQ66" s="10"/>
      <c r="AR66" s="16" t="s">
        <v>267</v>
      </c>
      <c r="AS66" s="29" t="s">
        <v>146</v>
      </c>
      <c r="AT66" s="28" t="s">
        <v>147</v>
      </c>
      <c r="AU66" s="37">
        <v>20939976.25</v>
      </c>
      <c r="AV66" s="38">
        <v>45182</v>
      </c>
      <c r="AW66" s="38">
        <v>45343</v>
      </c>
      <c r="AX66" s="9">
        <v>901240023</v>
      </c>
      <c r="AY66" s="9" t="s">
        <v>313</v>
      </c>
      <c r="AZ66" s="38">
        <v>45424</v>
      </c>
      <c r="BA66" s="9"/>
    </row>
    <row r="67" spans="1:53" s="11" customFormat="1" ht="54.75" customHeight="1">
      <c r="A67" s="214">
        <v>10129</v>
      </c>
      <c r="B67" s="138" t="s">
        <v>314</v>
      </c>
      <c r="C67" s="53" t="s">
        <v>68</v>
      </c>
      <c r="D67" s="53" t="s">
        <v>165</v>
      </c>
      <c r="E67" s="53" t="s">
        <v>81</v>
      </c>
      <c r="F67" s="53" t="s">
        <v>81</v>
      </c>
      <c r="G67" s="53" t="s">
        <v>94</v>
      </c>
      <c r="H67" s="54">
        <v>78223592.25</v>
      </c>
      <c r="I67" s="54" t="e">
        <v>#N/A</v>
      </c>
      <c r="J67" s="54">
        <f>PR[[#This Row],[التكلفة (المحدثه)  شاملة الضريبة]]-K67</f>
        <v>0</v>
      </c>
      <c r="K67" s="54">
        <v>78223592.25</v>
      </c>
      <c r="L67" s="312">
        <v>78223592.25</v>
      </c>
      <c r="M67" s="43" t="s">
        <v>72</v>
      </c>
      <c r="N67" s="55" t="s">
        <v>267</v>
      </c>
      <c r="O67" s="45" t="s">
        <v>142</v>
      </c>
      <c r="P67" s="45"/>
      <c r="Q67" s="298">
        <v>78223592.25</v>
      </c>
      <c r="R67" s="77" t="s">
        <v>268</v>
      </c>
      <c r="S67" s="154">
        <v>44775</v>
      </c>
      <c r="T67" s="155">
        <v>44805</v>
      </c>
      <c r="U67" s="156">
        <v>44805</v>
      </c>
      <c r="V67" s="157">
        <v>44835</v>
      </c>
      <c r="W67" s="154">
        <f>PR[[#This Row],[تاريخ نهاية المرحله…]]+1</f>
        <v>44836</v>
      </c>
      <c r="X67" s="155">
        <f>PR[[#This Row],[تاريخ بداية المرحله-.]]-1</f>
        <v>44864</v>
      </c>
      <c r="Y67" s="156">
        <v>44865</v>
      </c>
      <c r="Z67" s="157">
        <v>44910</v>
      </c>
      <c r="AA67" s="154">
        <v>44986</v>
      </c>
      <c r="AB67" s="158">
        <v>45232</v>
      </c>
      <c r="AC67" s="154">
        <v>45299</v>
      </c>
      <c r="AD67" s="159">
        <v>46359</v>
      </c>
      <c r="AE67" s="285">
        <f>PR[[#This Row],[التكلفة (المحدثه)  شاملة الضريبة]]*0.9</f>
        <v>70401233.025000006</v>
      </c>
      <c r="AF67" s="160">
        <v>45323</v>
      </c>
      <c r="AG67" s="159">
        <v>46361</v>
      </c>
      <c r="AH67" s="273">
        <f>PR[[#This Row],[التكلفة (المحدثه)  شاملة الضريبة]]*0.1</f>
        <v>7822359.2250000006</v>
      </c>
      <c r="AI67" s="160">
        <v>46316</v>
      </c>
      <c r="AJ67" s="159">
        <v>46365</v>
      </c>
      <c r="AK67" s="8" t="s">
        <v>268</v>
      </c>
      <c r="AL67" s="28" t="s">
        <v>267</v>
      </c>
      <c r="AM67" s="28" t="s">
        <v>267</v>
      </c>
      <c r="AN67" s="9" t="s">
        <v>159</v>
      </c>
      <c r="AO67" s="10">
        <v>44922</v>
      </c>
      <c r="AP67" s="9">
        <v>902220537</v>
      </c>
      <c r="AQ67" s="10">
        <v>44965</v>
      </c>
      <c r="AR67" s="16" t="s">
        <v>267</v>
      </c>
      <c r="AS67" s="29" t="s">
        <v>146</v>
      </c>
      <c r="AT67" s="28" t="s">
        <v>147</v>
      </c>
      <c r="AU67" s="37">
        <v>78223592.25</v>
      </c>
      <c r="AV67" s="38">
        <v>44986</v>
      </c>
      <c r="AW67" s="38">
        <v>45167</v>
      </c>
      <c r="AX67" s="9">
        <v>901230177</v>
      </c>
      <c r="AY67" s="9" t="s">
        <v>315</v>
      </c>
      <c r="AZ67" s="38">
        <v>45232</v>
      </c>
      <c r="BA67" s="9"/>
    </row>
    <row r="68" spans="1:53" s="11" customFormat="1" ht="54.75" customHeight="1">
      <c r="A68" s="214">
        <v>10278</v>
      </c>
      <c r="B68" s="57" t="s">
        <v>316</v>
      </c>
      <c r="C68" s="53" t="s">
        <v>68</v>
      </c>
      <c r="D68" s="53" t="s">
        <v>165</v>
      </c>
      <c r="E68" s="53" t="s">
        <v>81</v>
      </c>
      <c r="F68" s="53" t="s">
        <v>81</v>
      </c>
      <c r="G68" s="53" t="s">
        <v>94</v>
      </c>
      <c r="H68" s="54">
        <v>74750000</v>
      </c>
      <c r="I68" s="54" t="e">
        <v>#N/A</v>
      </c>
      <c r="J68" s="54">
        <f>PR[[#This Row],[التكلفة (المحدثه)  شاملة الضريبة]]-K68</f>
        <v>0</v>
      </c>
      <c r="K68" s="54">
        <v>63665782.5</v>
      </c>
      <c r="L68" s="312">
        <v>63665782.5</v>
      </c>
      <c r="M68" s="43" t="s">
        <v>72</v>
      </c>
      <c r="N68" s="55" t="s">
        <v>267</v>
      </c>
      <c r="O68" s="45" t="s">
        <v>142</v>
      </c>
      <c r="P68" s="45"/>
      <c r="Q68" s="298">
        <v>63665782.5</v>
      </c>
      <c r="R68" s="77" t="s">
        <v>268</v>
      </c>
      <c r="S68" s="154">
        <v>44999</v>
      </c>
      <c r="T68" s="155">
        <v>45029</v>
      </c>
      <c r="U68" s="156">
        <v>45029</v>
      </c>
      <c r="V68" s="157">
        <v>45059</v>
      </c>
      <c r="W68" s="154">
        <f>PR[[#This Row],[تاريخ نهاية المرحله…]]+1</f>
        <v>45060</v>
      </c>
      <c r="X68" s="155">
        <f>PR[[#This Row],[تاريخ بداية المرحله-.]]-1</f>
        <v>45088</v>
      </c>
      <c r="Y68" s="156">
        <v>45089</v>
      </c>
      <c r="Z68" s="157">
        <v>45134</v>
      </c>
      <c r="AA68" s="154">
        <v>45288</v>
      </c>
      <c r="AB68" s="158">
        <v>45453</v>
      </c>
      <c r="AC68" s="154">
        <v>45290</v>
      </c>
      <c r="AD68" s="159">
        <v>46299</v>
      </c>
      <c r="AE68" s="285">
        <f>PR[[#This Row],[التكلفة (المحدثه)  شاملة الضريبة]]*0.9</f>
        <v>57299204.25</v>
      </c>
      <c r="AF68" s="160">
        <v>45297</v>
      </c>
      <c r="AG68" s="159">
        <v>46291</v>
      </c>
      <c r="AH68" s="273">
        <f>PR[[#This Row],[التكلفة (المحدثه)  شاملة الضريبة]]*0.1</f>
        <v>6366578.25</v>
      </c>
      <c r="AI68" s="160">
        <v>46300</v>
      </c>
      <c r="AJ68" s="159">
        <v>46310</v>
      </c>
      <c r="AK68" s="8" t="s">
        <v>268</v>
      </c>
      <c r="AL68" s="28" t="s">
        <v>267</v>
      </c>
      <c r="AM68" s="28" t="s">
        <v>267</v>
      </c>
      <c r="AN68" s="9" t="s">
        <v>159</v>
      </c>
      <c r="AO68" s="10">
        <v>45273</v>
      </c>
      <c r="AP68" s="9">
        <v>902230557</v>
      </c>
      <c r="AQ68" s="10">
        <v>45273</v>
      </c>
      <c r="AR68" s="16" t="s">
        <v>267</v>
      </c>
      <c r="AS68" s="29" t="s">
        <v>146</v>
      </c>
      <c r="AT68" s="28" t="s">
        <v>147</v>
      </c>
      <c r="AU68" s="37">
        <v>63665782.499999993</v>
      </c>
      <c r="AV68" s="38">
        <v>45288</v>
      </c>
      <c r="AW68" s="38">
        <v>45412</v>
      </c>
      <c r="AX68" s="9">
        <v>901240105</v>
      </c>
      <c r="AY68" s="9" t="s">
        <v>317</v>
      </c>
      <c r="AZ68" s="38">
        <v>45453</v>
      </c>
      <c r="BA68" s="9"/>
    </row>
    <row r="69" spans="1:53" s="11" customFormat="1" ht="54.75" customHeight="1">
      <c r="A69" s="319" t="s">
        <v>318</v>
      </c>
      <c r="B69" s="74" t="s">
        <v>319</v>
      </c>
      <c r="C69" s="53" t="s">
        <v>68</v>
      </c>
      <c r="D69" s="53" t="s">
        <v>165</v>
      </c>
      <c r="E69" s="53" t="s">
        <v>81</v>
      </c>
      <c r="F69" s="53" t="s">
        <v>294</v>
      </c>
      <c r="G69" s="58" t="s">
        <v>71</v>
      </c>
      <c r="H69" s="54">
        <v>816499.99999999988</v>
      </c>
      <c r="I69" s="54" t="e">
        <v>#N/A</v>
      </c>
      <c r="J69" s="54">
        <f>PR[[#This Row],[التكلفة (المحدثه)  شاملة الضريبة]]-K69</f>
        <v>0</v>
      </c>
      <c r="K69" s="54">
        <v>816500</v>
      </c>
      <c r="L69" s="312">
        <v>816500</v>
      </c>
      <c r="M69" s="43" t="s">
        <v>72</v>
      </c>
      <c r="N69" s="55" t="s">
        <v>267</v>
      </c>
      <c r="O69" s="45" t="s">
        <v>142</v>
      </c>
      <c r="P69" s="45"/>
      <c r="Q69" s="298">
        <v>816500</v>
      </c>
      <c r="R69" s="77" t="s">
        <v>268</v>
      </c>
      <c r="S69" s="154">
        <v>45011</v>
      </c>
      <c r="T69" s="155">
        <v>45041</v>
      </c>
      <c r="U69" s="156">
        <v>45041</v>
      </c>
      <c r="V69" s="157">
        <v>45071</v>
      </c>
      <c r="W69" s="154">
        <f>PR[[#This Row],[تاريخ نهاية المرحله…]]+1</f>
        <v>45072</v>
      </c>
      <c r="X69" s="155">
        <f>PR[[#This Row],[تاريخ بداية المرحله-.]]-1</f>
        <v>45100</v>
      </c>
      <c r="Y69" s="156">
        <v>45101</v>
      </c>
      <c r="Z69" s="157">
        <v>45146</v>
      </c>
      <c r="AA69" s="154">
        <v>45209</v>
      </c>
      <c r="AB69" s="158">
        <v>45270</v>
      </c>
      <c r="AC69" s="154">
        <v>45410</v>
      </c>
      <c r="AD69" s="159">
        <v>46412</v>
      </c>
      <c r="AE69" s="285">
        <f>PR[[#This Row],[التكلفة (المحدثه)  شاملة الضريبة]]*0.9</f>
        <v>734850</v>
      </c>
      <c r="AF69" s="160" t="s">
        <v>295</v>
      </c>
      <c r="AG69" s="159" t="s">
        <v>295</v>
      </c>
      <c r="AH69" s="273">
        <f>PR[[#This Row],[التكلفة (المحدثه)  شاملة الضريبة]]*0.1</f>
        <v>81650</v>
      </c>
      <c r="AI69" s="160">
        <v>45510</v>
      </c>
      <c r="AJ69" s="159">
        <v>46413</v>
      </c>
      <c r="AK69" s="8" t="s">
        <v>268</v>
      </c>
      <c r="AL69" s="28" t="s">
        <v>267</v>
      </c>
      <c r="AM69" s="28" t="s">
        <v>267</v>
      </c>
      <c r="AN69" s="9" t="s">
        <v>159</v>
      </c>
      <c r="AO69" s="10">
        <v>45176</v>
      </c>
      <c r="AP69" s="9">
        <v>902230413</v>
      </c>
      <c r="AQ69" s="10">
        <v>45180</v>
      </c>
      <c r="AR69" s="16" t="s">
        <v>267</v>
      </c>
      <c r="AS69" s="29" t="s">
        <v>146</v>
      </c>
      <c r="AT69" s="28" t="s">
        <v>147</v>
      </c>
      <c r="AU69" s="37">
        <v>816499.99999999988</v>
      </c>
      <c r="AV69" s="38">
        <v>45209</v>
      </c>
      <c r="AW69" s="38">
        <v>45270</v>
      </c>
      <c r="AX69" s="9">
        <v>901230281</v>
      </c>
      <c r="AY69" s="9" t="s">
        <v>320</v>
      </c>
      <c r="AZ69" s="38">
        <v>45270</v>
      </c>
      <c r="BA69" s="9"/>
    </row>
    <row r="70" spans="1:53" s="11" customFormat="1" ht="54.75" customHeight="1">
      <c r="A70" s="215" t="s">
        <v>321</v>
      </c>
      <c r="B70" s="57" t="s">
        <v>322</v>
      </c>
      <c r="C70" s="53" t="s">
        <v>68</v>
      </c>
      <c r="D70" s="53" t="s">
        <v>165</v>
      </c>
      <c r="E70" s="53" t="s">
        <v>81</v>
      </c>
      <c r="F70" s="53" t="s">
        <v>81</v>
      </c>
      <c r="G70" s="53" t="s">
        <v>86</v>
      </c>
      <c r="H70" s="54">
        <v>24830132.999999996</v>
      </c>
      <c r="I70" s="54" t="e">
        <v>#N/A</v>
      </c>
      <c r="J70" s="54">
        <f>PR[[#This Row],[التكلفة (المحدثه)  شاملة الضريبة]]-K70</f>
        <v>0</v>
      </c>
      <c r="K70" s="54">
        <v>24830133</v>
      </c>
      <c r="L70" s="312">
        <v>24830133</v>
      </c>
      <c r="M70" s="43" t="s">
        <v>72</v>
      </c>
      <c r="N70" s="55" t="s">
        <v>267</v>
      </c>
      <c r="O70" s="45" t="s">
        <v>142</v>
      </c>
      <c r="P70" s="45"/>
      <c r="Q70" s="298">
        <v>24830133</v>
      </c>
      <c r="R70" s="77" t="s">
        <v>268</v>
      </c>
      <c r="S70" s="154">
        <v>44775</v>
      </c>
      <c r="T70" s="155">
        <v>44805</v>
      </c>
      <c r="U70" s="156">
        <v>44805</v>
      </c>
      <c r="V70" s="157">
        <v>44835</v>
      </c>
      <c r="W70" s="154">
        <f>PR[[#This Row],[تاريخ نهاية المرحله…]]+1</f>
        <v>44836</v>
      </c>
      <c r="X70" s="155">
        <f>PR[[#This Row],[تاريخ بداية المرحله-.]]-1</f>
        <v>44864</v>
      </c>
      <c r="Y70" s="156">
        <v>44865</v>
      </c>
      <c r="Z70" s="157">
        <v>44910</v>
      </c>
      <c r="AA70" s="154">
        <v>45294</v>
      </c>
      <c r="AB70" s="158">
        <v>45434</v>
      </c>
      <c r="AC70" s="154">
        <v>45598</v>
      </c>
      <c r="AD70" s="159">
        <v>46538</v>
      </c>
      <c r="AE70" s="285">
        <f>PR[[#This Row],[التكلفة (المحدثه)  شاملة الضريبة]]*0.9</f>
        <v>22347119.699999999</v>
      </c>
      <c r="AF70" s="160">
        <v>45831</v>
      </c>
      <c r="AG70" s="159">
        <v>46538</v>
      </c>
      <c r="AH70" s="273">
        <f>PR[[#This Row],[التكلفة (المحدثه)  شاملة الضريبة]]*0.1</f>
        <v>2483013.3000000003</v>
      </c>
      <c r="AI70" s="160">
        <v>45991</v>
      </c>
      <c r="AJ70" s="159">
        <v>46541</v>
      </c>
      <c r="AK70" s="8" t="s">
        <v>268</v>
      </c>
      <c r="AL70" s="28" t="s">
        <v>267</v>
      </c>
      <c r="AM70" s="28" t="s">
        <v>267</v>
      </c>
      <c r="AN70" s="9" t="s">
        <v>159</v>
      </c>
      <c r="AO70" s="10">
        <v>45279</v>
      </c>
      <c r="AP70" s="9">
        <v>902230559</v>
      </c>
      <c r="AQ70" s="10">
        <v>45279</v>
      </c>
      <c r="AR70" s="16" t="s">
        <v>267</v>
      </c>
      <c r="AS70" s="29" t="s">
        <v>146</v>
      </c>
      <c r="AT70" s="28" t="s">
        <v>147</v>
      </c>
      <c r="AU70" s="37">
        <v>24830132.999999996</v>
      </c>
      <c r="AV70" s="38">
        <v>45294</v>
      </c>
      <c r="AW70" s="38">
        <v>45397</v>
      </c>
      <c r="AX70" s="9">
        <v>901240090</v>
      </c>
      <c r="AY70" s="9" t="s">
        <v>323</v>
      </c>
      <c r="AZ70" s="38">
        <v>45434</v>
      </c>
      <c r="BA70" s="9"/>
    </row>
    <row r="71" spans="1:53" s="11" customFormat="1" ht="54.75" customHeight="1">
      <c r="A71" s="214">
        <v>10128</v>
      </c>
      <c r="B71" s="57" t="s">
        <v>324</v>
      </c>
      <c r="C71" s="53" t="s">
        <v>68</v>
      </c>
      <c r="D71" s="53" t="s">
        <v>165</v>
      </c>
      <c r="E71" s="53" t="s">
        <v>81</v>
      </c>
      <c r="F71" s="53" t="s">
        <v>93</v>
      </c>
      <c r="G71" s="53" t="s">
        <v>94</v>
      </c>
      <c r="H71" s="54">
        <v>44275000</v>
      </c>
      <c r="I71" s="54" t="e">
        <v>#N/A</v>
      </c>
      <c r="J71" s="54">
        <f>PR[[#This Row],[التكلفة (المحدثه)  شاملة الضريبة]]-K71</f>
        <v>0</v>
      </c>
      <c r="K71" s="54">
        <v>44275000</v>
      </c>
      <c r="L71" s="312">
        <v>44275000</v>
      </c>
      <c r="M71" s="43" t="s">
        <v>72</v>
      </c>
      <c r="N71" s="55" t="s">
        <v>267</v>
      </c>
      <c r="O71" s="45" t="s">
        <v>142</v>
      </c>
      <c r="P71" s="45"/>
      <c r="Q71" s="298">
        <v>44275000</v>
      </c>
      <c r="R71" s="77" t="s">
        <v>268</v>
      </c>
      <c r="S71" s="154">
        <v>44775</v>
      </c>
      <c r="T71" s="155">
        <v>44805</v>
      </c>
      <c r="U71" s="156">
        <v>44805</v>
      </c>
      <c r="V71" s="157">
        <v>44835</v>
      </c>
      <c r="W71" s="154">
        <f>PR[[#This Row],[تاريخ نهاية المرحله…]]+1</f>
        <v>44836</v>
      </c>
      <c r="X71" s="155">
        <f>PR[[#This Row],[تاريخ بداية المرحله-.]]-1</f>
        <v>44864</v>
      </c>
      <c r="Y71" s="156">
        <v>44865</v>
      </c>
      <c r="Z71" s="157">
        <v>44910</v>
      </c>
      <c r="AA71" s="154">
        <v>44980</v>
      </c>
      <c r="AB71" s="158">
        <v>45176</v>
      </c>
      <c r="AC71" s="154">
        <v>45290</v>
      </c>
      <c r="AD71" s="159">
        <v>46299</v>
      </c>
      <c r="AE71" s="285">
        <f>PR[[#This Row],[التكلفة (المحدثه)  شاملة الضريبة]]*0.9</f>
        <v>39847500</v>
      </c>
      <c r="AF71" s="160">
        <v>45307</v>
      </c>
      <c r="AG71" s="159">
        <v>46291</v>
      </c>
      <c r="AH71" s="273">
        <f>PR[[#This Row],[التكلفة (المحدثه)  شاملة الضريبة]]*0.1</f>
        <v>4427500</v>
      </c>
      <c r="AI71" s="160">
        <v>46300</v>
      </c>
      <c r="AJ71" s="159">
        <v>46310</v>
      </c>
      <c r="AK71" s="8" t="s">
        <v>268</v>
      </c>
      <c r="AL71" s="28" t="s">
        <v>267</v>
      </c>
      <c r="AM71" s="28" t="s">
        <v>267</v>
      </c>
      <c r="AN71" s="9" t="s">
        <v>159</v>
      </c>
      <c r="AO71" s="10">
        <v>44936</v>
      </c>
      <c r="AP71" s="9">
        <v>902230007</v>
      </c>
      <c r="AQ71" s="10">
        <v>44970</v>
      </c>
      <c r="AR71" s="16" t="s">
        <v>267</v>
      </c>
      <c r="AS71" s="29" t="s">
        <v>146</v>
      </c>
      <c r="AT71" s="28" t="s">
        <v>147</v>
      </c>
      <c r="AU71" s="37">
        <v>44275000</v>
      </c>
      <c r="AV71" s="38">
        <v>44980</v>
      </c>
      <c r="AW71" s="38">
        <v>45160</v>
      </c>
      <c r="AX71" s="9">
        <v>901230173</v>
      </c>
      <c r="AY71" s="9" t="s">
        <v>325</v>
      </c>
      <c r="AZ71" s="38">
        <v>45176</v>
      </c>
      <c r="BA71" s="9"/>
    </row>
    <row r="72" spans="1:53" s="11" customFormat="1" ht="54.75" customHeight="1">
      <c r="A72" s="215">
        <v>10101</v>
      </c>
      <c r="B72" s="138" t="s">
        <v>326</v>
      </c>
      <c r="C72" s="53" t="s">
        <v>68</v>
      </c>
      <c r="D72" s="53" t="s">
        <v>165</v>
      </c>
      <c r="E72" s="53" t="s">
        <v>81</v>
      </c>
      <c r="F72" s="53" t="s">
        <v>81</v>
      </c>
      <c r="G72" s="53" t="s">
        <v>86</v>
      </c>
      <c r="H72" s="54">
        <v>56750066.599999994</v>
      </c>
      <c r="I72" s="54" t="e">
        <v>#N/A</v>
      </c>
      <c r="J72" s="54">
        <f>PR[[#This Row],[التكلفة (المحدثه)  شاملة الضريبة]]-K72</f>
        <v>0</v>
      </c>
      <c r="K72" s="54">
        <v>56750066.600000001</v>
      </c>
      <c r="L72" s="312">
        <v>56750066.600000001</v>
      </c>
      <c r="M72" s="43" t="s">
        <v>72</v>
      </c>
      <c r="N72" s="55" t="s">
        <v>267</v>
      </c>
      <c r="O72" s="45" t="s">
        <v>142</v>
      </c>
      <c r="P72" s="45"/>
      <c r="Q72" s="298">
        <v>56750066.600000001</v>
      </c>
      <c r="R72" s="77" t="s">
        <v>268</v>
      </c>
      <c r="S72" s="154">
        <v>44775</v>
      </c>
      <c r="T72" s="155">
        <v>44805</v>
      </c>
      <c r="U72" s="156">
        <v>44805</v>
      </c>
      <c r="V72" s="157">
        <v>44835</v>
      </c>
      <c r="W72" s="154">
        <f>PR[[#This Row],[تاريخ نهاية المرحله…]]+1</f>
        <v>44836</v>
      </c>
      <c r="X72" s="155">
        <f>PR[[#This Row],[تاريخ بداية المرحله-.]]-1</f>
        <v>44864</v>
      </c>
      <c r="Y72" s="156">
        <v>44865</v>
      </c>
      <c r="Z72" s="157">
        <v>44910</v>
      </c>
      <c r="AA72" s="154">
        <v>44986</v>
      </c>
      <c r="AB72" s="158">
        <v>45141</v>
      </c>
      <c r="AC72" s="154">
        <v>45271</v>
      </c>
      <c r="AD72" s="159">
        <v>46436</v>
      </c>
      <c r="AE72" s="285">
        <f>PR[[#This Row],[التكلفة (المحدثه)  شاملة الضريبة]]*0.9</f>
        <v>51075059.940000005</v>
      </c>
      <c r="AF72" s="160">
        <v>45577</v>
      </c>
      <c r="AG72" s="159">
        <v>46424</v>
      </c>
      <c r="AH72" s="273">
        <f>PR[[#This Row],[التكلفة (المحدثه)  شاملة الضريبة]]*0.1</f>
        <v>5675006.6600000001</v>
      </c>
      <c r="AI72" s="160">
        <v>46424</v>
      </c>
      <c r="AJ72" s="159">
        <v>46440</v>
      </c>
      <c r="AK72" s="8" t="s">
        <v>268</v>
      </c>
      <c r="AL72" s="28" t="s">
        <v>267</v>
      </c>
      <c r="AM72" s="28" t="s">
        <v>267</v>
      </c>
      <c r="AN72" s="9" t="s">
        <v>159</v>
      </c>
      <c r="AO72" s="10">
        <v>44916</v>
      </c>
      <c r="AP72" s="9">
        <v>902220532</v>
      </c>
      <c r="AQ72" s="10">
        <v>44970</v>
      </c>
      <c r="AR72" s="16" t="s">
        <v>267</v>
      </c>
      <c r="AS72" s="29" t="s">
        <v>146</v>
      </c>
      <c r="AT72" s="28" t="s">
        <v>147</v>
      </c>
      <c r="AU72" s="37">
        <v>56750066.599999994</v>
      </c>
      <c r="AV72" s="38">
        <v>44986</v>
      </c>
      <c r="AW72" s="38">
        <v>45141</v>
      </c>
      <c r="AX72" s="9">
        <v>901230145</v>
      </c>
      <c r="AY72" s="9" t="s">
        <v>327</v>
      </c>
      <c r="AZ72" s="38">
        <v>45141</v>
      </c>
      <c r="BA72" s="9"/>
    </row>
    <row r="73" spans="1:53" s="11" customFormat="1" ht="54.75" customHeight="1">
      <c r="A73" s="215">
        <v>10245</v>
      </c>
      <c r="B73" s="57" t="s">
        <v>328</v>
      </c>
      <c r="C73" s="53" t="s">
        <v>68</v>
      </c>
      <c r="D73" s="53" t="s">
        <v>165</v>
      </c>
      <c r="E73" s="53" t="s">
        <v>81</v>
      </c>
      <c r="F73" s="53" t="s">
        <v>81</v>
      </c>
      <c r="G73" s="53" t="s">
        <v>86</v>
      </c>
      <c r="H73" s="54">
        <v>43639020.099999994</v>
      </c>
      <c r="I73" s="54" t="e">
        <v>#N/A</v>
      </c>
      <c r="J73" s="54">
        <f>PR[[#This Row],[التكلفة (المحدثه)  شاملة الضريبة]]-K73</f>
        <v>0</v>
      </c>
      <c r="K73" s="54">
        <v>43639020.100000001</v>
      </c>
      <c r="L73" s="312">
        <v>43639020.100000001</v>
      </c>
      <c r="M73" s="43" t="s">
        <v>72</v>
      </c>
      <c r="N73" s="55" t="s">
        <v>267</v>
      </c>
      <c r="O73" s="45" t="s">
        <v>142</v>
      </c>
      <c r="P73" s="45"/>
      <c r="Q73" s="298">
        <v>43639020.100000001</v>
      </c>
      <c r="R73" s="77" t="s">
        <v>268</v>
      </c>
      <c r="S73" s="154">
        <v>44775</v>
      </c>
      <c r="T73" s="155">
        <v>44805</v>
      </c>
      <c r="U73" s="156">
        <v>44805</v>
      </c>
      <c r="V73" s="157">
        <v>44835</v>
      </c>
      <c r="W73" s="154">
        <f>PR[[#This Row],[تاريخ نهاية المرحله…]]+1</f>
        <v>44836</v>
      </c>
      <c r="X73" s="155">
        <f>PR[[#This Row],[تاريخ بداية المرحله-.]]-1</f>
        <v>44864</v>
      </c>
      <c r="Y73" s="156">
        <v>44865</v>
      </c>
      <c r="Z73" s="157">
        <v>44910</v>
      </c>
      <c r="AA73" s="154">
        <v>45202</v>
      </c>
      <c r="AB73" s="158">
        <v>45322</v>
      </c>
      <c r="AC73" s="154">
        <v>45346</v>
      </c>
      <c r="AD73" s="159">
        <v>46478</v>
      </c>
      <c r="AE73" s="285">
        <f>PR[[#This Row],[التكلفة (المحدثه)  شاملة الضريبة]]*0.9</f>
        <v>39275118.090000004</v>
      </c>
      <c r="AF73" s="160">
        <v>45901</v>
      </c>
      <c r="AG73" s="159">
        <v>46410</v>
      </c>
      <c r="AH73" s="273">
        <f>PR[[#This Row],[التكلفة (المحدثه)  شاملة الضريبة]]*0.1</f>
        <v>4363902.0100000007</v>
      </c>
      <c r="AI73" s="160">
        <v>45953</v>
      </c>
      <c r="AJ73" s="159">
        <v>46494</v>
      </c>
      <c r="AK73" s="8" t="s">
        <v>268</v>
      </c>
      <c r="AL73" s="28" t="s">
        <v>267</v>
      </c>
      <c r="AM73" s="28" t="s">
        <v>267</v>
      </c>
      <c r="AN73" s="9" t="s">
        <v>159</v>
      </c>
      <c r="AO73" s="10">
        <v>45182</v>
      </c>
      <c r="AP73" s="9">
        <v>902230417</v>
      </c>
      <c r="AQ73" s="10">
        <v>45189</v>
      </c>
      <c r="AR73" s="16" t="s">
        <v>267</v>
      </c>
      <c r="AS73" s="29" t="s">
        <v>146</v>
      </c>
      <c r="AT73" s="28" t="s">
        <v>157</v>
      </c>
      <c r="AU73" s="37">
        <v>43639020.099999994</v>
      </c>
      <c r="AV73" s="38">
        <v>45202</v>
      </c>
      <c r="AW73" s="38">
        <v>45299</v>
      </c>
      <c r="AX73" s="9">
        <v>901230317</v>
      </c>
      <c r="AY73" s="9" t="s">
        <v>329</v>
      </c>
      <c r="AZ73" s="38">
        <v>45322</v>
      </c>
      <c r="BA73" s="9"/>
    </row>
    <row r="74" spans="1:53" s="11" customFormat="1" ht="54.75" customHeight="1">
      <c r="A74" s="214">
        <v>10280</v>
      </c>
      <c r="B74" s="57" t="s">
        <v>330</v>
      </c>
      <c r="C74" s="53" t="s">
        <v>68</v>
      </c>
      <c r="D74" s="53" t="s">
        <v>165</v>
      </c>
      <c r="E74" s="53" t="s">
        <v>81</v>
      </c>
      <c r="F74" s="53" t="s">
        <v>81</v>
      </c>
      <c r="G74" s="53" t="s">
        <v>86</v>
      </c>
      <c r="H74" s="54">
        <v>50599999.999999993</v>
      </c>
      <c r="I74" s="54" t="e">
        <v>#N/A</v>
      </c>
      <c r="J74" s="54">
        <f>PR[[#This Row],[التكلفة (المحدثه)  شاملة الضريبة]]-K74</f>
        <v>0</v>
      </c>
      <c r="K74" s="54">
        <v>29432727.16</v>
      </c>
      <c r="L74" s="312">
        <v>29432727.16</v>
      </c>
      <c r="M74" s="43" t="s">
        <v>72</v>
      </c>
      <c r="N74" s="55" t="s">
        <v>267</v>
      </c>
      <c r="O74" s="45" t="s">
        <v>142</v>
      </c>
      <c r="P74" s="45"/>
      <c r="Q74" s="298">
        <v>29432727.16</v>
      </c>
      <c r="R74" s="77" t="s">
        <v>268</v>
      </c>
      <c r="S74" s="154">
        <v>45082</v>
      </c>
      <c r="T74" s="155">
        <v>45112</v>
      </c>
      <c r="U74" s="156">
        <v>45112</v>
      </c>
      <c r="V74" s="157">
        <v>45142</v>
      </c>
      <c r="W74" s="154">
        <f>PR[[#This Row],[تاريخ نهاية المرحله…]]+1</f>
        <v>45143</v>
      </c>
      <c r="X74" s="155">
        <f>PR[[#This Row],[تاريخ بداية المرحله-.]]-1</f>
        <v>45171</v>
      </c>
      <c r="Y74" s="156">
        <v>45172</v>
      </c>
      <c r="Z74" s="157">
        <v>45217</v>
      </c>
      <c r="AA74" s="154">
        <v>45238</v>
      </c>
      <c r="AB74" s="158">
        <v>45497</v>
      </c>
      <c r="AC74" s="154">
        <v>45566</v>
      </c>
      <c r="AD74" s="159">
        <v>46657</v>
      </c>
      <c r="AE74" s="285">
        <f>PR[[#This Row],[التكلفة (المحدثه)  شاملة الضريبة]]*0.9</f>
        <v>26489454.444000002</v>
      </c>
      <c r="AF74" s="160">
        <v>45843</v>
      </c>
      <c r="AG74" s="159">
        <v>46264</v>
      </c>
      <c r="AH74" s="273">
        <f>PR[[#This Row],[التكلفة (المحدثه)  شاملة الضريبة]]*0.1</f>
        <v>2943272.716</v>
      </c>
      <c r="AI74" s="160">
        <v>46162</v>
      </c>
      <c r="AJ74" s="159">
        <v>46294</v>
      </c>
      <c r="AK74" s="8" t="s">
        <v>268</v>
      </c>
      <c r="AL74" s="28" t="s">
        <v>267</v>
      </c>
      <c r="AM74" s="28" t="s">
        <v>267</v>
      </c>
      <c r="AN74" s="9" t="s">
        <v>159</v>
      </c>
      <c r="AO74" s="10">
        <v>45222</v>
      </c>
      <c r="AP74" s="9">
        <v>902230467</v>
      </c>
      <c r="AQ74" s="10">
        <v>45222</v>
      </c>
      <c r="AR74" s="16" t="s">
        <v>267</v>
      </c>
      <c r="AS74" s="29" t="s">
        <v>146</v>
      </c>
      <c r="AT74" s="28" t="s">
        <v>157</v>
      </c>
      <c r="AU74" s="37">
        <v>29432727.169999998</v>
      </c>
      <c r="AV74" s="38">
        <v>45238</v>
      </c>
      <c r="AW74" s="38">
        <v>45399</v>
      </c>
      <c r="AX74" s="9">
        <v>901240095</v>
      </c>
      <c r="AY74" s="9" t="s">
        <v>331</v>
      </c>
      <c r="AZ74" s="38">
        <v>45497</v>
      </c>
      <c r="BA74" s="9"/>
    </row>
    <row r="75" spans="1:53" s="11" customFormat="1" ht="54.75" customHeight="1">
      <c r="A75" s="214" t="s">
        <v>332</v>
      </c>
      <c r="B75" s="57" t="s">
        <v>333</v>
      </c>
      <c r="C75" s="53" t="s">
        <v>68</v>
      </c>
      <c r="D75" s="53" t="s">
        <v>165</v>
      </c>
      <c r="E75" s="53" t="s">
        <v>81</v>
      </c>
      <c r="F75" s="53" t="s">
        <v>81</v>
      </c>
      <c r="G75" s="53" t="s">
        <v>86</v>
      </c>
      <c r="H75" s="54">
        <v>29301148.195</v>
      </c>
      <c r="I75" s="54" t="e">
        <v>#N/A</v>
      </c>
      <c r="J75" s="54">
        <f>PR[[#This Row],[التكلفة (المحدثه)  شاملة الضريبة]]-K75</f>
        <v>0</v>
      </c>
      <c r="K75" s="54">
        <v>29301148.239999998</v>
      </c>
      <c r="L75" s="312">
        <v>29301148.239999998</v>
      </c>
      <c r="M75" s="43" t="s">
        <v>72</v>
      </c>
      <c r="N75" s="55" t="s">
        <v>267</v>
      </c>
      <c r="O75" s="45" t="s">
        <v>142</v>
      </c>
      <c r="P75" s="45"/>
      <c r="Q75" s="298">
        <v>29301148.239999998</v>
      </c>
      <c r="R75" s="77" t="s">
        <v>268</v>
      </c>
      <c r="S75" s="154">
        <v>45007</v>
      </c>
      <c r="T75" s="155">
        <v>45037</v>
      </c>
      <c r="U75" s="156">
        <v>45037</v>
      </c>
      <c r="V75" s="157">
        <v>45052</v>
      </c>
      <c r="W75" s="154">
        <f>PR[[#This Row],[تاريخ نهاية المرحله…]]+1</f>
        <v>45053</v>
      </c>
      <c r="X75" s="155">
        <f>PR[[#This Row],[تاريخ بداية المرحله-.]]-1</f>
        <v>45078</v>
      </c>
      <c r="Y75" s="156">
        <v>45079</v>
      </c>
      <c r="Z75" s="157">
        <v>45103</v>
      </c>
      <c r="AA75" s="154">
        <v>45158</v>
      </c>
      <c r="AB75" s="158">
        <v>45372</v>
      </c>
      <c r="AC75" s="154">
        <v>45439</v>
      </c>
      <c r="AD75" s="159">
        <v>45763</v>
      </c>
      <c r="AE75" s="285">
        <f>PR[[#This Row],[التكلفة (المحدثه)  شاملة الضريبة]]*0.9</f>
        <v>26371033.415999997</v>
      </c>
      <c r="AF75" s="160">
        <v>45544</v>
      </c>
      <c r="AG75" s="159">
        <v>45756</v>
      </c>
      <c r="AH75" s="273">
        <f>PR[[#This Row],[التكلفة (المحدثه)  شاملة الضريبة]]*0.1</f>
        <v>2930114.824</v>
      </c>
      <c r="AI75" s="160">
        <v>45762</v>
      </c>
      <c r="AJ75" s="159">
        <v>45763</v>
      </c>
      <c r="AK75" s="8" t="s">
        <v>268</v>
      </c>
      <c r="AL75" s="28" t="s">
        <v>267</v>
      </c>
      <c r="AM75" s="28" t="s">
        <v>267</v>
      </c>
      <c r="AN75" s="9" t="s">
        <v>159</v>
      </c>
      <c r="AO75" s="10"/>
      <c r="AP75" s="9" t="s">
        <v>160</v>
      </c>
      <c r="AQ75" s="10"/>
      <c r="AR75" s="16" t="s">
        <v>267</v>
      </c>
      <c r="AS75" s="29" t="s">
        <v>146</v>
      </c>
      <c r="AT75" s="28" t="s">
        <v>147</v>
      </c>
      <c r="AU75" s="37">
        <v>29301148.240999997</v>
      </c>
      <c r="AV75" s="38">
        <v>45158</v>
      </c>
      <c r="AW75" s="38">
        <v>45342</v>
      </c>
      <c r="AX75" s="9">
        <v>901240024</v>
      </c>
      <c r="AY75" s="9" t="s">
        <v>334</v>
      </c>
      <c r="AZ75" s="38">
        <v>45372</v>
      </c>
      <c r="BA75" s="9"/>
    </row>
    <row r="76" spans="1:53" s="11" customFormat="1" ht="54.75" customHeight="1">
      <c r="A76" s="214" t="s">
        <v>335</v>
      </c>
      <c r="B76" s="57" t="s">
        <v>336</v>
      </c>
      <c r="C76" s="53" t="s">
        <v>68</v>
      </c>
      <c r="D76" s="53" t="s">
        <v>165</v>
      </c>
      <c r="E76" s="53" t="s">
        <v>81</v>
      </c>
      <c r="F76" s="53" t="s">
        <v>81</v>
      </c>
      <c r="G76" s="53" t="s">
        <v>86</v>
      </c>
      <c r="H76" s="54">
        <v>111774958.40000001</v>
      </c>
      <c r="I76" s="54" t="e">
        <v>#N/A</v>
      </c>
      <c r="J76" s="54">
        <f>PR[[#This Row],[التكلفة (المحدثه)  شاملة الضريبة]]-K76</f>
        <v>0</v>
      </c>
      <c r="K76" s="54">
        <v>111774958.40000001</v>
      </c>
      <c r="L76" s="312">
        <v>111774958.40000001</v>
      </c>
      <c r="M76" s="43" t="s">
        <v>72</v>
      </c>
      <c r="N76" s="55" t="s">
        <v>267</v>
      </c>
      <c r="O76" s="45" t="s">
        <v>142</v>
      </c>
      <c r="P76" s="45"/>
      <c r="Q76" s="298">
        <v>111774958.40000001</v>
      </c>
      <c r="R76" s="77" t="s">
        <v>268</v>
      </c>
      <c r="S76" s="154">
        <v>44996</v>
      </c>
      <c r="T76" s="155">
        <v>45026</v>
      </c>
      <c r="U76" s="156">
        <v>45026</v>
      </c>
      <c r="V76" s="157">
        <v>45056</v>
      </c>
      <c r="W76" s="154">
        <f>PR[[#This Row],[تاريخ نهاية المرحله…]]+1</f>
        <v>45057</v>
      </c>
      <c r="X76" s="155">
        <f>PR[[#This Row],[تاريخ بداية المرحله-.]]-1</f>
        <v>45085</v>
      </c>
      <c r="Y76" s="156">
        <v>45086</v>
      </c>
      <c r="Z76" s="157">
        <v>45131</v>
      </c>
      <c r="AA76" s="154">
        <v>45223</v>
      </c>
      <c r="AB76" s="158">
        <v>45397</v>
      </c>
      <c r="AC76" s="154">
        <v>45477</v>
      </c>
      <c r="AD76" s="159">
        <v>46492</v>
      </c>
      <c r="AE76" s="285">
        <f>PR[[#This Row],[التكلفة (المحدثه)  شاملة الضريبة]]*0.9</f>
        <v>100597462.56</v>
      </c>
      <c r="AF76" s="160">
        <v>45487</v>
      </c>
      <c r="AG76" s="159">
        <v>46532</v>
      </c>
      <c r="AH76" s="273">
        <f>PR[[#This Row],[التكلفة (المحدثه)  شاملة الضريبة]]*0.1</f>
        <v>11177495.840000002</v>
      </c>
      <c r="AI76" s="160">
        <v>46117</v>
      </c>
      <c r="AJ76" s="159">
        <v>46537</v>
      </c>
      <c r="AK76" s="8" t="s">
        <v>268</v>
      </c>
      <c r="AL76" s="28" t="s">
        <v>267</v>
      </c>
      <c r="AM76" s="28" t="s">
        <v>267</v>
      </c>
      <c r="AN76" s="9" t="s">
        <v>159</v>
      </c>
      <c r="AO76" s="10"/>
      <c r="AP76" s="9" t="s">
        <v>160</v>
      </c>
      <c r="AQ76" s="10"/>
      <c r="AR76" s="16" t="s">
        <v>267</v>
      </c>
      <c r="AS76" s="29" t="s">
        <v>146</v>
      </c>
      <c r="AT76" s="28" t="s">
        <v>147</v>
      </c>
      <c r="AU76" s="37">
        <v>111774958.39999999</v>
      </c>
      <c r="AV76" s="38">
        <v>45223</v>
      </c>
      <c r="AW76" s="38">
        <v>45342</v>
      </c>
      <c r="AX76" s="9">
        <v>901240021</v>
      </c>
      <c r="AY76" s="9" t="s">
        <v>337</v>
      </c>
      <c r="AZ76" s="38">
        <v>45397</v>
      </c>
      <c r="BA76" s="9"/>
    </row>
    <row r="77" spans="1:53" s="11" customFormat="1" ht="54.75" customHeight="1">
      <c r="A77" s="214" t="s">
        <v>338</v>
      </c>
      <c r="B77" s="57" t="s">
        <v>339</v>
      </c>
      <c r="C77" s="53" t="s">
        <v>68</v>
      </c>
      <c r="D77" s="53" t="s">
        <v>165</v>
      </c>
      <c r="E77" s="53" t="s">
        <v>81</v>
      </c>
      <c r="F77" s="53" t="s">
        <v>81</v>
      </c>
      <c r="G77" s="53" t="s">
        <v>86</v>
      </c>
      <c r="H77" s="54">
        <v>83905989.5</v>
      </c>
      <c r="I77" s="54" t="e">
        <v>#N/A</v>
      </c>
      <c r="J77" s="54">
        <f>PR[[#This Row],[التكلفة (المحدثه)  شاملة الضريبة]]-K77</f>
        <v>0</v>
      </c>
      <c r="K77" s="54">
        <v>83905989.5</v>
      </c>
      <c r="L77" s="312">
        <v>83905989.5</v>
      </c>
      <c r="M77" s="43" t="s">
        <v>72</v>
      </c>
      <c r="N77" s="55" t="s">
        <v>267</v>
      </c>
      <c r="O77" s="45" t="s">
        <v>142</v>
      </c>
      <c r="P77" s="45"/>
      <c r="Q77" s="298">
        <v>83905989.5</v>
      </c>
      <c r="R77" s="77" t="s">
        <v>268</v>
      </c>
      <c r="S77" s="154">
        <v>45081</v>
      </c>
      <c r="T77" s="155">
        <v>45111</v>
      </c>
      <c r="U77" s="156">
        <v>45111</v>
      </c>
      <c r="V77" s="157">
        <v>45141</v>
      </c>
      <c r="W77" s="154">
        <f>PR[[#This Row],[تاريخ نهاية المرحله…]]+1</f>
        <v>45142</v>
      </c>
      <c r="X77" s="155">
        <f>PR[[#This Row],[تاريخ بداية المرحله-.]]-1</f>
        <v>45170</v>
      </c>
      <c r="Y77" s="156">
        <v>45171</v>
      </c>
      <c r="Z77" s="157">
        <v>45216</v>
      </c>
      <c r="AA77" s="154">
        <v>45238</v>
      </c>
      <c r="AB77" s="158">
        <v>45411</v>
      </c>
      <c r="AC77" s="154">
        <v>45431</v>
      </c>
      <c r="AD77" s="159">
        <v>46522</v>
      </c>
      <c r="AE77" s="285">
        <f>PR[[#This Row],[التكلفة (المحدثه)  شاملة الضريبة]]*0.9</f>
        <v>75515390.549999997</v>
      </c>
      <c r="AF77" s="160">
        <v>45839</v>
      </c>
      <c r="AG77" s="159">
        <v>46285</v>
      </c>
      <c r="AH77" s="273">
        <f>PR[[#This Row],[التكلفة (المحدثه)  شاملة الضريبة]]*0.1</f>
        <v>8390598.9500000011</v>
      </c>
      <c r="AI77" s="160">
        <v>45839</v>
      </c>
      <c r="AJ77" s="159">
        <v>46526</v>
      </c>
      <c r="AK77" s="8" t="s">
        <v>268</v>
      </c>
      <c r="AL77" s="28" t="s">
        <v>267</v>
      </c>
      <c r="AM77" s="28" t="s">
        <v>267</v>
      </c>
      <c r="AN77" s="9" t="s">
        <v>159</v>
      </c>
      <c r="AO77" s="10">
        <v>45221</v>
      </c>
      <c r="AP77" s="9">
        <v>902230466</v>
      </c>
      <c r="AQ77" s="10">
        <v>45221</v>
      </c>
      <c r="AR77" s="16" t="s">
        <v>267</v>
      </c>
      <c r="AS77" s="29" t="s">
        <v>146</v>
      </c>
      <c r="AT77" s="28" t="s">
        <v>147</v>
      </c>
      <c r="AU77" s="37">
        <v>83905989.5</v>
      </c>
      <c r="AV77" s="38">
        <v>45238</v>
      </c>
      <c r="AW77" s="38">
        <v>45350</v>
      </c>
      <c r="AX77" s="9">
        <v>901240018</v>
      </c>
      <c r="AY77" s="9" t="s">
        <v>340</v>
      </c>
      <c r="AZ77" s="38">
        <v>45411</v>
      </c>
      <c r="BA77" s="9"/>
    </row>
    <row r="78" spans="1:53" s="11" customFormat="1" ht="54.75" customHeight="1">
      <c r="A78" s="214" t="s">
        <v>341</v>
      </c>
      <c r="B78" s="138" t="s">
        <v>342</v>
      </c>
      <c r="C78" s="53" t="s">
        <v>68</v>
      </c>
      <c r="D78" s="53" t="s">
        <v>165</v>
      </c>
      <c r="E78" s="53" t="s">
        <v>81</v>
      </c>
      <c r="F78" s="53" t="s">
        <v>81</v>
      </c>
      <c r="G78" s="53" t="s">
        <v>86</v>
      </c>
      <c r="H78" s="54">
        <v>28749999.999999996</v>
      </c>
      <c r="I78" s="54" t="e">
        <v>#N/A</v>
      </c>
      <c r="J78" s="54">
        <f>PR[[#This Row],[التكلفة (المحدثه)  شاملة الضريبة]]-K78</f>
        <v>0</v>
      </c>
      <c r="K78" s="54">
        <v>35894605</v>
      </c>
      <c r="L78" s="312">
        <v>35894605</v>
      </c>
      <c r="M78" s="43" t="s">
        <v>72</v>
      </c>
      <c r="N78" s="55" t="s">
        <v>267</v>
      </c>
      <c r="O78" s="45" t="s">
        <v>142</v>
      </c>
      <c r="P78" s="45"/>
      <c r="Q78" s="298">
        <v>35894605</v>
      </c>
      <c r="R78" s="77" t="s">
        <v>268</v>
      </c>
      <c r="S78" s="154">
        <v>45157</v>
      </c>
      <c r="T78" s="155">
        <v>45187</v>
      </c>
      <c r="U78" s="156">
        <v>45187</v>
      </c>
      <c r="V78" s="157">
        <v>45217</v>
      </c>
      <c r="W78" s="154">
        <f>PR[[#This Row],[تاريخ نهاية المرحله…]]+1</f>
        <v>45218</v>
      </c>
      <c r="X78" s="155">
        <f>PR[[#This Row],[تاريخ بداية المرحله-.]]-1</f>
        <v>45246</v>
      </c>
      <c r="Y78" s="156">
        <v>45247</v>
      </c>
      <c r="Z78" s="157">
        <v>45292</v>
      </c>
      <c r="AA78" s="154">
        <v>45361</v>
      </c>
      <c r="AB78" s="158">
        <v>45524</v>
      </c>
      <c r="AC78" s="154">
        <v>45677</v>
      </c>
      <c r="AD78" s="159">
        <v>46663</v>
      </c>
      <c r="AE78" s="285">
        <f>PR[[#This Row],[التكلفة (المحدثه)  شاملة الضريبة]]*0.9</f>
        <v>32305144.5</v>
      </c>
      <c r="AF78" s="160">
        <v>45962</v>
      </c>
      <c r="AG78" s="159">
        <v>46663</v>
      </c>
      <c r="AH78" s="273">
        <f>PR[[#This Row],[التكلفة (المحدثه)  شاملة الضريبة]]*0.1</f>
        <v>3589460.5</v>
      </c>
      <c r="AI78" s="160">
        <v>46664</v>
      </c>
      <c r="AJ78" s="159">
        <v>46686</v>
      </c>
      <c r="AK78" s="8" t="s">
        <v>268</v>
      </c>
      <c r="AL78" s="28" t="s">
        <v>267</v>
      </c>
      <c r="AM78" s="28" t="s">
        <v>267</v>
      </c>
      <c r="AN78" s="9" t="s">
        <v>159</v>
      </c>
      <c r="AO78" s="10">
        <v>45482</v>
      </c>
      <c r="AP78" s="9">
        <v>902240431</v>
      </c>
      <c r="AQ78" s="10">
        <v>45484</v>
      </c>
      <c r="AR78" s="16" t="s">
        <v>267</v>
      </c>
      <c r="AS78" s="29" t="s">
        <v>146</v>
      </c>
      <c r="AT78" s="28" t="s">
        <v>147</v>
      </c>
      <c r="AU78" s="37">
        <v>35894605</v>
      </c>
      <c r="AV78" s="38">
        <v>45361</v>
      </c>
      <c r="AW78" s="38">
        <v>45489</v>
      </c>
      <c r="AX78" s="9">
        <v>901240136</v>
      </c>
      <c r="AY78" s="9" t="s">
        <v>343</v>
      </c>
      <c r="AZ78" s="38">
        <v>45524</v>
      </c>
      <c r="BA78" s="9"/>
    </row>
    <row r="79" spans="1:53" s="11" customFormat="1" ht="54.75" customHeight="1">
      <c r="A79" s="214" t="s">
        <v>344</v>
      </c>
      <c r="B79" s="57" t="s">
        <v>345</v>
      </c>
      <c r="C79" s="53" t="s">
        <v>68</v>
      </c>
      <c r="D79" s="53" t="s">
        <v>165</v>
      </c>
      <c r="E79" s="53" t="s">
        <v>81</v>
      </c>
      <c r="F79" s="53" t="s">
        <v>81</v>
      </c>
      <c r="G79" s="53" t="s">
        <v>86</v>
      </c>
      <c r="H79" s="54">
        <v>26147277.449999999</v>
      </c>
      <c r="I79" s="54" t="e">
        <v>#N/A</v>
      </c>
      <c r="J79" s="54">
        <f>PR[[#This Row],[التكلفة (المحدثه)  شاملة الضريبة]]-K79</f>
        <v>0</v>
      </c>
      <c r="K79" s="54">
        <v>26147277.449999999</v>
      </c>
      <c r="L79" s="312">
        <v>26147277.449999999</v>
      </c>
      <c r="M79" s="43" t="s">
        <v>72</v>
      </c>
      <c r="N79" s="55" t="s">
        <v>267</v>
      </c>
      <c r="O79" s="45" t="s">
        <v>142</v>
      </c>
      <c r="P79" s="45"/>
      <c r="Q79" s="298">
        <v>26147277.449999999</v>
      </c>
      <c r="R79" s="77" t="s">
        <v>268</v>
      </c>
      <c r="S79" s="154">
        <v>44996</v>
      </c>
      <c r="T79" s="155">
        <v>45026</v>
      </c>
      <c r="U79" s="156">
        <v>45026</v>
      </c>
      <c r="V79" s="157">
        <v>45056</v>
      </c>
      <c r="W79" s="154">
        <f>PR[[#This Row],[تاريخ نهاية المرحله…]]+1</f>
        <v>45057</v>
      </c>
      <c r="X79" s="155">
        <f>PR[[#This Row],[تاريخ بداية المرحله-.]]-1</f>
        <v>45085</v>
      </c>
      <c r="Y79" s="156">
        <v>45086</v>
      </c>
      <c r="Z79" s="171">
        <v>45131</v>
      </c>
      <c r="AA79" s="154">
        <v>45147</v>
      </c>
      <c r="AB79" s="158">
        <v>45322</v>
      </c>
      <c r="AC79" s="154">
        <v>45397</v>
      </c>
      <c r="AD79" s="159">
        <v>46138</v>
      </c>
      <c r="AE79" s="285">
        <f>PR[[#This Row],[التكلفة (المحدثه)  شاملة الضريبة]]*0.9</f>
        <v>23532549.704999998</v>
      </c>
      <c r="AF79" s="160">
        <v>45871</v>
      </c>
      <c r="AG79" s="159">
        <v>46148</v>
      </c>
      <c r="AH79" s="273">
        <f>PR[[#This Row],[التكلفة (المحدثه)  شاملة الضريبة]]*0.1</f>
        <v>2614727.7450000001</v>
      </c>
      <c r="AI79" s="160">
        <v>46149</v>
      </c>
      <c r="AJ79" s="159">
        <v>46154</v>
      </c>
      <c r="AK79" s="8" t="s">
        <v>268</v>
      </c>
      <c r="AL79" s="28" t="s">
        <v>267</v>
      </c>
      <c r="AM79" s="28" t="s">
        <v>267</v>
      </c>
      <c r="AN79" s="9" t="s">
        <v>159</v>
      </c>
      <c r="AO79" s="10">
        <v>45134</v>
      </c>
      <c r="AP79" s="9">
        <v>902230362</v>
      </c>
      <c r="AQ79" s="10">
        <v>45141</v>
      </c>
      <c r="AR79" s="16" t="s">
        <v>267</v>
      </c>
      <c r="AS79" s="29" t="s">
        <v>146</v>
      </c>
      <c r="AT79" s="28" t="s">
        <v>147</v>
      </c>
      <c r="AU79" s="37">
        <v>26147277.449999999</v>
      </c>
      <c r="AV79" s="38">
        <v>45147</v>
      </c>
      <c r="AW79" s="38">
        <v>45264</v>
      </c>
      <c r="AX79" s="9">
        <v>901230273</v>
      </c>
      <c r="AY79" s="9" t="s">
        <v>346</v>
      </c>
      <c r="AZ79" s="38">
        <v>45322</v>
      </c>
      <c r="BA79" s="9"/>
    </row>
    <row r="80" spans="1:53" s="11" customFormat="1" ht="54.75" customHeight="1">
      <c r="A80" s="214" t="s">
        <v>347</v>
      </c>
      <c r="B80" s="138" t="s">
        <v>348</v>
      </c>
      <c r="C80" s="53" t="s">
        <v>68</v>
      </c>
      <c r="D80" s="53" t="s">
        <v>165</v>
      </c>
      <c r="E80" s="53" t="s">
        <v>81</v>
      </c>
      <c r="F80" s="53" t="s">
        <v>194</v>
      </c>
      <c r="G80" s="53" t="s">
        <v>86</v>
      </c>
      <c r="H80" s="54">
        <v>43700000</v>
      </c>
      <c r="I80" s="54" t="e">
        <v>#N/A</v>
      </c>
      <c r="J80" s="54">
        <f>PR[[#This Row],[التكلفة (المحدثه)  شاملة الضريبة]]-K80</f>
        <v>0</v>
      </c>
      <c r="K80" s="54">
        <v>24989167</v>
      </c>
      <c r="L80" s="312">
        <v>24989167</v>
      </c>
      <c r="M80" s="43" t="s">
        <v>72</v>
      </c>
      <c r="N80" s="55" t="s">
        <v>267</v>
      </c>
      <c r="O80" s="45" t="s">
        <v>142</v>
      </c>
      <c r="P80" s="45"/>
      <c r="Q80" s="298">
        <v>24989167</v>
      </c>
      <c r="R80" s="77" t="s">
        <v>268</v>
      </c>
      <c r="S80" s="154">
        <v>45240</v>
      </c>
      <c r="T80" s="155">
        <v>45270</v>
      </c>
      <c r="U80" s="156">
        <v>45270</v>
      </c>
      <c r="V80" s="157">
        <v>45300</v>
      </c>
      <c r="W80" s="154">
        <f>PR[[#This Row],[تاريخ نهاية المرحله…]]+1</f>
        <v>45301</v>
      </c>
      <c r="X80" s="155">
        <f>PR[[#This Row],[تاريخ بداية المرحله-.]]-1</f>
        <v>45329</v>
      </c>
      <c r="Y80" s="156">
        <v>45330</v>
      </c>
      <c r="Z80" s="157">
        <v>45375</v>
      </c>
      <c r="AA80" s="154">
        <v>45386</v>
      </c>
      <c r="AB80" s="158">
        <v>45540</v>
      </c>
      <c r="AC80" s="154">
        <v>45664</v>
      </c>
      <c r="AD80" s="159">
        <v>46373</v>
      </c>
      <c r="AE80" s="285">
        <f>PR[[#This Row],[التكلفة (المحدثه)  شاملة الضريبة]]*0.9</f>
        <v>22490250.300000001</v>
      </c>
      <c r="AF80" s="160">
        <v>45820</v>
      </c>
      <c r="AG80" s="159">
        <v>46328</v>
      </c>
      <c r="AH80" s="273">
        <f>PR[[#This Row],[التكلفة (المحدثه)  شاملة الضريبة]]*0.1</f>
        <v>2498916.7000000002</v>
      </c>
      <c r="AI80" s="160">
        <v>46099</v>
      </c>
      <c r="AJ80" s="159">
        <v>46385</v>
      </c>
      <c r="AK80" s="8" t="s">
        <v>268</v>
      </c>
      <c r="AL80" s="28" t="s">
        <v>267</v>
      </c>
      <c r="AM80" s="28" t="s">
        <v>267</v>
      </c>
      <c r="AN80" s="9" t="s">
        <v>159</v>
      </c>
      <c r="AO80" s="10">
        <v>45378</v>
      </c>
      <c r="AP80" s="9">
        <v>902240202</v>
      </c>
      <c r="AQ80" s="10">
        <v>45378</v>
      </c>
      <c r="AR80" s="16" t="s">
        <v>267</v>
      </c>
      <c r="AS80" s="29" t="s">
        <v>146</v>
      </c>
      <c r="AT80" s="28" t="s">
        <v>147</v>
      </c>
      <c r="AU80" s="37">
        <v>24989166.499999996</v>
      </c>
      <c r="AV80" s="38">
        <v>45386</v>
      </c>
      <c r="AW80" s="38">
        <v>45470</v>
      </c>
      <c r="AX80" s="9">
        <v>901240144</v>
      </c>
      <c r="AY80" s="9" t="s">
        <v>349</v>
      </c>
      <c r="AZ80" s="38">
        <v>45540</v>
      </c>
      <c r="BA80" s="9"/>
    </row>
    <row r="81" spans="1:53" s="11" customFormat="1" ht="54.75" customHeight="1">
      <c r="A81" s="214" t="s">
        <v>350</v>
      </c>
      <c r="B81" s="138" t="s">
        <v>351</v>
      </c>
      <c r="C81" s="53" t="s">
        <v>68</v>
      </c>
      <c r="D81" s="53" t="s">
        <v>165</v>
      </c>
      <c r="E81" s="53" t="s">
        <v>81</v>
      </c>
      <c r="F81" s="53" t="s">
        <v>81</v>
      </c>
      <c r="G81" s="53" t="s">
        <v>86</v>
      </c>
      <c r="H81" s="54">
        <v>17250000</v>
      </c>
      <c r="I81" s="54" t="e">
        <v>#N/A</v>
      </c>
      <c r="J81" s="54">
        <f>PR[[#This Row],[التكلفة (المحدثه)  شاملة الضريبة]]-K81</f>
        <v>0</v>
      </c>
      <c r="K81" s="54">
        <v>32081964</v>
      </c>
      <c r="L81" s="312">
        <v>32081964</v>
      </c>
      <c r="M81" s="43" t="s">
        <v>72</v>
      </c>
      <c r="N81" s="55" t="s">
        <v>267</v>
      </c>
      <c r="O81" s="45" t="s">
        <v>142</v>
      </c>
      <c r="P81" s="45"/>
      <c r="Q81" s="298">
        <v>32081964</v>
      </c>
      <c r="R81" s="77" t="s">
        <v>268</v>
      </c>
      <c r="S81" s="154">
        <v>45229</v>
      </c>
      <c r="T81" s="155">
        <v>45259</v>
      </c>
      <c r="U81" s="156">
        <v>45259</v>
      </c>
      <c r="V81" s="157">
        <v>45289</v>
      </c>
      <c r="W81" s="154">
        <f>PR[[#This Row],[تاريخ نهاية المرحله…]]+1</f>
        <v>45290</v>
      </c>
      <c r="X81" s="155">
        <f>PR[[#This Row],[تاريخ بداية المرحله-.]]-1</f>
        <v>45318</v>
      </c>
      <c r="Y81" s="156">
        <v>45319</v>
      </c>
      <c r="Z81" s="157">
        <v>45364</v>
      </c>
      <c r="AA81" s="154">
        <v>45396</v>
      </c>
      <c r="AB81" s="158">
        <v>45564</v>
      </c>
      <c r="AC81" s="154">
        <v>45638</v>
      </c>
      <c r="AD81" s="159">
        <v>46366</v>
      </c>
      <c r="AE81" s="285">
        <f>PR[[#This Row],[التكلفة (المحدثه)  شاملة الضريبة]]*0.9</f>
        <v>28873767.600000001</v>
      </c>
      <c r="AF81" s="160">
        <v>45839</v>
      </c>
      <c r="AG81" s="159">
        <v>46369</v>
      </c>
      <c r="AH81" s="273">
        <f>PR[[#This Row],[التكلفة (المحدثه)  شاملة الضريبة]]*0.1</f>
        <v>3208196.4000000004</v>
      </c>
      <c r="AI81" s="160">
        <v>46106</v>
      </c>
      <c r="AJ81" s="159">
        <v>46372</v>
      </c>
      <c r="AK81" s="8" t="s">
        <v>268</v>
      </c>
      <c r="AL81" s="28" t="s">
        <v>267</v>
      </c>
      <c r="AM81" s="28" t="s">
        <v>267</v>
      </c>
      <c r="AN81" s="9" t="s">
        <v>159</v>
      </c>
      <c r="AO81" s="10">
        <v>45517</v>
      </c>
      <c r="AP81" s="9">
        <v>902240478</v>
      </c>
      <c r="AQ81" s="10">
        <v>45526</v>
      </c>
      <c r="AR81" s="16" t="s">
        <v>267</v>
      </c>
      <c r="AS81" s="29" t="s">
        <v>146</v>
      </c>
      <c r="AT81" s="28" t="s">
        <v>147</v>
      </c>
      <c r="AU81" s="37">
        <v>34461239.25</v>
      </c>
      <c r="AV81" s="38">
        <v>45396</v>
      </c>
      <c r="AW81" s="38">
        <v>45530</v>
      </c>
      <c r="AX81" s="9">
        <v>901240210</v>
      </c>
      <c r="AY81" s="9" t="s">
        <v>323</v>
      </c>
      <c r="AZ81" s="38">
        <v>45564</v>
      </c>
      <c r="BA81" s="9"/>
    </row>
    <row r="82" spans="1:53" s="11" customFormat="1" ht="54.75" customHeight="1">
      <c r="A82" s="214" t="s">
        <v>352</v>
      </c>
      <c r="B82" s="57" t="s">
        <v>353</v>
      </c>
      <c r="C82" s="53" t="s">
        <v>68</v>
      </c>
      <c r="D82" s="53" t="s">
        <v>165</v>
      </c>
      <c r="E82" s="53" t="s">
        <v>81</v>
      </c>
      <c r="F82" s="53" t="s">
        <v>81</v>
      </c>
      <c r="G82" s="53" t="s">
        <v>86</v>
      </c>
      <c r="H82" s="54">
        <v>22439088</v>
      </c>
      <c r="I82" s="54" t="e">
        <v>#N/A</v>
      </c>
      <c r="J82" s="54">
        <f>PR[[#This Row],[التكلفة (المحدثه)  شاملة الضريبة]]-K82</f>
        <v>0</v>
      </c>
      <c r="K82" s="54">
        <v>15456482.43</v>
      </c>
      <c r="L82" s="312">
        <v>15456482.43</v>
      </c>
      <c r="M82" s="43" t="s">
        <v>72</v>
      </c>
      <c r="N82" s="55" t="s">
        <v>267</v>
      </c>
      <c r="O82" s="45" t="s">
        <v>142</v>
      </c>
      <c r="P82" s="45"/>
      <c r="Q82" s="298">
        <v>15456482.43</v>
      </c>
      <c r="R82" s="77" t="s">
        <v>268</v>
      </c>
      <c r="S82" s="154">
        <v>45229</v>
      </c>
      <c r="T82" s="155">
        <v>45259</v>
      </c>
      <c r="U82" s="156">
        <v>45259</v>
      </c>
      <c r="V82" s="157">
        <v>45289</v>
      </c>
      <c r="W82" s="154">
        <f>PR[[#This Row],[تاريخ نهاية المرحله…]]+1</f>
        <v>45290</v>
      </c>
      <c r="X82" s="155">
        <f>PR[[#This Row],[تاريخ بداية المرحله-.]]-1</f>
        <v>45318</v>
      </c>
      <c r="Y82" s="156">
        <v>45319</v>
      </c>
      <c r="Z82" s="157">
        <v>45364</v>
      </c>
      <c r="AA82" s="154">
        <v>45398</v>
      </c>
      <c r="AB82" s="158">
        <v>45705</v>
      </c>
      <c r="AC82" s="154">
        <v>45808</v>
      </c>
      <c r="AD82" s="159">
        <v>46572</v>
      </c>
      <c r="AE82" s="285">
        <f>PR[[#This Row],[التكلفة (المحدثه)  شاملة الضريبة]]*0.9</f>
        <v>13910834.187000001</v>
      </c>
      <c r="AF82" s="160">
        <v>45883</v>
      </c>
      <c r="AG82" s="159">
        <v>46455</v>
      </c>
      <c r="AH82" s="273">
        <f>PR[[#This Row],[التكلفة (المحدثه)  شاملة الضريبة]]*0.1</f>
        <v>1545648.243</v>
      </c>
      <c r="AI82" s="160">
        <v>46114</v>
      </c>
      <c r="AJ82" s="159">
        <v>46482</v>
      </c>
      <c r="AK82" s="8" t="s">
        <v>268</v>
      </c>
      <c r="AL82" s="28" t="s">
        <v>267</v>
      </c>
      <c r="AM82" s="28" t="s">
        <v>267</v>
      </c>
      <c r="AN82" s="9" t="s">
        <v>159</v>
      </c>
      <c r="AO82" s="10">
        <v>45594</v>
      </c>
      <c r="AP82" s="9">
        <v>902240599</v>
      </c>
      <c r="AQ82" s="10">
        <v>45606</v>
      </c>
      <c r="AR82" s="16" t="s">
        <v>267</v>
      </c>
      <c r="AS82" s="29" t="s">
        <v>146</v>
      </c>
      <c r="AT82" s="28" t="s">
        <v>147</v>
      </c>
      <c r="AU82" s="37">
        <v>15456482.424999999</v>
      </c>
      <c r="AV82" s="38">
        <v>45398</v>
      </c>
      <c r="AW82" s="38">
        <v>45624</v>
      </c>
      <c r="AX82" s="9">
        <v>901240327</v>
      </c>
      <c r="AY82" s="9" t="s">
        <v>349</v>
      </c>
      <c r="AZ82" s="38">
        <v>45705</v>
      </c>
      <c r="BA82" s="9"/>
    </row>
    <row r="83" spans="1:53" s="11" customFormat="1" ht="54.75" customHeight="1">
      <c r="A83" s="214" t="s">
        <v>354</v>
      </c>
      <c r="B83" s="57" t="s">
        <v>355</v>
      </c>
      <c r="C83" s="53" t="s">
        <v>68</v>
      </c>
      <c r="D83" s="53" t="s">
        <v>165</v>
      </c>
      <c r="E83" s="53" t="s">
        <v>81</v>
      </c>
      <c r="F83" s="53" t="s">
        <v>81</v>
      </c>
      <c r="G83" s="53" t="s">
        <v>86</v>
      </c>
      <c r="H83" s="54">
        <v>28749999.999999996</v>
      </c>
      <c r="I83" s="54" t="e">
        <v>#N/A</v>
      </c>
      <c r="J83" s="54">
        <f>PR[[#This Row],[التكلفة (المحدثه)  شاملة الضريبة]]-K83</f>
        <v>0</v>
      </c>
      <c r="K83" s="54">
        <v>28950042.5</v>
      </c>
      <c r="L83" s="312">
        <v>28950042.5</v>
      </c>
      <c r="M83" s="43" t="s">
        <v>72</v>
      </c>
      <c r="N83" s="55" t="s">
        <v>267</v>
      </c>
      <c r="O83" s="45" t="s">
        <v>142</v>
      </c>
      <c r="P83" s="45"/>
      <c r="Q83" s="298">
        <v>28950042.5</v>
      </c>
      <c r="R83" s="77" t="s">
        <v>268</v>
      </c>
      <c r="S83" s="154">
        <v>45229</v>
      </c>
      <c r="T83" s="155">
        <v>45259</v>
      </c>
      <c r="U83" s="156">
        <v>45259</v>
      </c>
      <c r="V83" s="157">
        <v>45289</v>
      </c>
      <c r="W83" s="154">
        <f>PR[[#This Row],[تاريخ نهاية المرحله…]]+1</f>
        <v>45290</v>
      </c>
      <c r="X83" s="155">
        <f>PR[[#This Row],[تاريخ بداية المرحله-.]]-1</f>
        <v>45318</v>
      </c>
      <c r="Y83" s="156">
        <v>45319</v>
      </c>
      <c r="Z83" s="157">
        <v>45364</v>
      </c>
      <c r="AA83" s="154">
        <v>45370</v>
      </c>
      <c r="AB83" s="158">
        <v>45515</v>
      </c>
      <c r="AC83" s="154">
        <v>45647</v>
      </c>
      <c r="AD83" s="159">
        <v>46655</v>
      </c>
      <c r="AE83" s="285">
        <f>PR[[#This Row],[التكلفة (المحدثه)  شاملة الضريبة]]*0.9</f>
        <v>26055038.25</v>
      </c>
      <c r="AF83" s="160">
        <v>45705</v>
      </c>
      <c r="AG83" s="159">
        <v>46641</v>
      </c>
      <c r="AH83" s="273">
        <f>PR[[#This Row],[التكلفة (المحدثه)  شاملة الضريبة]]*0.1</f>
        <v>2895004.25</v>
      </c>
      <c r="AI83" s="160">
        <v>45799</v>
      </c>
      <c r="AJ83" s="159">
        <v>46660</v>
      </c>
      <c r="AK83" s="8" t="s">
        <v>268</v>
      </c>
      <c r="AL83" s="28" t="s">
        <v>267</v>
      </c>
      <c r="AM83" s="28" t="s">
        <v>267</v>
      </c>
      <c r="AN83" s="9" t="s">
        <v>159</v>
      </c>
      <c r="AO83" s="10">
        <v>45357</v>
      </c>
      <c r="AP83" s="9">
        <v>902240168</v>
      </c>
      <c r="AQ83" s="10">
        <v>45357</v>
      </c>
      <c r="AR83" s="16" t="s">
        <v>267</v>
      </c>
      <c r="AS83" s="29" t="s">
        <v>146</v>
      </c>
      <c r="AT83" s="28" t="s">
        <v>185</v>
      </c>
      <c r="AU83" s="37">
        <v>28950042.499999996</v>
      </c>
      <c r="AV83" s="38">
        <v>45370</v>
      </c>
      <c r="AW83" s="38">
        <v>45453</v>
      </c>
      <c r="AX83" s="9">
        <v>901240137</v>
      </c>
      <c r="AY83" s="9" t="s">
        <v>356</v>
      </c>
      <c r="AZ83" s="38">
        <v>45515</v>
      </c>
      <c r="BA83" s="9"/>
    </row>
    <row r="84" spans="1:53" s="11" customFormat="1" ht="54.75" customHeight="1">
      <c r="A84" s="214" t="s">
        <v>357</v>
      </c>
      <c r="B84" s="57" t="s">
        <v>358</v>
      </c>
      <c r="C84" s="53" t="s">
        <v>68</v>
      </c>
      <c r="D84" s="53" t="s">
        <v>165</v>
      </c>
      <c r="E84" s="53" t="s">
        <v>81</v>
      </c>
      <c r="F84" s="53" t="s">
        <v>81</v>
      </c>
      <c r="G84" s="53" t="s">
        <v>94</v>
      </c>
      <c r="H84" s="54">
        <v>50216360</v>
      </c>
      <c r="I84" s="54" t="e">
        <v>#N/A</v>
      </c>
      <c r="J84" s="54">
        <f>PR[[#This Row],[التكلفة (المحدثه)  شاملة الضريبة]]-K84</f>
        <v>0</v>
      </c>
      <c r="K84" s="54">
        <v>50216360</v>
      </c>
      <c r="L84" s="312">
        <v>50216360</v>
      </c>
      <c r="M84" s="43" t="s">
        <v>72</v>
      </c>
      <c r="N84" s="55" t="s">
        <v>267</v>
      </c>
      <c r="O84" s="45" t="s">
        <v>142</v>
      </c>
      <c r="P84" s="45"/>
      <c r="Q84" s="298">
        <v>50216360</v>
      </c>
      <c r="R84" s="77" t="s">
        <v>268</v>
      </c>
      <c r="S84" s="154">
        <v>45080</v>
      </c>
      <c r="T84" s="155">
        <v>45110</v>
      </c>
      <c r="U84" s="156">
        <v>45110</v>
      </c>
      <c r="V84" s="157">
        <v>45140</v>
      </c>
      <c r="W84" s="154">
        <f>PR[[#This Row],[تاريخ نهاية المرحله…]]+1</f>
        <v>45141</v>
      </c>
      <c r="X84" s="155">
        <f>PR[[#This Row],[تاريخ بداية المرحله-.]]-1</f>
        <v>45169</v>
      </c>
      <c r="Y84" s="156">
        <v>45170</v>
      </c>
      <c r="Z84" s="157">
        <v>45215</v>
      </c>
      <c r="AA84" s="154">
        <v>45251</v>
      </c>
      <c r="AB84" s="158">
        <v>45550</v>
      </c>
      <c r="AC84" s="154">
        <v>45634</v>
      </c>
      <c r="AD84" s="159">
        <v>46300</v>
      </c>
      <c r="AE84" s="285">
        <f>PR[[#This Row],[التكلفة (المحدثه)  شاملة الضريبة]]*0.9</f>
        <v>45194724</v>
      </c>
      <c r="AF84" s="160">
        <v>45839</v>
      </c>
      <c r="AG84" s="159">
        <v>46294</v>
      </c>
      <c r="AH84" s="273">
        <f>PR[[#This Row],[التكلفة (المحدثه)  شاملة الضريبة]]*0.1</f>
        <v>5021636</v>
      </c>
      <c r="AI84" s="160">
        <v>45886</v>
      </c>
      <c r="AJ84" s="159">
        <v>46308</v>
      </c>
      <c r="AK84" s="8" t="s">
        <v>268</v>
      </c>
      <c r="AL84" s="28" t="s">
        <v>267</v>
      </c>
      <c r="AM84" s="28" t="s">
        <v>267</v>
      </c>
      <c r="AN84" s="9" t="s">
        <v>159</v>
      </c>
      <c r="AO84" s="10"/>
      <c r="AP84" s="9">
        <v>0</v>
      </c>
      <c r="AQ84" s="10"/>
      <c r="AR84" s="16" t="s">
        <v>267</v>
      </c>
      <c r="AS84" s="29" t="s">
        <v>146</v>
      </c>
      <c r="AT84" s="28" t="s">
        <v>147</v>
      </c>
      <c r="AU84" s="37">
        <v>50216359.999999993</v>
      </c>
      <c r="AV84" s="38">
        <v>45251</v>
      </c>
      <c r="AW84" s="38">
        <v>45484</v>
      </c>
      <c r="AX84" s="9">
        <v>901240072</v>
      </c>
      <c r="AY84" s="9" t="s">
        <v>313</v>
      </c>
      <c r="AZ84" s="38">
        <v>45550</v>
      </c>
      <c r="BA84" s="9"/>
    </row>
    <row r="85" spans="1:53" s="11" customFormat="1" ht="54.75" customHeight="1">
      <c r="A85" s="215" t="s">
        <v>359</v>
      </c>
      <c r="B85" s="57" t="s">
        <v>360</v>
      </c>
      <c r="C85" s="53" t="s">
        <v>68</v>
      </c>
      <c r="D85" s="53" t="s">
        <v>165</v>
      </c>
      <c r="E85" s="53" t="s">
        <v>81</v>
      </c>
      <c r="F85" s="53" t="s">
        <v>194</v>
      </c>
      <c r="G85" s="53" t="s">
        <v>86</v>
      </c>
      <c r="H85" s="54">
        <v>59799999.999999993</v>
      </c>
      <c r="I85" s="54" t="e">
        <v>#N/A</v>
      </c>
      <c r="J85" s="54">
        <f>PR[[#This Row],[التكلفة (المحدثه)  شاملة الضريبة]]-K85</f>
        <v>0</v>
      </c>
      <c r="K85" s="54">
        <v>29649714</v>
      </c>
      <c r="L85" s="312">
        <v>29649714</v>
      </c>
      <c r="M85" s="43" t="s">
        <v>72</v>
      </c>
      <c r="N85" s="55" t="s">
        <v>267</v>
      </c>
      <c r="O85" s="45" t="s">
        <v>142</v>
      </c>
      <c r="P85" s="45"/>
      <c r="Q85" s="298">
        <v>29649714</v>
      </c>
      <c r="R85" s="77" t="s">
        <v>268</v>
      </c>
      <c r="S85" s="154">
        <v>45302</v>
      </c>
      <c r="T85" s="155">
        <v>45332</v>
      </c>
      <c r="U85" s="156">
        <v>45332</v>
      </c>
      <c r="V85" s="157">
        <v>45347</v>
      </c>
      <c r="W85" s="154">
        <f>PR[[#This Row],[تاريخ نهاية المرحله…]]+1</f>
        <v>45348</v>
      </c>
      <c r="X85" s="155">
        <f>PR[[#This Row],[تاريخ بداية المرحله-.]]-1</f>
        <v>45490</v>
      </c>
      <c r="Y85" s="156">
        <v>45491</v>
      </c>
      <c r="Z85" s="157">
        <v>45536</v>
      </c>
      <c r="AA85" s="154">
        <v>45545</v>
      </c>
      <c r="AB85" s="158">
        <v>45664</v>
      </c>
      <c r="AC85" s="154">
        <v>45750</v>
      </c>
      <c r="AD85" s="159">
        <v>46753</v>
      </c>
      <c r="AE85" s="285">
        <f>PR[[#This Row],[التكلفة (المحدثه)  شاملة الضريبة]]*0.9</f>
        <v>26684742.600000001</v>
      </c>
      <c r="AF85" s="160">
        <v>45878</v>
      </c>
      <c r="AG85" s="159">
        <v>46757</v>
      </c>
      <c r="AH85" s="273">
        <f>PR[[#This Row],[التكلفة (المحدثه)  شاملة الضريبة]]*0.1</f>
        <v>2964971.4000000004</v>
      </c>
      <c r="AI85" s="160">
        <v>46736</v>
      </c>
      <c r="AJ85" s="159">
        <v>46779</v>
      </c>
      <c r="AK85" s="8" t="s">
        <v>268</v>
      </c>
      <c r="AL85" s="28" t="s">
        <v>267</v>
      </c>
      <c r="AM85" s="28" t="s">
        <v>267</v>
      </c>
      <c r="AN85" s="9" t="s">
        <v>159</v>
      </c>
      <c r="AO85" s="10">
        <v>45532</v>
      </c>
      <c r="AP85" s="9">
        <v>902240505</v>
      </c>
      <c r="AQ85" s="10">
        <v>45538</v>
      </c>
      <c r="AR85" s="16" t="s">
        <v>267</v>
      </c>
      <c r="AS85" s="29" t="s">
        <v>146</v>
      </c>
      <c r="AT85" s="28" t="s">
        <v>147</v>
      </c>
      <c r="AU85" s="37">
        <v>29649713.999999996</v>
      </c>
      <c r="AV85" s="38">
        <v>45545</v>
      </c>
      <c r="AW85" s="38">
        <v>45629</v>
      </c>
      <c r="AX85" s="9">
        <v>901240355</v>
      </c>
      <c r="AY85" s="9" t="s">
        <v>361</v>
      </c>
      <c r="AZ85" s="38">
        <v>45664</v>
      </c>
      <c r="BA85" s="9"/>
    </row>
    <row r="86" spans="1:53" s="11" customFormat="1" ht="54.75" customHeight="1" thickBot="1">
      <c r="A86" s="216" t="s">
        <v>362</v>
      </c>
      <c r="B86" s="217" t="s">
        <v>363</v>
      </c>
      <c r="C86" s="218" t="s">
        <v>68</v>
      </c>
      <c r="D86" s="218" t="s">
        <v>165</v>
      </c>
      <c r="E86" s="218" t="s">
        <v>81</v>
      </c>
      <c r="F86" s="218" t="s">
        <v>98</v>
      </c>
      <c r="G86" s="218" t="s">
        <v>86</v>
      </c>
      <c r="H86" s="225">
        <v>48000000</v>
      </c>
      <c r="I86" s="225" t="e">
        <v>#N/A</v>
      </c>
      <c r="J86" s="225">
        <f>PR[[#This Row],[التكلفة (المحدثه)  شاملة الضريبة]]-K86</f>
        <v>0</v>
      </c>
      <c r="K86" s="225">
        <v>58221206.399999999</v>
      </c>
      <c r="L86" s="321">
        <v>58221206.399999999</v>
      </c>
      <c r="M86" s="220" t="s">
        <v>72</v>
      </c>
      <c r="N86" s="219" t="s">
        <v>267</v>
      </c>
      <c r="O86" s="221" t="s">
        <v>142</v>
      </c>
      <c r="P86" s="221"/>
      <c r="Q86" s="327">
        <v>58221206.399999999</v>
      </c>
      <c r="R86" s="223" t="s">
        <v>268</v>
      </c>
      <c r="S86" s="330">
        <v>45297</v>
      </c>
      <c r="T86" s="331">
        <v>45327</v>
      </c>
      <c r="U86" s="332">
        <v>45327</v>
      </c>
      <c r="V86" s="333">
        <v>45347</v>
      </c>
      <c r="W86" s="330">
        <v>45761</v>
      </c>
      <c r="X86" s="331">
        <v>45787</v>
      </c>
      <c r="Y86" s="332">
        <v>45491</v>
      </c>
      <c r="Z86" s="333">
        <v>45536</v>
      </c>
      <c r="AA86" s="330">
        <v>45565</v>
      </c>
      <c r="AB86" s="334">
        <v>45742</v>
      </c>
      <c r="AC86" s="330">
        <v>45822</v>
      </c>
      <c r="AD86" s="335">
        <v>46478</v>
      </c>
      <c r="AE86" s="336">
        <f>PR[[#This Row],[التكلفة (المحدثه)  شاملة الضريبة]]*0.9</f>
        <v>52399085.759999998</v>
      </c>
      <c r="AF86" s="337">
        <v>46354</v>
      </c>
      <c r="AG86" s="335">
        <v>46482</v>
      </c>
      <c r="AH86" s="338">
        <f>PR[[#This Row],[التكلفة (المحدثه)  شاملة الضريبة]]*0.1</f>
        <v>5822120.6400000006</v>
      </c>
      <c r="AI86" s="337">
        <v>46373</v>
      </c>
      <c r="AJ86" s="335">
        <v>46492</v>
      </c>
      <c r="AK86" s="8" t="s">
        <v>268</v>
      </c>
      <c r="AL86" s="28" t="s">
        <v>267</v>
      </c>
      <c r="AM86" s="28" t="s">
        <v>267</v>
      </c>
      <c r="AN86" s="9" t="s">
        <v>159</v>
      </c>
      <c r="AO86" s="10">
        <v>45525</v>
      </c>
      <c r="AP86" s="9" t="s">
        <v>160</v>
      </c>
      <c r="AQ86" s="10">
        <v>45525</v>
      </c>
      <c r="AR86" s="16" t="s">
        <v>267</v>
      </c>
      <c r="AS86" s="29" t="s">
        <v>146</v>
      </c>
      <c r="AT86" s="28" t="s">
        <v>147</v>
      </c>
      <c r="AU86" s="37">
        <v>58221206.399999999</v>
      </c>
      <c r="AV86" s="38">
        <v>45565</v>
      </c>
      <c r="AW86" s="38">
        <v>45707</v>
      </c>
      <c r="AX86" s="9">
        <v>901250059</v>
      </c>
      <c r="AY86" s="9" t="s">
        <v>195</v>
      </c>
      <c r="AZ86" s="38">
        <v>45742</v>
      </c>
      <c r="BA86" s="9"/>
    </row>
    <row r="87" spans="1:53" s="11" customFormat="1" ht="54.75" customHeight="1" thickTop="1">
      <c r="A87" s="196" t="s">
        <v>364</v>
      </c>
      <c r="B87" s="197" t="s">
        <v>365</v>
      </c>
      <c r="C87" s="196" t="s">
        <v>68</v>
      </c>
      <c r="D87" s="196" t="s">
        <v>150</v>
      </c>
      <c r="E87" s="196" t="s">
        <v>81</v>
      </c>
      <c r="F87" s="196" t="s">
        <v>81</v>
      </c>
      <c r="G87" s="196" t="s">
        <v>94</v>
      </c>
      <c r="H87" s="198">
        <v>28016875</v>
      </c>
      <c r="I87" s="198" t="s">
        <v>151</v>
      </c>
      <c r="J87" s="198">
        <f>PR[[#This Row],[التكلفة (المحدثه)  شاملة الضريبة]]-K87</f>
        <v>0</v>
      </c>
      <c r="K87" s="198">
        <v>72449998.849999994</v>
      </c>
      <c r="L87" s="311">
        <v>72449998.849999994</v>
      </c>
      <c r="M87" s="200" t="s">
        <v>72</v>
      </c>
      <c r="N87" s="199" t="s">
        <v>267</v>
      </c>
      <c r="O87" s="201" t="s">
        <v>142</v>
      </c>
      <c r="P87" s="201"/>
      <c r="Q87" s="297">
        <v>72449998.849999994</v>
      </c>
      <c r="R87" s="202" t="s">
        <v>268</v>
      </c>
      <c r="S87" s="203">
        <v>45109</v>
      </c>
      <c r="T87" s="204">
        <v>45139</v>
      </c>
      <c r="U87" s="205">
        <v>45139</v>
      </c>
      <c r="V87" s="206">
        <v>45169</v>
      </c>
      <c r="W87" s="203">
        <v>45169</v>
      </c>
      <c r="X87" s="204">
        <v>45312</v>
      </c>
      <c r="Y87" s="205">
        <v>45386</v>
      </c>
      <c r="Z87" s="206">
        <v>45550</v>
      </c>
      <c r="AA87" s="203">
        <v>45581</v>
      </c>
      <c r="AB87" s="207">
        <v>45932</v>
      </c>
      <c r="AC87" s="203">
        <v>46022</v>
      </c>
      <c r="AD87" s="208">
        <v>46942</v>
      </c>
      <c r="AE87" s="284">
        <f>PR[[#This Row],[التكلفة (المحدثه)  شاملة الضريبة]]*0.9</f>
        <v>65204998.964999996</v>
      </c>
      <c r="AF87" s="209">
        <v>46106</v>
      </c>
      <c r="AG87" s="208">
        <v>46951</v>
      </c>
      <c r="AH87" s="272">
        <f>PR[[#This Row],[التكلفة (المحدثه)  شاملة الضريبة]]*0.1</f>
        <v>7244999.8849999998</v>
      </c>
      <c r="AI87" s="209">
        <v>46952</v>
      </c>
      <c r="AJ87" s="208">
        <v>47034</v>
      </c>
      <c r="AK87" s="8" t="s">
        <v>268</v>
      </c>
      <c r="AL87" s="32" t="s">
        <v>267</v>
      </c>
      <c r="AM87" s="28" t="s">
        <v>267</v>
      </c>
      <c r="AN87" s="9" t="s">
        <v>159</v>
      </c>
      <c r="AO87" s="10">
        <v>45552</v>
      </c>
      <c r="AP87" s="9" t="s">
        <v>160</v>
      </c>
      <c r="AQ87" s="10">
        <v>45552</v>
      </c>
      <c r="AR87" s="185" t="s">
        <v>267</v>
      </c>
      <c r="AS87" s="29" t="s">
        <v>146</v>
      </c>
      <c r="AT87" s="28" t="s">
        <v>147</v>
      </c>
      <c r="AU87" s="37">
        <v>72449998.849999994</v>
      </c>
      <c r="AV87" s="38">
        <v>45581</v>
      </c>
      <c r="AW87" s="38">
        <v>45881</v>
      </c>
      <c r="AX87" s="9">
        <v>901250290</v>
      </c>
      <c r="AY87" s="9" t="s">
        <v>366</v>
      </c>
      <c r="AZ87" s="38"/>
      <c r="BA87" s="9"/>
    </row>
    <row r="88" spans="1:53" s="11" customFormat="1" ht="54.75" customHeight="1">
      <c r="A88" s="53" t="s">
        <v>367</v>
      </c>
      <c r="B88" s="57" t="s">
        <v>368</v>
      </c>
      <c r="C88" s="53" t="s">
        <v>68</v>
      </c>
      <c r="D88" s="53" t="s">
        <v>150</v>
      </c>
      <c r="E88" s="53" t="s">
        <v>81</v>
      </c>
      <c r="F88" s="53" t="s">
        <v>81</v>
      </c>
      <c r="G88" s="53" t="s">
        <v>86</v>
      </c>
      <c r="H88" s="54">
        <v>169694000</v>
      </c>
      <c r="I88" s="54" t="s">
        <v>258</v>
      </c>
      <c r="J88" s="54">
        <f>PR[[#This Row],[التكلفة (المحدثه)  شاملة الضريبة]]-K88</f>
        <v>0</v>
      </c>
      <c r="K88" s="54">
        <v>342205500</v>
      </c>
      <c r="L88" s="312">
        <v>342205500</v>
      </c>
      <c r="M88" s="43" t="s">
        <v>72</v>
      </c>
      <c r="N88" s="55" t="s">
        <v>267</v>
      </c>
      <c r="O88" s="45" t="s">
        <v>142</v>
      </c>
      <c r="P88" s="45"/>
      <c r="Q88" s="298">
        <v>342205500</v>
      </c>
      <c r="R88" s="77" t="s">
        <v>268</v>
      </c>
      <c r="S88" s="154">
        <v>45109</v>
      </c>
      <c r="T88" s="155">
        <v>45139</v>
      </c>
      <c r="U88" s="156">
        <v>45139</v>
      </c>
      <c r="V88" s="157">
        <v>45169</v>
      </c>
      <c r="W88" s="154">
        <v>45169</v>
      </c>
      <c r="X88" s="155">
        <v>45312</v>
      </c>
      <c r="Y88" s="156">
        <v>45386</v>
      </c>
      <c r="Z88" s="157">
        <v>45559</v>
      </c>
      <c r="AA88" s="154">
        <v>45578</v>
      </c>
      <c r="AB88" s="158">
        <v>45937</v>
      </c>
      <c r="AC88" s="154">
        <v>46006</v>
      </c>
      <c r="AD88" s="159">
        <v>47002</v>
      </c>
      <c r="AE88" s="285">
        <f>PR[[#This Row],[التكلفة (المحدثه)  شاملة الضريبة]]*0.9</f>
        <v>307984950</v>
      </c>
      <c r="AF88" s="160">
        <v>46340</v>
      </c>
      <c r="AG88" s="159">
        <v>47014</v>
      </c>
      <c r="AH88" s="273">
        <f>PR[[#This Row],[التكلفة (المحدثه)  شاملة الضريبة]]*0.1</f>
        <v>34220550</v>
      </c>
      <c r="AI88" s="160">
        <v>46737</v>
      </c>
      <c r="AJ88" s="159">
        <v>47037</v>
      </c>
      <c r="AK88" s="8" t="s">
        <v>268</v>
      </c>
      <c r="AL88" s="32" t="s">
        <v>267</v>
      </c>
      <c r="AM88" s="28" t="s">
        <v>267</v>
      </c>
      <c r="AN88" s="9" t="s">
        <v>159</v>
      </c>
      <c r="AO88" s="10">
        <v>45550</v>
      </c>
      <c r="AP88" s="9" t="s">
        <v>160</v>
      </c>
      <c r="AQ88" s="10">
        <v>45551</v>
      </c>
      <c r="AR88" s="16" t="s">
        <v>267</v>
      </c>
      <c r="AS88" s="29" t="s">
        <v>146</v>
      </c>
      <c r="AT88" s="28" t="s">
        <v>147</v>
      </c>
      <c r="AU88" s="37">
        <v>342205500</v>
      </c>
      <c r="AV88" s="38">
        <v>45578</v>
      </c>
      <c r="AW88" s="38">
        <v>45883</v>
      </c>
      <c r="AX88" s="9">
        <v>901250300</v>
      </c>
      <c r="AY88" s="9" t="s">
        <v>369</v>
      </c>
      <c r="AZ88" s="38"/>
      <c r="BA88" s="9"/>
    </row>
    <row r="89" spans="1:53" s="11" customFormat="1" ht="54.75" customHeight="1">
      <c r="A89" s="53" t="s">
        <v>370</v>
      </c>
      <c r="B89" s="57" t="s">
        <v>371</v>
      </c>
      <c r="C89" s="53" t="s">
        <v>68</v>
      </c>
      <c r="D89" s="53" t="s">
        <v>150</v>
      </c>
      <c r="E89" s="53" t="s">
        <v>81</v>
      </c>
      <c r="F89" s="53" t="s">
        <v>81</v>
      </c>
      <c r="G89" s="53" t="s">
        <v>86</v>
      </c>
      <c r="H89" s="54">
        <v>97749999.999999985</v>
      </c>
      <c r="I89" s="54" t="s">
        <v>258</v>
      </c>
      <c r="J89" s="54">
        <f>PR[[#This Row],[التكلفة (المحدثه)  شاملة الضريبة]]-K89</f>
        <v>0</v>
      </c>
      <c r="K89" s="54">
        <v>116757993.5</v>
      </c>
      <c r="L89" s="312">
        <v>116757993.5</v>
      </c>
      <c r="M89" s="43" t="s">
        <v>72</v>
      </c>
      <c r="N89" s="55" t="s">
        <v>267</v>
      </c>
      <c r="O89" s="45" t="s">
        <v>142</v>
      </c>
      <c r="P89" s="45"/>
      <c r="Q89" s="298">
        <v>116757993.5</v>
      </c>
      <c r="R89" s="77" t="s">
        <v>268</v>
      </c>
      <c r="S89" s="154">
        <v>45109</v>
      </c>
      <c r="T89" s="155">
        <v>45139</v>
      </c>
      <c r="U89" s="156">
        <v>45139</v>
      </c>
      <c r="V89" s="157">
        <v>45169</v>
      </c>
      <c r="W89" s="154">
        <v>45169</v>
      </c>
      <c r="X89" s="155">
        <v>45312</v>
      </c>
      <c r="Y89" s="156">
        <v>45386</v>
      </c>
      <c r="Z89" s="157">
        <v>45562</v>
      </c>
      <c r="AA89" s="154">
        <v>45840</v>
      </c>
      <c r="AB89" s="158">
        <v>45840</v>
      </c>
      <c r="AC89" s="154">
        <v>45956</v>
      </c>
      <c r="AD89" s="159">
        <v>46949</v>
      </c>
      <c r="AE89" s="285">
        <f>PR[[#This Row],[التكلفة (المحدثه)  شاملة الضريبة]]*0.9</f>
        <v>105082194.15000001</v>
      </c>
      <c r="AF89" s="160">
        <v>46202</v>
      </c>
      <c r="AG89" s="159">
        <v>46953</v>
      </c>
      <c r="AH89" s="273">
        <f>PR[[#This Row],[التكلفة (المحدثه)  شاملة الضريبة]]*0.1</f>
        <v>11675799.350000001</v>
      </c>
      <c r="AI89" s="160" t="s">
        <v>372</v>
      </c>
      <c r="AJ89" s="159">
        <v>46963</v>
      </c>
      <c r="AK89" s="8" t="s">
        <v>268</v>
      </c>
      <c r="AL89" s="28" t="s">
        <v>267</v>
      </c>
      <c r="AM89" s="28" t="s">
        <v>267</v>
      </c>
      <c r="AN89" s="9" t="s">
        <v>159</v>
      </c>
      <c r="AO89" s="10">
        <v>45832</v>
      </c>
      <c r="AP89" s="9">
        <v>902250349</v>
      </c>
      <c r="AQ89" s="10">
        <v>45839</v>
      </c>
      <c r="AR89" s="16" t="s">
        <v>267</v>
      </c>
      <c r="AS89" s="29" t="s">
        <v>146</v>
      </c>
      <c r="AT89" s="28" t="s">
        <v>147</v>
      </c>
      <c r="AU89" s="37">
        <v>116757993.49999999</v>
      </c>
      <c r="AV89" s="38">
        <v>45840</v>
      </c>
      <c r="AW89" s="38">
        <v>45840</v>
      </c>
      <c r="AX89" s="9">
        <v>901250210</v>
      </c>
      <c r="AY89" s="9" t="s">
        <v>373</v>
      </c>
      <c r="AZ89" s="38">
        <v>45840</v>
      </c>
      <c r="BA89" s="9" t="s">
        <v>178</v>
      </c>
    </row>
    <row r="90" spans="1:53" s="11" customFormat="1" ht="54.75" customHeight="1">
      <c r="A90" s="53" t="s">
        <v>374</v>
      </c>
      <c r="B90" s="57" t="s">
        <v>375</v>
      </c>
      <c r="C90" s="53" t="s">
        <v>68</v>
      </c>
      <c r="D90" s="53" t="s">
        <v>150</v>
      </c>
      <c r="E90" s="53" t="s">
        <v>81</v>
      </c>
      <c r="F90" s="53" t="s">
        <v>81</v>
      </c>
      <c r="G90" s="53" t="s">
        <v>86</v>
      </c>
      <c r="H90" s="54">
        <v>51749999.999999993</v>
      </c>
      <c r="I90" s="54" t="s">
        <v>258</v>
      </c>
      <c r="J90" s="54">
        <f>PR[[#This Row],[التكلفة (المحدثه)  شاملة الضريبة]]-K90</f>
        <v>0</v>
      </c>
      <c r="K90" s="54">
        <v>20806386.5</v>
      </c>
      <c r="L90" s="312">
        <v>20806386.5</v>
      </c>
      <c r="M90" s="43" t="s">
        <v>72</v>
      </c>
      <c r="N90" s="55" t="s">
        <v>267</v>
      </c>
      <c r="O90" s="45" t="s">
        <v>142</v>
      </c>
      <c r="P90" s="45"/>
      <c r="Q90" s="298">
        <v>20806386.5</v>
      </c>
      <c r="R90" s="77" t="s">
        <v>268</v>
      </c>
      <c r="S90" s="154">
        <v>45109</v>
      </c>
      <c r="T90" s="155">
        <v>45139</v>
      </c>
      <c r="U90" s="156">
        <v>45139</v>
      </c>
      <c r="V90" s="157">
        <v>45169</v>
      </c>
      <c r="W90" s="154">
        <v>45169</v>
      </c>
      <c r="X90" s="155">
        <v>45312</v>
      </c>
      <c r="Y90" s="156">
        <v>45386</v>
      </c>
      <c r="Z90" s="157">
        <v>45543</v>
      </c>
      <c r="AA90" s="154">
        <v>45578</v>
      </c>
      <c r="AB90" s="158">
        <v>45700</v>
      </c>
      <c r="AC90" s="154">
        <v>45809</v>
      </c>
      <c r="AD90" s="159">
        <v>46057</v>
      </c>
      <c r="AE90" s="285">
        <f>PR[[#This Row],[التكلفة (المحدثه)  شاملة الضريبة]]*0.9</f>
        <v>18725747.850000001</v>
      </c>
      <c r="AF90" s="160">
        <v>45853</v>
      </c>
      <c r="AG90" s="159">
        <v>46065</v>
      </c>
      <c r="AH90" s="273">
        <f>PR[[#This Row],[التكلفة (المحدثه)  شاملة الضريبة]]*0.1</f>
        <v>2080638.6500000001</v>
      </c>
      <c r="AI90" s="160">
        <v>45983</v>
      </c>
      <c r="AJ90" s="159">
        <v>46072</v>
      </c>
      <c r="AK90" s="8" t="s">
        <v>268</v>
      </c>
      <c r="AL90" s="28" t="s">
        <v>267</v>
      </c>
      <c r="AM90" s="28" t="s">
        <v>267</v>
      </c>
      <c r="AN90" s="9" t="s">
        <v>159</v>
      </c>
      <c r="AO90" s="10">
        <v>45547</v>
      </c>
      <c r="AP90" s="9">
        <v>902240555</v>
      </c>
      <c r="AQ90" s="10">
        <v>45568</v>
      </c>
      <c r="AR90" s="185" t="s">
        <v>267</v>
      </c>
      <c r="AS90" s="29" t="s">
        <v>146</v>
      </c>
      <c r="AT90" s="28"/>
      <c r="AU90" s="37">
        <v>20806386.5</v>
      </c>
      <c r="AV90" s="38">
        <v>45578</v>
      </c>
      <c r="AW90" s="38">
        <v>45652</v>
      </c>
      <c r="AX90" s="9">
        <v>901240386</v>
      </c>
      <c r="AY90" s="9" t="s">
        <v>376</v>
      </c>
      <c r="AZ90" s="38">
        <v>45700</v>
      </c>
      <c r="BA90" s="9"/>
    </row>
    <row r="91" spans="1:53" s="11" customFormat="1" ht="54.75" customHeight="1">
      <c r="A91" s="53" t="s">
        <v>377</v>
      </c>
      <c r="B91" s="57" t="s">
        <v>378</v>
      </c>
      <c r="C91" s="53" t="s">
        <v>68</v>
      </c>
      <c r="D91" s="53" t="s">
        <v>150</v>
      </c>
      <c r="E91" s="53" t="s">
        <v>81</v>
      </c>
      <c r="F91" s="53" t="s">
        <v>81</v>
      </c>
      <c r="G91" s="53" t="s">
        <v>94</v>
      </c>
      <c r="H91" s="54">
        <v>17250000</v>
      </c>
      <c r="I91" s="54" t="s">
        <v>151</v>
      </c>
      <c r="J91" s="54">
        <f>PR[[#This Row],[التكلفة (المحدثه)  شاملة الضريبة]]-K91</f>
        <v>0</v>
      </c>
      <c r="K91" s="54">
        <v>14104405</v>
      </c>
      <c r="L91" s="312">
        <v>14104405</v>
      </c>
      <c r="M91" s="43" t="s">
        <v>72</v>
      </c>
      <c r="N91" s="55" t="s">
        <v>267</v>
      </c>
      <c r="O91" s="45" t="s">
        <v>142</v>
      </c>
      <c r="P91" s="45"/>
      <c r="Q91" s="298">
        <v>14104405</v>
      </c>
      <c r="R91" s="77" t="s">
        <v>268</v>
      </c>
      <c r="S91" s="154">
        <v>45109</v>
      </c>
      <c r="T91" s="155">
        <v>45139</v>
      </c>
      <c r="U91" s="156">
        <v>45139</v>
      </c>
      <c r="V91" s="157">
        <v>45169</v>
      </c>
      <c r="W91" s="154">
        <v>45169</v>
      </c>
      <c r="X91" s="155">
        <v>45312</v>
      </c>
      <c r="Y91" s="156">
        <v>45386</v>
      </c>
      <c r="Z91" s="157">
        <v>45544</v>
      </c>
      <c r="AA91" s="154">
        <v>45561</v>
      </c>
      <c r="AB91" s="158">
        <v>45705</v>
      </c>
      <c r="AC91" s="154">
        <v>45789</v>
      </c>
      <c r="AD91" s="159">
        <v>46436</v>
      </c>
      <c r="AE91" s="285">
        <f>PR[[#This Row],[التكلفة (المحدثه)  شاملة الضريبة]]*0.9</f>
        <v>12693964.5</v>
      </c>
      <c r="AF91" s="160">
        <v>45829</v>
      </c>
      <c r="AG91" s="159">
        <v>46432</v>
      </c>
      <c r="AH91" s="273">
        <f>PR[[#This Row],[التكلفة (المحدثه)  شاملة الضريبة]]*0.1</f>
        <v>1410440.5</v>
      </c>
      <c r="AI91" s="160">
        <v>46436</v>
      </c>
      <c r="AJ91" s="159">
        <v>46461</v>
      </c>
      <c r="AK91" s="8" t="s">
        <v>268</v>
      </c>
      <c r="AL91" s="28" t="s">
        <v>267</v>
      </c>
      <c r="AM91" s="28" t="s">
        <v>267</v>
      </c>
      <c r="AN91" s="9" t="s">
        <v>159</v>
      </c>
      <c r="AO91" s="10">
        <v>45545</v>
      </c>
      <c r="AP91" s="9" t="s">
        <v>160</v>
      </c>
      <c r="AQ91" s="10">
        <v>45546</v>
      </c>
      <c r="AR91" s="16" t="s">
        <v>267</v>
      </c>
      <c r="AS91" s="29" t="s">
        <v>146</v>
      </c>
      <c r="AT91" s="28"/>
      <c r="AU91" s="37">
        <v>14104404.999999998</v>
      </c>
      <c r="AV91" s="38">
        <v>45561</v>
      </c>
      <c r="AW91" s="38">
        <v>45657</v>
      </c>
      <c r="AX91" s="9">
        <v>901240391</v>
      </c>
      <c r="AY91" s="9" t="s">
        <v>379</v>
      </c>
      <c r="AZ91" s="38">
        <v>45705</v>
      </c>
      <c r="BA91" s="9"/>
    </row>
    <row r="92" spans="1:53" s="11" customFormat="1" ht="54.75" customHeight="1">
      <c r="A92" s="56" t="s">
        <v>380</v>
      </c>
      <c r="B92" s="57" t="s">
        <v>381</v>
      </c>
      <c r="C92" s="53" t="s">
        <v>68</v>
      </c>
      <c r="D92" s="53" t="s">
        <v>150</v>
      </c>
      <c r="E92" s="53" t="s">
        <v>81</v>
      </c>
      <c r="F92" s="53" t="s">
        <v>81</v>
      </c>
      <c r="G92" s="53" t="s">
        <v>94</v>
      </c>
      <c r="H92" s="54">
        <v>57499999.999999993</v>
      </c>
      <c r="I92" s="54" t="s">
        <v>170</v>
      </c>
      <c r="J92" s="54">
        <f>PR[[#This Row],[التكلفة (المحدثه)  شاملة الضريبة]]-K92</f>
        <v>0</v>
      </c>
      <c r="K92" s="54">
        <v>82862353</v>
      </c>
      <c r="L92" s="312">
        <v>82862353</v>
      </c>
      <c r="M92" s="43" t="s">
        <v>72</v>
      </c>
      <c r="N92" s="55" t="s">
        <v>267</v>
      </c>
      <c r="O92" s="45" t="s">
        <v>142</v>
      </c>
      <c r="P92" s="45"/>
      <c r="Q92" s="298">
        <v>82862353</v>
      </c>
      <c r="R92" s="77" t="s">
        <v>268</v>
      </c>
      <c r="S92" s="154">
        <v>45109</v>
      </c>
      <c r="T92" s="155">
        <v>45139</v>
      </c>
      <c r="U92" s="156">
        <v>45139</v>
      </c>
      <c r="V92" s="157">
        <v>45169</v>
      </c>
      <c r="W92" s="154">
        <v>45169</v>
      </c>
      <c r="X92" s="155">
        <v>45312</v>
      </c>
      <c r="Y92" s="156">
        <v>45386</v>
      </c>
      <c r="Z92" s="157">
        <v>45550</v>
      </c>
      <c r="AA92" s="154">
        <v>45581</v>
      </c>
      <c r="AB92" s="158">
        <v>45896</v>
      </c>
      <c r="AC92" s="154" t="s">
        <v>382</v>
      </c>
      <c r="AD92" s="159">
        <v>46935</v>
      </c>
      <c r="AE92" s="285">
        <f>PR[[#This Row],[التكلفة (المحدثه)  شاملة الضريبة]]*0.9</f>
        <v>74576117.700000003</v>
      </c>
      <c r="AF92" s="160">
        <v>46438</v>
      </c>
      <c r="AG92" s="159">
        <v>46975</v>
      </c>
      <c r="AH92" s="273">
        <f>PR[[#This Row],[التكلفة (المحدثه)  شاملة الضريبة]]*0.1</f>
        <v>8286235.3000000007</v>
      </c>
      <c r="AI92" s="160">
        <v>46971</v>
      </c>
      <c r="AJ92" s="159">
        <v>46996</v>
      </c>
      <c r="AK92" s="8" t="s">
        <v>268</v>
      </c>
      <c r="AL92" s="28" t="s">
        <v>267</v>
      </c>
      <c r="AM92" s="28" t="s">
        <v>267</v>
      </c>
      <c r="AN92" s="9" t="s">
        <v>159</v>
      </c>
      <c r="AO92" s="10">
        <v>45552</v>
      </c>
      <c r="AP92" s="9" t="s">
        <v>160</v>
      </c>
      <c r="AQ92" s="10">
        <v>45552</v>
      </c>
      <c r="AR92" s="16" t="s">
        <v>267</v>
      </c>
      <c r="AS92" s="29" t="s">
        <v>146</v>
      </c>
      <c r="AT92" s="28"/>
      <c r="AU92" s="37">
        <v>82862353</v>
      </c>
      <c r="AV92" s="38">
        <v>45581</v>
      </c>
      <c r="AW92" s="38">
        <v>45881</v>
      </c>
      <c r="AX92" s="9">
        <v>901250291</v>
      </c>
      <c r="AY92" s="9" t="s">
        <v>171</v>
      </c>
      <c r="AZ92" s="38">
        <v>45896</v>
      </c>
      <c r="BA92" s="9"/>
    </row>
    <row r="93" spans="1:53" s="11" customFormat="1" ht="54.75" customHeight="1">
      <c r="A93" s="53" t="s">
        <v>383</v>
      </c>
      <c r="B93" s="57" t="s">
        <v>384</v>
      </c>
      <c r="C93" s="53" t="s">
        <v>68</v>
      </c>
      <c r="D93" s="53" t="s">
        <v>165</v>
      </c>
      <c r="E93" s="53" t="s">
        <v>81</v>
      </c>
      <c r="F93" s="53" t="s">
        <v>81</v>
      </c>
      <c r="G93" s="53" t="s">
        <v>86</v>
      </c>
      <c r="H93" s="54">
        <v>33999999.549999997</v>
      </c>
      <c r="I93" s="54" t="e">
        <v>#N/A</v>
      </c>
      <c r="J93" s="54">
        <f>PR[[#This Row],[التكلفة (المحدثه)  شاملة الضريبة]]-K93</f>
        <v>0</v>
      </c>
      <c r="K93" s="54">
        <v>26590012.5</v>
      </c>
      <c r="L93" s="312">
        <v>26590012.5</v>
      </c>
      <c r="M93" s="43" t="s">
        <v>72</v>
      </c>
      <c r="N93" s="55" t="s">
        <v>267</v>
      </c>
      <c r="O93" s="45" t="s">
        <v>142</v>
      </c>
      <c r="P93" s="45"/>
      <c r="Q93" s="298">
        <v>26590012.5</v>
      </c>
      <c r="R93" s="77" t="s">
        <v>268</v>
      </c>
      <c r="S93" s="154">
        <v>45302</v>
      </c>
      <c r="T93" s="155">
        <v>45332</v>
      </c>
      <c r="U93" s="156">
        <v>45332</v>
      </c>
      <c r="V93" s="157">
        <v>45347</v>
      </c>
      <c r="W93" s="154">
        <f>PR[[#This Row],[تاريخ نهاية المرحله…]]+1</f>
        <v>45348</v>
      </c>
      <c r="X93" s="155">
        <f>PR[[#This Row],[تاريخ بداية المرحله-.]]-1</f>
        <v>45490</v>
      </c>
      <c r="Y93" s="156">
        <v>45491</v>
      </c>
      <c r="Z93" s="157">
        <v>45536</v>
      </c>
      <c r="AA93" s="154">
        <v>45533</v>
      </c>
      <c r="AB93" s="158">
        <v>45629</v>
      </c>
      <c r="AC93" s="154">
        <v>45739</v>
      </c>
      <c r="AD93" s="159">
        <v>46741</v>
      </c>
      <c r="AE93" s="285">
        <f>PR[[#This Row],[التكلفة (المحدثه)  شاملة الضريبة]]*0.9</f>
        <v>23931011.25</v>
      </c>
      <c r="AF93" s="160">
        <v>45770</v>
      </c>
      <c r="AG93" s="159">
        <v>46707</v>
      </c>
      <c r="AH93" s="273">
        <f>PR[[#This Row],[التكلفة (المحدثه)  شاملة الضريبة]]*0.1</f>
        <v>2659001.25</v>
      </c>
      <c r="AI93" s="160">
        <v>45794</v>
      </c>
      <c r="AJ93" s="159">
        <v>46743</v>
      </c>
      <c r="AK93" s="8" t="s">
        <v>268</v>
      </c>
      <c r="AL93" s="28" t="s">
        <v>267</v>
      </c>
      <c r="AM93" s="28" t="s">
        <v>267</v>
      </c>
      <c r="AN93" s="9" t="s">
        <v>159</v>
      </c>
      <c r="AO93" s="10">
        <v>45529</v>
      </c>
      <c r="AP93" s="9">
        <v>902240499</v>
      </c>
      <c r="AQ93" s="10">
        <v>45530</v>
      </c>
      <c r="AR93" s="16" t="s">
        <v>267</v>
      </c>
      <c r="AS93" s="29" t="s">
        <v>146</v>
      </c>
      <c r="AT93" s="28"/>
      <c r="AU93" s="37">
        <v>26590012.499999996</v>
      </c>
      <c r="AV93" s="38">
        <v>45533</v>
      </c>
      <c r="AW93" s="38">
        <v>45595</v>
      </c>
      <c r="AX93" s="9">
        <v>901240282</v>
      </c>
      <c r="AY93" s="9" t="s">
        <v>385</v>
      </c>
      <c r="AZ93" s="38">
        <v>45629</v>
      </c>
      <c r="BA93" s="9"/>
    </row>
    <row r="94" spans="1:53" s="11" customFormat="1" ht="54.75" customHeight="1">
      <c r="A94" s="53">
        <v>10136</v>
      </c>
      <c r="B94" s="57" t="s">
        <v>386</v>
      </c>
      <c r="C94" s="53" t="s">
        <v>68</v>
      </c>
      <c r="D94" s="53" t="s">
        <v>165</v>
      </c>
      <c r="E94" s="53" t="s">
        <v>81</v>
      </c>
      <c r="F94" s="53" t="s">
        <v>90</v>
      </c>
      <c r="G94" s="53" t="s">
        <v>94</v>
      </c>
      <c r="H94" s="59">
        <v>48379713.399999999</v>
      </c>
      <c r="I94" s="59" t="e">
        <v>#N/A</v>
      </c>
      <c r="J94" s="59">
        <f>PR[[#This Row],[التكلفة (المحدثه)  شاملة الضريبة]]-K94</f>
        <v>0</v>
      </c>
      <c r="K94" s="59">
        <v>48379713.399999999</v>
      </c>
      <c r="L94" s="312">
        <v>48379713.399999999</v>
      </c>
      <c r="M94" s="43" t="s">
        <v>387</v>
      </c>
      <c r="N94" s="55" t="s">
        <v>267</v>
      </c>
      <c r="O94" s="45" t="s">
        <v>142</v>
      </c>
      <c r="P94" s="45"/>
      <c r="Q94" s="298">
        <v>48379713.399999999</v>
      </c>
      <c r="R94" s="77" t="s">
        <v>268</v>
      </c>
      <c r="S94" s="154">
        <v>44633</v>
      </c>
      <c r="T94" s="155">
        <v>44663</v>
      </c>
      <c r="U94" s="156">
        <v>44663</v>
      </c>
      <c r="V94" s="157">
        <v>44693</v>
      </c>
      <c r="W94" s="154">
        <f>PR[[#This Row],[تاريخ نهاية المرحله…]]+1</f>
        <v>44694</v>
      </c>
      <c r="X94" s="155">
        <f>PR[[#This Row],[تاريخ بداية المرحله-.]]-1</f>
        <v>44722</v>
      </c>
      <c r="Y94" s="156">
        <v>44723</v>
      </c>
      <c r="Z94" s="157">
        <v>44768</v>
      </c>
      <c r="AA94" s="154">
        <v>44874</v>
      </c>
      <c r="AB94" s="158">
        <v>45211</v>
      </c>
      <c r="AC94" s="154">
        <v>45333</v>
      </c>
      <c r="AD94" s="159">
        <v>46331</v>
      </c>
      <c r="AE94" s="285">
        <f>PR[[#This Row],[التكلفة (المحدثه)  شاملة الضريبة]]*0.9</f>
        <v>43541742.060000002</v>
      </c>
      <c r="AF94" s="160">
        <v>45413</v>
      </c>
      <c r="AG94" s="159">
        <v>46155</v>
      </c>
      <c r="AH94" s="273">
        <f>PR[[#This Row],[التكلفة (المحدثه)  شاملة الضريبة]]*0.1</f>
        <v>4837971.34</v>
      </c>
      <c r="AI94" s="160">
        <v>46319</v>
      </c>
      <c r="AJ94" s="159">
        <v>46333</v>
      </c>
      <c r="AK94" s="8" t="s">
        <v>268</v>
      </c>
      <c r="AL94" s="28" t="s">
        <v>267</v>
      </c>
      <c r="AM94" s="28" t="s">
        <v>267</v>
      </c>
      <c r="AN94" s="9" t="s">
        <v>159</v>
      </c>
      <c r="AO94" s="10"/>
      <c r="AP94" s="9">
        <v>0</v>
      </c>
      <c r="AQ94" s="10"/>
      <c r="AR94" s="16" t="s">
        <v>267</v>
      </c>
      <c r="AS94" s="29" t="s">
        <v>146</v>
      </c>
      <c r="AT94" s="28"/>
      <c r="AU94" s="37">
        <v>48379713.399999999</v>
      </c>
      <c r="AV94" s="38">
        <v>44874</v>
      </c>
      <c r="AW94" s="38">
        <v>45183</v>
      </c>
      <c r="AX94" s="9">
        <v>901230191</v>
      </c>
      <c r="AY94" s="9" t="s">
        <v>388</v>
      </c>
      <c r="AZ94" s="38">
        <v>45211</v>
      </c>
      <c r="BA94" s="9"/>
    </row>
    <row r="95" spans="1:53" s="11" customFormat="1" ht="54.75" customHeight="1">
      <c r="A95" s="53">
        <v>10281</v>
      </c>
      <c r="B95" s="57" t="s">
        <v>389</v>
      </c>
      <c r="C95" s="53" t="s">
        <v>68</v>
      </c>
      <c r="D95" s="53" t="s">
        <v>165</v>
      </c>
      <c r="E95" s="53" t="s">
        <v>81</v>
      </c>
      <c r="F95" s="53" t="s">
        <v>90</v>
      </c>
      <c r="G95" s="53" t="s">
        <v>94</v>
      </c>
      <c r="H95" s="59">
        <v>22679520.299999997</v>
      </c>
      <c r="I95" s="59" t="e">
        <v>#N/A</v>
      </c>
      <c r="J95" s="59">
        <f>PR[[#This Row],[التكلفة (المحدثه)  شاملة الضريبة]]-K95</f>
        <v>0</v>
      </c>
      <c r="K95" s="59">
        <v>25748422.260000002</v>
      </c>
      <c r="L95" s="312">
        <v>25748422.260000002</v>
      </c>
      <c r="M95" s="43" t="s">
        <v>387</v>
      </c>
      <c r="N95" s="55" t="s">
        <v>267</v>
      </c>
      <c r="O95" s="45" t="s">
        <v>142</v>
      </c>
      <c r="P95" s="45"/>
      <c r="Q95" s="298">
        <v>25748422.260000002</v>
      </c>
      <c r="R95" s="77" t="s">
        <v>268</v>
      </c>
      <c r="S95" s="154">
        <v>45125</v>
      </c>
      <c r="T95" s="155">
        <v>45155</v>
      </c>
      <c r="U95" s="156">
        <v>45155</v>
      </c>
      <c r="V95" s="157">
        <v>45185</v>
      </c>
      <c r="W95" s="154">
        <f>PR[[#This Row],[تاريخ نهاية المرحله…]]+1</f>
        <v>45186</v>
      </c>
      <c r="X95" s="155">
        <f>PR[[#This Row],[تاريخ بداية المرحله-.]]-1</f>
        <v>45214</v>
      </c>
      <c r="Y95" s="156">
        <v>45215</v>
      </c>
      <c r="Z95" s="171">
        <v>45260</v>
      </c>
      <c r="AA95" s="154">
        <v>45271</v>
      </c>
      <c r="AB95" s="158">
        <v>45454</v>
      </c>
      <c r="AC95" s="154">
        <v>45657</v>
      </c>
      <c r="AD95" s="159">
        <v>46250</v>
      </c>
      <c r="AE95" s="285">
        <f>PR[[#This Row],[التكلفة (المحدثه)  شاملة الضريبة]]*0.9</f>
        <v>23173580.034000002</v>
      </c>
      <c r="AF95" s="160">
        <v>45873</v>
      </c>
      <c r="AG95" s="159">
        <v>46240</v>
      </c>
      <c r="AH95" s="273">
        <f>PR[[#This Row],[التكلفة (المحدثه)  شاملة الضريبة]]*0.1</f>
        <v>2574842.2260000003</v>
      </c>
      <c r="AI95" s="160">
        <v>46251</v>
      </c>
      <c r="AJ95" s="159">
        <v>46263</v>
      </c>
      <c r="AK95" s="8" t="s">
        <v>268</v>
      </c>
      <c r="AL95" s="28" t="s">
        <v>267</v>
      </c>
      <c r="AM95" s="28" t="s">
        <v>267</v>
      </c>
      <c r="AN95" s="9" t="s">
        <v>159</v>
      </c>
      <c r="AO95" s="10">
        <v>45263</v>
      </c>
      <c r="AP95" s="9">
        <v>902230550</v>
      </c>
      <c r="AQ95" s="10">
        <v>45265</v>
      </c>
      <c r="AR95" s="16" t="s">
        <v>267</v>
      </c>
      <c r="AS95" s="29" t="s">
        <v>146</v>
      </c>
      <c r="AT95" s="28"/>
      <c r="AU95" s="37">
        <v>22679520.299999997</v>
      </c>
      <c r="AV95" s="38">
        <v>45271</v>
      </c>
      <c r="AW95" s="38">
        <v>45398</v>
      </c>
      <c r="AX95" s="9">
        <v>901240091</v>
      </c>
      <c r="AY95" s="9" t="s">
        <v>390</v>
      </c>
      <c r="AZ95" s="38">
        <v>45454</v>
      </c>
      <c r="BA95" s="9"/>
    </row>
    <row r="96" spans="1:53" s="11" customFormat="1" ht="54.75" customHeight="1">
      <c r="A96" s="56">
        <v>10204</v>
      </c>
      <c r="B96" s="57" t="s">
        <v>391</v>
      </c>
      <c r="C96" s="53" t="s">
        <v>68</v>
      </c>
      <c r="D96" s="53" t="s">
        <v>165</v>
      </c>
      <c r="E96" s="53" t="s">
        <v>81</v>
      </c>
      <c r="F96" s="53" t="s">
        <v>90</v>
      </c>
      <c r="G96" s="53" t="s">
        <v>86</v>
      </c>
      <c r="H96" s="59">
        <v>26810392.75</v>
      </c>
      <c r="I96" s="59" t="e">
        <v>#N/A</v>
      </c>
      <c r="J96" s="59">
        <f>PR[[#This Row],[التكلفة (المحدثه)  شاملة الضريبة]]-K96</f>
        <v>0</v>
      </c>
      <c r="K96" s="59">
        <v>26810392.75</v>
      </c>
      <c r="L96" s="312">
        <v>26810392.75</v>
      </c>
      <c r="M96" s="43" t="s">
        <v>387</v>
      </c>
      <c r="N96" s="55" t="s">
        <v>267</v>
      </c>
      <c r="O96" s="45" t="s">
        <v>142</v>
      </c>
      <c r="P96" s="45"/>
      <c r="Q96" s="298">
        <v>26810392.75</v>
      </c>
      <c r="R96" s="77" t="s">
        <v>268</v>
      </c>
      <c r="S96" s="154">
        <v>44633</v>
      </c>
      <c r="T96" s="155">
        <v>44663</v>
      </c>
      <c r="U96" s="156">
        <v>44663</v>
      </c>
      <c r="V96" s="157">
        <v>44693</v>
      </c>
      <c r="W96" s="154">
        <f>PR[[#This Row],[تاريخ نهاية المرحله…]]+1</f>
        <v>44694</v>
      </c>
      <c r="X96" s="155">
        <f>PR[[#This Row],[تاريخ بداية المرحله-.]]-1</f>
        <v>44722</v>
      </c>
      <c r="Y96" s="156">
        <v>44723</v>
      </c>
      <c r="Z96" s="157">
        <v>44768</v>
      </c>
      <c r="AA96" s="154">
        <v>44660</v>
      </c>
      <c r="AB96" s="158">
        <v>45298</v>
      </c>
      <c r="AC96" s="154">
        <v>45426</v>
      </c>
      <c r="AD96" s="159">
        <v>46293</v>
      </c>
      <c r="AE96" s="285">
        <f>PR[[#This Row],[التكلفة (المحدثه)  شاملة الضريبة]]*0.9</f>
        <v>24129353.475000001</v>
      </c>
      <c r="AF96" s="160">
        <v>45503</v>
      </c>
      <c r="AG96" s="159">
        <v>46264</v>
      </c>
      <c r="AH96" s="273">
        <f>PR[[#This Row],[التكلفة (المحدثه)  شاملة الضريبة]]*0.1</f>
        <v>2681039.2750000004</v>
      </c>
      <c r="AI96" s="160">
        <v>46265</v>
      </c>
      <c r="AJ96" s="159">
        <v>46295</v>
      </c>
      <c r="AK96" s="8" t="s">
        <v>268</v>
      </c>
      <c r="AL96" s="28" t="s">
        <v>267</v>
      </c>
      <c r="AM96" s="28" t="s">
        <v>267</v>
      </c>
      <c r="AN96" s="9" t="s">
        <v>159</v>
      </c>
      <c r="AO96" s="10"/>
      <c r="AP96" s="9">
        <v>0</v>
      </c>
      <c r="AQ96" s="10"/>
      <c r="AR96" s="16" t="s">
        <v>267</v>
      </c>
      <c r="AS96" s="29" t="s">
        <v>146</v>
      </c>
      <c r="AT96" s="28"/>
      <c r="AU96" s="37">
        <v>26810392.749999996</v>
      </c>
      <c r="AV96" s="38">
        <v>44660</v>
      </c>
      <c r="AW96" s="38">
        <v>45252</v>
      </c>
      <c r="AX96" s="9">
        <v>901230253</v>
      </c>
      <c r="AY96" s="9" t="s">
        <v>392</v>
      </c>
      <c r="AZ96" s="38">
        <v>45298</v>
      </c>
      <c r="BA96" s="9"/>
    </row>
    <row r="97" spans="1:53" s="11" customFormat="1" ht="54.75" customHeight="1">
      <c r="A97" s="56" t="s">
        <v>393</v>
      </c>
      <c r="B97" s="57" t="s">
        <v>394</v>
      </c>
      <c r="C97" s="53" t="s">
        <v>68</v>
      </c>
      <c r="D97" s="53" t="e">
        <v>#N/A</v>
      </c>
      <c r="E97" s="53" t="s">
        <v>395</v>
      </c>
      <c r="F97" s="53" t="s">
        <v>395</v>
      </c>
      <c r="G97" s="58" t="s">
        <v>71</v>
      </c>
      <c r="H97" s="54">
        <v>17250000</v>
      </c>
      <c r="I97" s="54" t="e">
        <v>#N/A</v>
      </c>
      <c r="J97" s="54">
        <f>PR[[#This Row],[التكلفة (المحدثه)  شاملة الضريبة]]-K97</f>
        <v>0</v>
      </c>
      <c r="K97" s="54">
        <v>17250000</v>
      </c>
      <c r="L97" s="61">
        <v>17250000</v>
      </c>
      <c r="M97" s="45" t="s">
        <v>72</v>
      </c>
      <c r="N97" s="55" t="s">
        <v>73</v>
      </c>
      <c r="O97" s="68" t="s">
        <v>74</v>
      </c>
      <c r="P97" s="180" t="s">
        <v>75</v>
      </c>
      <c r="Q97" s="290"/>
      <c r="R97" s="190" t="s">
        <v>4</v>
      </c>
      <c r="S97" s="228">
        <v>45383</v>
      </c>
      <c r="T97" s="229">
        <v>45412</v>
      </c>
      <c r="U97" s="230">
        <f>PR[[#This Row],[تاريخ نهاية المرحله]]+1</f>
        <v>45413</v>
      </c>
      <c r="V97" s="231">
        <f>PR[[#This Row],[تاريخ بداية المرحله.]]+30</f>
        <v>45443</v>
      </c>
      <c r="W97" s="232">
        <f>PR[[#This Row],[تاريخ نهاية المرحله…]]+1</f>
        <v>45444</v>
      </c>
      <c r="X97" s="233">
        <f>PR[[#This Row],[تاريخ بداية المرحله-]]+121</f>
        <v>45565</v>
      </c>
      <c r="Y97" s="230">
        <f>PR[[#This Row],[تاريخ نهاية المرحله.-]]+1</f>
        <v>45566</v>
      </c>
      <c r="Z97" s="231">
        <f>PR[[#This Row],[تاريخ بداية المرحله-.]]+90</f>
        <v>45656</v>
      </c>
      <c r="AA97" s="234">
        <f>PR[[#This Row],[تاريخ نهاية المرحله--]]+1</f>
        <v>45657</v>
      </c>
      <c r="AB97" s="235">
        <f>PR[[#This Row],[تاريخ بداية .المرحله]]+188</f>
        <v>45845</v>
      </c>
      <c r="AC97" s="234">
        <f>PR[[#This Row],[تاريخ. نهاية المرحله]]+1</f>
        <v>45846</v>
      </c>
      <c r="AD97" s="235">
        <f>PR[[#This Row],[.تاريخ بداية المرحله]] + ((PR[[#This Row],[مدة المشروع (شهر)]]*30)-55)</f>
        <v>46511</v>
      </c>
      <c r="AE97" s="278">
        <f>PR[[#This Row],[التكلفة (المحدثه)  شاملة الضريبة]]*0.9</f>
        <v>15525000</v>
      </c>
      <c r="AF97" s="234">
        <f>PR[[#This Row],[تاريخ. نهاية. المرحله]]+1</f>
        <v>46512</v>
      </c>
      <c r="AG97" s="235">
        <f>PR[[#This Row],[تاريخ بداية.. المرحله..]]+28</f>
        <v>46540</v>
      </c>
      <c r="AH97" s="278">
        <f>PR[[#This Row],[التكلفة (المحدثه)  شاملة الضريبة]]*0.1</f>
        <v>1725000</v>
      </c>
      <c r="AI97" s="232">
        <f>PR[[#This Row],[تاريخ ..نهاية المرحله.]]+1</f>
        <v>46541</v>
      </c>
      <c r="AJ97" s="233">
        <f>PR[[#This Row],[.تاريخ بداية المرحله]]+729</f>
        <v>46575</v>
      </c>
      <c r="AK97" s="8" t="s">
        <v>4</v>
      </c>
      <c r="AL97" s="28" t="s">
        <v>73</v>
      </c>
      <c r="AM97" s="182" t="s">
        <v>74</v>
      </c>
      <c r="AN97" s="9" t="s">
        <v>76</v>
      </c>
      <c r="AO97" s="10"/>
      <c r="AP97" s="9">
        <v>0</v>
      </c>
      <c r="AQ97" s="10"/>
      <c r="AR97" s="25" t="s">
        <v>82</v>
      </c>
      <c r="AS97" s="29" t="s">
        <v>78</v>
      </c>
      <c r="AT97" s="28"/>
      <c r="AU97" s="37"/>
      <c r="AV97" s="38"/>
      <c r="AW97" s="38"/>
      <c r="AX97" s="9">
        <v>0</v>
      </c>
      <c r="AY97" s="9">
        <v>0</v>
      </c>
      <c r="AZ97" s="38"/>
      <c r="BA97" s="9"/>
    </row>
    <row r="98" spans="1:53" s="11" customFormat="1" ht="54.75" customHeight="1">
      <c r="A98" s="56" t="s">
        <v>396</v>
      </c>
      <c r="B98" s="57" t="s">
        <v>397</v>
      </c>
      <c r="C98" s="53" t="s">
        <v>68</v>
      </c>
      <c r="D98" s="53" t="e">
        <v>#N/A</v>
      </c>
      <c r="E98" s="53" t="s">
        <v>395</v>
      </c>
      <c r="F98" s="53" t="s">
        <v>395</v>
      </c>
      <c r="G98" s="53" t="s">
        <v>86</v>
      </c>
      <c r="H98" s="54">
        <v>7300000.0199999996</v>
      </c>
      <c r="I98" s="54" t="e">
        <v>#N/A</v>
      </c>
      <c r="J98" s="54">
        <f>PR[[#This Row],[التكلفة (المحدثه)  شاملة الضريبة]]-K98</f>
        <v>0</v>
      </c>
      <c r="K98" s="54">
        <v>6346792.5</v>
      </c>
      <c r="L98" s="61">
        <v>6346792.4999999991</v>
      </c>
      <c r="M98" s="45" t="s">
        <v>72</v>
      </c>
      <c r="N98" s="55" t="s">
        <v>73</v>
      </c>
      <c r="O98" s="68" t="s">
        <v>74</v>
      </c>
      <c r="P98" s="180" t="s">
        <v>75</v>
      </c>
      <c r="Q98" s="290"/>
      <c r="R98" s="190" t="s">
        <v>4</v>
      </c>
      <c r="S98" s="228">
        <v>45383</v>
      </c>
      <c r="T98" s="229">
        <v>45412</v>
      </c>
      <c r="U98" s="230">
        <f>PR[[#This Row],[تاريخ نهاية المرحله]]+1</f>
        <v>45413</v>
      </c>
      <c r="V98" s="231">
        <f>PR[[#This Row],[تاريخ بداية المرحله.]]+30</f>
        <v>45443</v>
      </c>
      <c r="W98" s="232">
        <f>PR[[#This Row],[تاريخ نهاية المرحله…]]+1</f>
        <v>45444</v>
      </c>
      <c r="X98" s="233">
        <f>PR[[#This Row],[تاريخ بداية المرحله-]]+121</f>
        <v>45565</v>
      </c>
      <c r="Y98" s="230">
        <f>PR[[#This Row],[تاريخ نهاية المرحله.-]]+1</f>
        <v>45566</v>
      </c>
      <c r="Z98" s="231">
        <f>PR[[#This Row],[تاريخ بداية المرحله-.]]+90</f>
        <v>45656</v>
      </c>
      <c r="AA98" s="234">
        <f>PR[[#This Row],[تاريخ نهاية المرحله--]]+1</f>
        <v>45657</v>
      </c>
      <c r="AB98" s="235">
        <f>PR[[#This Row],[تاريخ بداية .المرحله]]+188</f>
        <v>45845</v>
      </c>
      <c r="AC98" s="234">
        <f>PR[[#This Row],[تاريخ. نهاية المرحله]]+1</f>
        <v>45846</v>
      </c>
      <c r="AD98" s="235">
        <f>PR[[#This Row],[.تاريخ بداية المرحله]] + ((PR[[#This Row],[مدة المشروع (شهر)]]*30)-55)</f>
        <v>46511</v>
      </c>
      <c r="AE98" s="278">
        <f>PR[[#This Row],[التكلفة (المحدثه)  شاملة الضريبة]]*0.9</f>
        <v>5712113.2499999991</v>
      </c>
      <c r="AF98" s="234">
        <f>PR[[#This Row],[تاريخ. نهاية. المرحله]]+1</f>
        <v>46512</v>
      </c>
      <c r="AG98" s="235">
        <f>PR[[#This Row],[تاريخ بداية.. المرحله..]]+28</f>
        <v>46540</v>
      </c>
      <c r="AH98" s="278">
        <f>PR[[#This Row],[التكلفة (المحدثه)  شاملة الضريبة]]*0.1</f>
        <v>634679.25</v>
      </c>
      <c r="AI98" s="232">
        <f>PR[[#This Row],[تاريخ ..نهاية المرحله.]]+1</f>
        <v>46541</v>
      </c>
      <c r="AJ98" s="233">
        <f>PR[[#This Row],[.تاريخ بداية المرحله]]+729</f>
        <v>46575</v>
      </c>
      <c r="AK98" s="8" t="s">
        <v>4</v>
      </c>
      <c r="AL98" s="28" t="s">
        <v>73</v>
      </c>
      <c r="AM98" s="182" t="s">
        <v>74</v>
      </c>
      <c r="AN98" s="9" t="s">
        <v>76</v>
      </c>
      <c r="AO98" s="10"/>
      <c r="AP98" s="9">
        <v>0</v>
      </c>
      <c r="AQ98" s="10"/>
      <c r="AR98" s="340" t="s">
        <v>82</v>
      </c>
      <c r="AS98" s="29" t="s">
        <v>78</v>
      </c>
      <c r="AT98" s="28"/>
      <c r="AU98" s="37"/>
      <c r="AV98" s="38"/>
      <c r="AW98" s="38"/>
      <c r="AX98" s="9">
        <v>0</v>
      </c>
      <c r="AY98" s="9">
        <v>0</v>
      </c>
      <c r="AZ98" s="38"/>
      <c r="BA98" s="9"/>
    </row>
    <row r="99" spans="1:53" s="11" customFormat="1" ht="54.75" customHeight="1">
      <c r="A99" s="53" t="s">
        <v>398</v>
      </c>
      <c r="B99" s="57" t="s">
        <v>399</v>
      </c>
      <c r="C99" s="53" t="s">
        <v>68</v>
      </c>
      <c r="D99" s="53" t="e">
        <v>#N/A</v>
      </c>
      <c r="E99" s="53" t="s">
        <v>395</v>
      </c>
      <c r="F99" s="53" t="s">
        <v>395</v>
      </c>
      <c r="G99" s="53" t="s">
        <v>94</v>
      </c>
      <c r="H99" s="54">
        <v>15900000.049999999</v>
      </c>
      <c r="I99" s="54" t="e">
        <v>#N/A</v>
      </c>
      <c r="J99" s="54">
        <f>PR[[#This Row],[التكلفة (المحدثه)  شاملة الضريبة]]-K99</f>
        <v>0</v>
      </c>
      <c r="K99" s="54">
        <v>15900000.050000001</v>
      </c>
      <c r="L99" s="61">
        <v>15900000.049999999</v>
      </c>
      <c r="M99" s="45" t="s">
        <v>72</v>
      </c>
      <c r="N99" s="55" t="s">
        <v>73</v>
      </c>
      <c r="O99" s="68" t="s">
        <v>74</v>
      </c>
      <c r="P99" s="180" t="s">
        <v>75</v>
      </c>
      <c r="Q99" s="290"/>
      <c r="R99" s="190" t="s">
        <v>4</v>
      </c>
      <c r="S99" s="228">
        <v>45383</v>
      </c>
      <c r="T99" s="229">
        <v>45412</v>
      </c>
      <c r="U99" s="230">
        <f>PR[[#This Row],[تاريخ نهاية المرحله]]+1</f>
        <v>45413</v>
      </c>
      <c r="V99" s="231">
        <f>PR[[#This Row],[تاريخ بداية المرحله.]]+30</f>
        <v>45443</v>
      </c>
      <c r="W99" s="232">
        <f>PR[[#This Row],[تاريخ نهاية المرحله…]]+1</f>
        <v>45444</v>
      </c>
      <c r="X99" s="233">
        <f>PR[[#This Row],[تاريخ بداية المرحله-]]+121</f>
        <v>45565</v>
      </c>
      <c r="Y99" s="230">
        <f>PR[[#This Row],[تاريخ نهاية المرحله.-]]+1</f>
        <v>45566</v>
      </c>
      <c r="Z99" s="231">
        <f>PR[[#This Row],[تاريخ بداية المرحله-.]]+90</f>
        <v>45656</v>
      </c>
      <c r="AA99" s="234">
        <f>PR[[#This Row],[تاريخ نهاية المرحله--]]+1</f>
        <v>45657</v>
      </c>
      <c r="AB99" s="235">
        <f>PR[[#This Row],[تاريخ بداية .المرحله]]+188</f>
        <v>45845</v>
      </c>
      <c r="AC99" s="234">
        <f>PR[[#This Row],[تاريخ. نهاية المرحله]]+1</f>
        <v>45846</v>
      </c>
      <c r="AD99" s="235">
        <f>PR[[#This Row],[.تاريخ بداية المرحله]] + ((PR[[#This Row],[مدة المشروع (شهر)]]*30)-55)</f>
        <v>46511</v>
      </c>
      <c r="AE99" s="278">
        <f>PR[[#This Row],[التكلفة (المحدثه)  شاملة الضريبة]]*0.9</f>
        <v>14310000.045</v>
      </c>
      <c r="AF99" s="234">
        <f>PR[[#This Row],[تاريخ. نهاية. المرحله]]+1</f>
        <v>46512</v>
      </c>
      <c r="AG99" s="235">
        <f>PR[[#This Row],[تاريخ بداية.. المرحله..]]+28</f>
        <v>46540</v>
      </c>
      <c r="AH99" s="278">
        <f>PR[[#This Row],[التكلفة (المحدثه)  شاملة الضريبة]]*0.1</f>
        <v>1590000.0049999999</v>
      </c>
      <c r="AI99" s="232">
        <f>PR[[#This Row],[تاريخ ..نهاية المرحله.]]+1</f>
        <v>46541</v>
      </c>
      <c r="AJ99" s="233">
        <f>PR[[#This Row],[.تاريخ بداية المرحله]]+729</f>
        <v>46575</v>
      </c>
      <c r="AK99" s="8" t="s">
        <v>4</v>
      </c>
      <c r="AL99" s="28" t="s">
        <v>73</v>
      </c>
      <c r="AM99" s="182" t="s">
        <v>74</v>
      </c>
      <c r="AN99" s="9" t="s">
        <v>76</v>
      </c>
      <c r="AO99" s="10"/>
      <c r="AP99" s="9">
        <v>0</v>
      </c>
      <c r="AQ99" s="10"/>
      <c r="AR99" s="25" t="s">
        <v>82</v>
      </c>
      <c r="AS99" s="29" t="s">
        <v>78</v>
      </c>
      <c r="AT99" s="28"/>
      <c r="AU99" s="37"/>
      <c r="AV99" s="38"/>
      <c r="AW99" s="38"/>
      <c r="AX99" s="9">
        <v>0</v>
      </c>
      <c r="AY99" s="9">
        <v>0</v>
      </c>
      <c r="AZ99" s="38"/>
      <c r="BA99" s="9"/>
    </row>
    <row r="100" spans="1:53" s="11" customFormat="1" ht="54.75" customHeight="1">
      <c r="A100" s="53" t="s">
        <v>400</v>
      </c>
      <c r="B100" s="57" t="s">
        <v>401</v>
      </c>
      <c r="C100" s="53" t="s">
        <v>68</v>
      </c>
      <c r="D100" s="53" t="e">
        <v>#N/A</v>
      </c>
      <c r="E100" s="53" t="s">
        <v>395</v>
      </c>
      <c r="F100" s="53" t="s">
        <v>395</v>
      </c>
      <c r="G100" s="53" t="s">
        <v>94</v>
      </c>
      <c r="H100" s="54">
        <v>11500000</v>
      </c>
      <c r="I100" s="54" t="e">
        <v>#N/A</v>
      </c>
      <c r="J100" s="54">
        <f>PR[[#This Row],[التكلفة (المحدثه)  شاملة الضريبة]]-K100</f>
        <v>0</v>
      </c>
      <c r="K100" s="54">
        <v>11500000</v>
      </c>
      <c r="L100" s="61">
        <v>11500000</v>
      </c>
      <c r="M100" s="45" t="s">
        <v>72</v>
      </c>
      <c r="N100" s="55" t="s">
        <v>73</v>
      </c>
      <c r="O100" s="68" t="s">
        <v>74</v>
      </c>
      <c r="P100" s="180" t="s">
        <v>87</v>
      </c>
      <c r="Q100" s="290"/>
      <c r="R100" s="190" t="s">
        <v>4</v>
      </c>
      <c r="S100" s="228">
        <v>45383</v>
      </c>
      <c r="T100" s="229">
        <v>45412</v>
      </c>
      <c r="U100" s="230">
        <f>PR[[#This Row],[تاريخ نهاية المرحله]]+1</f>
        <v>45413</v>
      </c>
      <c r="V100" s="231">
        <f>PR[[#This Row],[تاريخ بداية المرحله.]]+30</f>
        <v>45443</v>
      </c>
      <c r="W100" s="232">
        <f>PR[[#This Row],[تاريخ نهاية المرحله…]]+1</f>
        <v>45444</v>
      </c>
      <c r="X100" s="233">
        <f>PR[[#This Row],[تاريخ بداية المرحله-]]+121</f>
        <v>45565</v>
      </c>
      <c r="Y100" s="230">
        <f>PR[[#This Row],[تاريخ نهاية المرحله.-]]+1</f>
        <v>45566</v>
      </c>
      <c r="Z100" s="231">
        <f>PR[[#This Row],[تاريخ بداية المرحله-.]]+90</f>
        <v>45656</v>
      </c>
      <c r="AA100" s="234">
        <f>PR[[#This Row],[تاريخ نهاية المرحله--]]+1</f>
        <v>45657</v>
      </c>
      <c r="AB100" s="235">
        <f>PR[[#This Row],[تاريخ بداية .المرحله]]+188</f>
        <v>45845</v>
      </c>
      <c r="AC100" s="234">
        <f>PR[[#This Row],[تاريخ. نهاية المرحله]]+1</f>
        <v>45846</v>
      </c>
      <c r="AD100" s="235">
        <f>PR[[#This Row],[.تاريخ بداية المرحله]] + ((PR[[#This Row],[مدة المشروع (شهر)]]*30)-55)</f>
        <v>46871</v>
      </c>
      <c r="AE100" s="278">
        <f>PR[[#This Row],[التكلفة (المحدثه)  شاملة الضريبة]]*0.9</f>
        <v>10350000</v>
      </c>
      <c r="AF100" s="234">
        <f>PR[[#This Row],[تاريخ. نهاية. المرحله]]+1</f>
        <v>46872</v>
      </c>
      <c r="AG100" s="235">
        <f>PR[[#This Row],[تاريخ بداية.. المرحله..]]+28</f>
        <v>46900</v>
      </c>
      <c r="AH100" s="278">
        <f>PR[[#This Row],[التكلفة (المحدثه)  شاملة الضريبة]]*0.1</f>
        <v>1150000</v>
      </c>
      <c r="AI100" s="232">
        <f>PR[[#This Row],[تاريخ ..نهاية المرحله.]]+1</f>
        <v>46901</v>
      </c>
      <c r="AJ100" s="233">
        <f>PR[[#This Row],[.تاريخ بداية المرحله]]+1095</f>
        <v>46941</v>
      </c>
      <c r="AK100" s="8" t="s">
        <v>4</v>
      </c>
      <c r="AL100" s="28" t="s">
        <v>73</v>
      </c>
      <c r="AM100" s="182" t="s">
        <v>74</v>
      </c>
      <c r="AN100" s="9" t="s">
        <v>76</v>
      </c>
      <c r="AO100" s="10"/>
      <c r="AP100" s="9">
        <v>0</v>
      </c>
      <c r="AQ100" s="10"/>
      <c r="AR100" s="26" t="s">
        <v>402</v>
      </c>
      <c r="AS100" s="29" t="s">
        <v>78</v>
      </c>
      <c r="AT100" s="28"/>
      <c r="AU100" s="37"/>
      <c r="AV100" s="38"/>
      <c r="AW100" s="38"/>
      <c r="AX100" s="9">
        <v>0</v>
      </c>
      <c r="AY100" s="9">
        <v>0</v>
      </c>
      <c r="AZ100" s="38"/>
      <c r="BA100" s="9"/>
    </row>
    <row r="101" spans="1:53" s="11" customFormat="1" ht="54.75" customHeight="1">
      <c r="A101" s="53" t="s">
        <v>403</v>
      </c>
      <c r="B101" s="57" t="s">
        <v>404</v>
      </c>
      <c r="C101" s="53" t="s">
        <v>68</v>
      </c>
      <c r="D101" s="53" t="e">
        <v>#N/A</v>
      </c>
      <c r="E101" s="53" t="s">
        <v>395</v>
      </c>
      <c r="F101" s="53" t="s">
        <v>395</v>
      </c>
      <c r="G101" s="53" t="s">
        <v>94</v>
      </c>
      <c r="H101" s="54">
        <v>86250000</v>
      </c>
      <c r="I101" s="54" t="e">
        <v>#N/A</v>
      </c>
      <c r="J101" s="54">
        <f>PR[[#This Row],[التكلفة (المحدثه)  شاملة الضريبة]]-K101</f>
        <v>0</v>
      </c>
      <c r="K101" s="54">
        <v>86250000</v>
      </c>
      <c r="L101" s="61">
        <v>86250000</v>
      </c>
      <c r="M101" s="46" t="e">
        <v>#N/A</v>
      </c>
      <c r="N101" s="55" t="s">
        <v>73</v>
      </c>
      <c r="O101" s="68" t="s">
        <v>74</v>
      </c>
      <c r="P101" s="180" t="s">
        <v>87</v>
      </c>
      <c r="Q101" s="290"/>
      <c r="R101" s="190" t="s">
        <v>4</v>
      </c>
      <c r="S101" s="228">
        <v>45383</v>
      </c>
      <c r="T101" s="229">
        <v>45412</v>
      </c>
      <c r="U101" s="230">
        <f>PR[[#This Row],[تاريخ نهاية المرحله]]+1</f>
        <v>45413</v>
      </c>
      <c r="V101" s="231">
        <f>PR[[#This Row],[تاريخ بداية المرحله.]]+30</f>
        <v>45443</v>
      </c>
      <c r="W101" s="232">
        <f>PR[[#This Row],[تاريخ نهاية المرحله…]]+1</f>
        <v>45444</v>
      </c>
      <c r="X101" s="233">
        <f>PR[[#This Row],[تاريخ بداية المرحله-]]+121</f>
        <v>45565</v>
      </c>
      <c r="Y101" s="230">
        <f>PR[[#This Row],[تاريخ نهاية المرحله.-]]+1</f>
        <v>45566</v>
      </c>
      <c r="Z101" s="231">
        <f>PR[[#This Row],[تاريخ بداية المرحله-.]]+90</f>
        <v>45656</v>
      </c>
      <c r="AA101" s="234">
        <f>PR[[#This Row],[تاريخ نهاية المرحله--]]+1</f>
        <v>45657</v>
      </c>
      <c r="AB101" s="235">
        <f>PR[[#This Row],[تاريخ بداية .المرحله]]+188</f>
        <v>45845</v>
      </c>
      <c r="AC101" s="234">
        <f>PR[[#This Row],[تاريخ. نهاية المرحله]]+1</f>
        <v>45846</v>
      </c>
      <c r="AD101" s="235">
        <f>PR[[#This Row],[.تاريخ بداية المرحله]] + ((PR[[#This Row],[مدة المشروع (شهر)]]*30)-55)</f>
        <v>46871</v>
      </c>
      <c r="AE101" s="278">
        <f>PR[[#This Row],[التكلفة (المحدثه)  شاملة الضريبة]]*0.9</f>
        <v>77625000</v>
      </c>
      <c r="AF101" s="234">
        <f>PR[[#This Row],[تاريخ. نهاية. المرحله]]+1</f>
        <v>46872</v>
      </c>
      <c r="AG101" s="235">
        <f>PR[[#This Row],[تاريخ بداية.. المرحله..]]+28</f>
        <v>46900</v>
      </c>
      <c r="AH101" s="278">
        <f>PR[[#This Row],[التكلفة (المحدثه)  شاملة الضريبة]]*0.1</f>
        <v>8625000</v>
      </c>
      <c r="AI101" s="232">
        <f>PR[[#This Row],[تاريخ ..نهاية المرحله.]]+1</f>
        <v>46901</v>
      </c>
      <c r="AJ101" s="233">
        <f>PR[[#This Row],[.تاريخ بداية المرحله]]+1095</f>
        <v>46941</v>
      </c>
      <c r="AK101" s="8" t="s">
        <v>4</v>
      </c>
      <c r="AL101" s="28" t="s">
        <v>73</v>
      </c>
      <c r="AM101" s="182" t="s">
        <v>74</v>
      </c>
      <c r="AN101" s="9" t="s">
        <v>76</v>
      </c>
      <c r="AO101" s="10"/>
      <c r="AP101" s="9"/>
      <c r="AQ101" s="10"/>
      <c r="AR101" s="22" t="s">
        <v>405</v>
      </c>
      <c r="AS101" s="29" t="s">
        <v>78</v>
      </c>
      <c r="AT101" s="29"/>
      <c r="AU101" s="37"/>
      <c r="AV101" s="38"/>
      <c r="AW101" s="38"/>
      <c r="AX101" s="9">
        <v>0</v>
      </c>
      <c r="AY101" s="9">
        <v>0</v>
      </c>
      <c r="AZ101" s="38"/>
      <c r="BA101" s="9"/>
    </row>
    <row r="102" spans="1:53" s="11" customFormat="1" ht="54.75" customHeight="1">
      <c r="A102" s="53" t="s">
        <v>406</v>
      </c>
      <c r="B102" s="57" t="s">
        <v>407</v>
      </c>
      <c r="C102" s="53" t="s">
        <v>68</v>
      </c>
      <c r="D102" s="53" t="s">
        <v>137</v>
      </c>
      <c r="E102" s="53" t="s">
        <v>395</v>
      </c>
      <c r="F102" s="53" t="s">
        <v>395</v>
      </c>
      <c r="G102" s="53" t="s">
        <v>94</v>
      </c>
      <c r="H102" s="54">
        <v>28749999.999999996</v>
      </c>
      <c r="I102" s="54" t="s">
        <v>258</v>
      </c>
      <c r="J102" s="54">
        <f>PR[[#This Row],[التكلفة (المحدثه)  شاملة الضريبة]]-K102</f>
        <v>0</v>
      </c>
      <c r="K102" s="54">
        <v>28750000</v>
      </c>
      <c r="L102" s="61">
        <v>28749999.999999996</v>
      </c>
      <c r="M102" s="46" t="e">
        <v>#N/A</v>
      </c>
      <c r="N102" s="55" t="s">
        <v>73</v>
      </c>
      <c r="O102" s="68" t="s">
        <v>74</v>
      </c>
      <c r="P102" s="180" t="s">
        <v>111</v>
      </c>
      <c r="Q102" s="290"/>
      <c r="R102" s="190" t="s">
        <v>4</v>
      </c>
      <c r="S102" s="228">
        <v>45383</v>
      </c>
      <c r="T102" s="229">
        <v>45412</v>
      </c>
      <c r="U102" s="230">
        <f>PR[[#This Row],[تاريخ نهاية المرحله]]+1</f>
        <v>45413</v>
      </c>
      <c r="V102" s="231">
        <f>PR[[#This Row],[تاريخ بداية المرحله.]]+30</f>
        <v>45443</v>
      </c>
      <c r="W102" s="232">
        <f>PR[[#This Row],[تاريخ نهاية المرحله…]]+1</f>
        <v>45444</v>
      </c>
      <c r="X102" s="233">
        <f>PR[[#This Row],[تاريخ بداية المرحله-]]+121</f>
        <v>45565</v>
      </c>
      <c r="Y102" s="230">
        <f>PR[[#This Row],[تاريخ نهاية المرحله.-]]+1</f>
        <v>45566</v>
      </c>
      <c r="Z102" s="231">
        <f>PR[[#This Row],[تاريخ بداية المرحله-.]]+90</f>
        <v>45656</v>
      </c>
      <c r="AA102" s="234">
        <f>PR[[#This Row],[تاريخ نهاية المرحله--]]+1</f>
        <v>45657</v>
      </c>
      <c r="AB102" s="235">
        <f>PR[[#This Row],[تاريخ بداية .المرحله]]+188</f>
        <v>45845</v>
      </c>
      <c r="AC102" s="234">
        <f>PR[[#This Row],[تاريخ. نهاية المرحله]]+1</f>
        <v>45846</v>
      </c>
      <c r="AD102" s="235">
        <f>PR[[#This Row],[.تاريخ بداية المرحله]] + ((PR[[#This Row],[مدة المشروع (شهر)]]*30)-28)</f>
        <v>46178</v>
      </c>
      <c r="AE102" s="278">
        <f>PR[[#This Row],[التكلفة (المحدثه)  شاملة الضريبة]]*0.9</f>
        <v>25874999.999999996</v>
      </c>
      <c r="AF102" s="234">
        <f>PR[[#This Row],[تاريخ. نهاية. المرحله]]+1</f>
        <v>46179</v>
      </c>
      <c r="AG102" s="235">
        <f>PR[[#This Row],[تاريخ بداية.. المرحله..]]+14</f>
        <v>46193</v>
      </c>
      <c r="AH102" s="278">
        <f>PR[[#This Row],[التكلفة (المحدثه)  شاملة الضريبة]]*0.1</f>
        <v>2875000</v>
      </c>
      <c r="AI102" s="232">
        <f>PR[[#This Row],[تاريخ ..نهاية المرحله.]]+1</f>
        <v>46194</v>
      </c>
      <c r="AJ102" s="233">
        <f>PR[[#This Row],[.تاريخ بداية المرحله]]+364</f>
        <v>46210</v>
      </c>
      <c r="AK102" s="8" t="s">
        <v>4</v>
      </c>
      <c r="AL102" s="28" t="s">
        <v>73</v>
      </c>
      <c r="AM102" s="182" t="s">
        <v>74</v>
      </c>
      <c r="AN102" s="9" t="s">
        <v>76</v>
      </c>
      <c r="AO102" s="10"/>
      <c r="AP102" s="9"/>
      <c r="AQ102" s="10"/>
      <c r="AR102" s="16" t="s">
        <v>408</v>
      </c>
      <c r="AS102" s="29" t="s">
        <v>78</v>
      </c>
      <c r="AT102" s="29"/>
      <c r="AU102" s="37"/>
      <c r="AV102" s="38"/>
      <c r="AW102" s="38"/>
      <c r="AX102" s="9">
        <v>0</v>
      </c>
      <c r="AY102" s="9">
        <v>0</v>
      </c>
      <c r="AZ102" s="38"/>
      <c r="BA102" s="9"/>
    </row>
    <row r="103" spans="1:53" s="11" customFormat="1" ht="54.75" customHeight="1">
      <c r="A103" s="53" t="s">
        <v>409</v>
      </c>
      <c r="B103" s="57" t="s">
        <v>410</v>
      </c>
      <c r="C103" s="53" t="s">
        <v>68</v>
      </c>
      <c r="D103" s="53" t="e">
        <v>#N/A</v>
      </c>
      <c r="E103" s="53" t="s">
        <v>395</v>
      </c>
      <c r="F103" s="53" t="s">
        <v>411</v>
      </c>
      <c r="G103" s="53" t="s">
        <v>86</v>
      </c>
      <c r="H103" s="54">
        <v>27599999.999999996</v>
      </c>
      <c r="I103" s="54" t="e">
        <v>#N/A</v>
      </c>
      <c r="J103" s="54">
        <f>PR[[#This Row],[التكلفة (المحدثه)  شاملة الضريبة]]-K103</f>
        <v>0</v>
      </c>
      <c r="K103" s="54">
        <v>27600000</v>
      </c>
      <c r="L103" s="61">
        <v>27599999.999999996</v>
      </c>
      <c r="M103" s="46" t="e">
        <v>#N/A</v>
      </c>
      <c r="N103" s="55" t="s">
        <v>73</v>
      </c>
      <c r="O103" s="68" t="s">
        <v>74</v>
      </c>
      <c r="P103" s="180" t="s">
        <v>75</v>
      </c>
      <c r="Q103" s="290"/>
      <c r="R103" s="190" t="s">
        <v>4</v>
      </c>
      <c r="S103" s="228">
        <v>45383</v>
      </c>
      <c r="T103" s="229">
        <v>45412</v>
      </c>
      <c r="U103" s="230">
        <f>PR[[#This Row],[تاريخ نهاية المرحله]]+1</f>
        <v>45413</v>
      </c>
      <c r="V103" s="231">
        <f>PR[[#This Row],[تاريخ بداية المرحله.]]+30</f>
        <v>45443</v>
      </c>
      <c r="W103" s="232">
        <f>PR[[#This Row],[تاريخ نهاية المرحله…]]+1</f>
        <v>45444</v>
      </c>
      <c r="X103" s="233">
        <f>PR[[#This Row],[تاريخ بداية المرحله-]]+121</f>
        <v>45565</v>
      </c>
      <c r="Y103" s="230">
        <f>PR[[#This Row],[تاريخ نهاية المرحله.-]]+1</f>
        <v>45566</v>
      </c>
      <c r="Z103" s="231">
        <f>PR[[#This Row],[تاريخ بداية المرحله-.]]+90</f>
        <v>45656</v>
      </c>
      <c r="AA103" s="234">
        <f>PR[[#This Row],[تاريخ نهاية المرحله--]]+1</f>
        <v>45657</v>
      </c>
      <c r="AB103" s="235">
        <f>PR[[#This Row],[تاريخ بداية .المرحله]]+188</f>
        <v>45845</v>
      </c>
      <c r="AC103" s="234">
        <f>PR[[#This Row],[تاريخ. نهاية المرحله]]+1</f>
        <v>45846</v>
      </c>
      <c r="AD103" s="235">
        <f>PR[[#This Row],[.تاريخ بداية المرحله]] + ((PR[[#This Row],[مدة المشروع (شهر)]]*30)-55)</f>
        <v>46511</v>
      </c>
      <c r="AE103" s="278">
        <f>PR[[#This Row],[التكلفة (المحدثه)  شاملة الضريبة]]*0.9</f>
        <v>24839999.999999996</v>
      </c>
      <c r="AF103" s="234">
        <f>PR[[#This Row],[تاريخ. نهاية. المرحله]]+1</f>
        <v>46512</v>
      </c>
      <c r="AG103" s="235">
        <f>PR[[#This Row],[تاريخ بداية.. المرحله..]]+28</f>
        <v>46540</v>
      </c>
      <c r="AH103" s="278">
        <f>PR[[#This Row],[التكلفة (المحدثه)  شاملة الضريبة]]*0.1</f>
        <v>2760000</v>
      </c>
      <c r="AI103" s="232">
        <f>PR[[#This Row],[تاريخ ..نهاية المرحله.]]+1</f>
        <v>46541</v>
      </c>
      <c r="AJ103" s="233">
        <f>PR[[#This Row],[.تاريخ بداية المرحله]]+729</f>
        <v>46575</v>
      </c>
      <c r="AK103" s="8" t="s">
        <v>4</v>
      </c>
      <c r="AL103" s="28" t="s">
        <v>73</v>
      </c>
      <c r="AM103" s="182" t="s">
        <v>74</v>
      </c>
      <c r="AN103" s="9" t="s">
        <v>76</v>
      </c>
      <c r="AO103" s="10"/>
      <c r="AP103" s="9"/>
      <c r="AQ103" s="10"/>
      <c r="AR103" s="22" t="s">
        <v>412</v>
      </c>
      <c r="AS103" s="29" t="s">
        <v>78</v>
      </c>
      <c r="AT103" s="29"/>
      <c r="AU103" s="37"/>
      <c r="AV103" s="38"/>
      <c r="AW103" s="38"/>
      <c r="AX103" s="9">
        <v>0</v>
      </c>
      <c r="AY103" s="9">
        <v>0</v>
      </c>
      <c r="AZ103" s="38"/>
      <c r="BA103" s="9"/>
    </row>
    <row r="104" spans="1:53" s="11" customFormat="1" ht="54.75" customHeight="1">
      <c r="A104" s="53" t="s">
        <v>413</v>
      </c>
      <c r="B104" s="57" t="s">
        <v>414</v>
      </c>
      <c r="C104" s="53" t="s">
        <v>68</v>
      </c>
      <c r="D104" s="53" t="e">
        <v>#N/A</v>
      </c>
      <c r="E104" s="53" t="s">
        <v>395</v>
      </c>
      <c r="F104" s="53" t="s">
        <v>415</v>
      </c>
      <c r="G104" s="53" t="s">
        <v>94</v>
      </c>
      <c r="H104" s="54">
        <v>10560120.525</v>
      </c>
      <c r="I104" s="54" t="e">
        <v>#N/A</v>
      </c>
      <c r="J104" s="54">
        <f>PR[[#This Row],[التكلفة (المحدثه)  شاملة الضريبة]]-K104</f>
        <v>-4.9999989569187164E-3</v>
      </c>
      <c r="K104" s="54">
        <v>10560120.529999999</v>
      </c>
      <c r="L104" s="61">
        <v>10560120.525</v>
      </c>
      <c r="M104" s="46" t="e">
        <v>#N/A</v>
      </c>
      <c r="N104" s="55" t="s">
        <v>73</v>
      </c>
      <c r="O104" s="68" t="s">
        <v>74</v>
      </c>
      <c r="P104" s="180" t="s">
        <v>111</v>
      </c>
      <c r="Q104" s="290"/>
      <c r="R104" s="190" t="s">
        <v>4</v>
      </c>
      <c r="S104" s="228">
        <v>45383</v>
      </c>
      <c r="T104" s="229">
        <v>45412</v>
      </c>
      <c r="U104" s="230">
        <f>PR[[#This Row],[تاريخ نهاية المرحله]]+1</f>
        <v>45413</v>
      </c>
      <c r="V104" s="231">
        <f>PR[[#This Row],[تاريخ بداية المرحله.]]+30</f>
        <v>45443</v>
      </c>
      <c r="W104" s="232">
        <f>PR[[#This Row],[تاريخ نهاية المرحله…]]+1</f>
        <v>45444</v>
      </c>
      <c r="X104" s="233">
        <f>PR[[#This Row],[تاريخ بداية المرحله-]]+121</f>
        <v>45565</v>
      </c>
      <c r="Y104" s="230">
        <f>PR[[#This Row],[تاريخ نهاية المرحله.-]]+1</f>
        <v>45566</v>
      </c>
      <c r="Z104" s="231">
        <f>PR[[#This Row],[تاريخ بداية المرحله-.]]+90</f>
        <v>45656</v>
      </c>
      <c r="AA104" s="234">
        <f>PR[[#This Row],[تاريخ نهاية المرحله--]]+1</f>
        <v>45657</v>
      </c>
      <c r="AB104" s="235">
        <f>PR[[#This Row],[تاريخ بداية .المرحله]]+188</f>
        <v>45845</v>
      </c>
      <c r="AC104" s="234">
        <f>PR[[#This Row],[تاريخ. نهاية المرحله]]+1</f>
        <v>45846</v>
      </c>
      <c r="AD104" s="235">
        <f>PR[[#This Row],[.تاريخ بداية المرحله]] + ((PR[[#This Row],[مدة المشروع (شهر)]]*30)-28)</f>
        <v>46178</v>
      </c>
      <c r="AE104" s="278">
        <f>PR[[#This Row],[التكلفة (المحدثه)  شاملة الضريبة]]*0.9</f>
        <v>9504108.4725000001</v>
      </c>
      <c r="AF104" s="234">
        <f>PR[[#This Row],[تاريخ. نهاية. المرحله]]+1</f>
        <v>46179</v>
      </c>
      <c r="AG104" s="235">
        <f>PR[[#This Row],[تاريخ بداية.. المرحله..]]+14</f>
        <v>46193</v>
      </c>
      <c r="AH104" s="278">
        <f>PR[[#This Row],[التكلفة (المحدثه)  شاملة الضريبة]]*0.1</f>
        <v>1056012.0525</v>
      </c>
      <c r="AI104" s="232">
        <f>PR[[#This Row],[تاريخ ..نهاية المرحله.]]+1</f>
        <v>46194</v>
      </c>
      <c r="AJ104" s="233">
        <f>PR[[#This Row],[.تاريخ بداية المرحله]]+364</f>
        <v>46210</v>
      </c>
      <c r="AK104" s="8" t="s">
        <v>4</v>
      </c>
      <c r="AL104" s="28" t="s">
        <v>73</v>
      </c>
      <c r="AM104" s="182" t="s">
        <v>74</v>
      </c>
      <c r="AN104" s="9" t="s">
        <v>76</v>
      </c>
      <c r="AO104" s="10"/>
      <c r="AP104" s="9"/>
      <c r="AQ104" s="10"/>
      <c r="AR104" s="22" t="s">
        <v>126</v>
      </c>
      <c r="AS104" s="29" t="s">
        <v>78</v>
      </c>
      <c r="AT104" s="29"/>
      <c r="AU104" s="37"/>
      <c r="AV104" s="38"/>
      <c r="AW104" s="38"/>
      <c r="AX104" s="9">
        <v>0</v>
      </c>
      <c r="AY104" s="9">
        <v>0</v>
      </c>
      <c r="AZ104" s="38"/>
      <c r="BA104" s="9"/>
    </row>
    <row r="105" spans="1:53" s="11" customFormat="1" ht="54.75" customHeight="1">
      <c r="A105" s="53" t="s">
        <v>416</v>
      </c>
      <c r="B105" s="57" t="s">
        <v>417</v>
      </c>
      <c r="C105" s="53" t="s">
        <v>68</v>
      </c>
      <c r="D105" s="53" t="e">
        <v>#N/A</v>
      </c>
      <c r="E105" s="53" t="s">
        <v>395</v>
      </c>
      <c r="F105" s="53" t="s">
        <v>415</v>
      </c>
      <c r="G105" s="53" t="s">
        <v>86</v>
      </c>
      <c r="H105" s="54">
        <v>202802499.99999997</v>
      </c>
      <c r="I105" s="54" t="e">
        <v>#N/A</v>
      </c>
      <c r="J105" s="54">
        <f>PR[[#This Row],[التكلفة (المحدثه)  شاملة الضريبة]]-K105</f>
        <v>0</v>
      </c>
      <c r="K105" s="54">
        <v>202802500</v>
      </c>
      <c r="L105" s="61">
        <v>202802499.99999997</v>
      </c>
      <c r="M105" s="46" t="e">
        <v>#N/A</v>
      </c>
      <c r="N105" s="55" t="s">
        <v>73</v>
      </c>
      <c r="O105" s="68" t="s">
        <v>74</v>
      </c>
      <c r="P105" s="180" t="s">
        <v>87</v>
      </c>
      <c r="Q105" s="290"/>
      <c r="R105" s="190" t="s">
        <v>4</v>
      </c>
      <c r="S105" s="228">
        <v>45383</v>
      </c>
      <c r="T105" s="229">
        <v>45412</v>
      </c>
      <c r="U105" s="230">
        <f>PR[[#This Row],[تاريخ نهاية المرحله]]+1</f>
        <v>45413</v>
      </c>
      <c r="V105" s="231">
        <f>PR[[#This Row],[تاريخ بداية المرحله.]]+30</f>
        <v>45443</v>
      </c>
      <c r="W105" s="232">
        <f>PR[[#This Row],[تاريخ نهاية المرحله…]]+1</f>
        <v>45444</v>
      </c>
      <c r="X105" s="233">
        <f>PR[[#This Row],[تاريخ بداية المرحله-]]+121</f>
        <v>45565</v>
      </c>
      <c r="Y105" s="230">
        <f>PR[[#This Row],[تاريخ نهاية المرحله.-]]+1</f>
        <v>45566</v>
      </c>
      <c r="Z105" s="231">
        <f>PR[[#This Row],[تاريخ بداية المرحله-.]]+90</f>
        <v>45656</v>
      </c>
      <c r="AA105" s="234">
        <f>PR[[#This Row],[تاريخ نهاية المرحله--]]+1</f>
        <v>45657</v>
      </c>
      <c r="AB105" s="235">
        <f>PR[[#This Row],[تاريخ بداية .المرحله]]+188</f>
        <v>45845</v>
      </c>
      <c r="AC105" s="234">
        <f>PR[[#This Row],[تاريخ. نهاية المرحله]]+1</f>
        <v>45846</v>
      </c>
      <c r="AD105" s="235">
        <f>PR[[#This Row],[.تاريخ بداية المرحله]] + ((PR[[#This Row],[مدة المشروع (شهر)]]*30)-55)</f>
        <v>46871</v>
      </c>
      <c r="AE105" s="278">
        <f>PR[[#This Row],[التكلفة (المحدثه)  شاملة الضريبة]]*0.9</f>
        <v>182522249.99999997</v>
      </c>
      <c r="AF105" s="234">
        <f>PR[[#This Row],[تاريخ. نهاية. المرحله]]+1</f>
        <v>46872</v>
      </c>
      <c r="AG105" s="235">
        <f>PR[[#This Row],[تاريخ بداية.. المرحله..]]+28</f>
        <v>46900</v>
      </c>
      <c r="AH105" s="278">
        <f>PR[[#This Row],[التكلفة (المحدثه)  شاملة الضريبة]]*0.1</f>
        <v>20280250</v>
      </c>
      <c r="AI105" s="232">
        <f>PR[[#This Row],[تاريخ ..نهاية المرحله.]]+1</f>
        <v>46901</v>
      </c>
      <c r="AJ105" s="233">
        <f>PR[[#This Row],[.تاريخ بداية المرحله]]+1095</f>
        <v>46941</v>
      </c>
      <c r="AK105" s="8" t="s">
        <v>4</v>
      </c>
      <c r="AL105" s="28" t="s">
        <v>73</v>
      </c>
      <c r="AM105" s="182" t="s">
        <v>74</v>
      </c>
      <c r="AN105" s="9" t="s">
        <v>76</v>
      </c>
      <c r="AO105" s="10"/>
      <c r="AP105" s="9"/>
      <c r="AQ105" s="10"/>
      <c r="AR105" s="22" t="s">
        <v>99</v>
      </c>
      <c r="AS105" s="29" t="s">
        <v>78</v>
      </c>
      <c r="AT105" s="29"/>
      <c r="AU105" s="37"/>
      <c r="AV105" s="38"/>
      <c r="AW105" s="38"/>
      <c r="AX105" s="9">
        <v>0</v>
      </c>
      <c r="AY105" s="9">
        <v>0</v>
      </c>
      <c r="AZ105" s="38"/>
      <c r="BA105" s="9"/>
    </row>
    <row r="106" spans="1:53" s="11" customFormat="1" ht="54.75" customHeight="1">
      <c r="A106" s="53" t="s">
        <v>418</v>
      </c>
      <c r="B106" s="57" t="s">
        <v>419</v>
      </c>
      <c r="C106" s="53" t="s">
        <v>68</v>
      </c>
      <c r="D106" s="53" t="e">
        <v>#N/A</v>
      </c>
      <c r="E106" s="53" t="s">
        <v>395</v>
      </c>
      <c r="F106" s="53" t="s">
        <v>415</v>
      </c>
      <c r="G106" s="53" t="s">
        <v>86</v>
      </c>
      <c r="H106" s="54">
        <v>14719999.999999998</v>
      </c>
      <c r="I106" s="54" t="e">
        <v>#N/A</v>
      </c>
      <c r="J106" s="54">
        <f>PR[[#This Row],[التكلفة (المحدثه)  شاملة الضريبة]]-K106</f>
        <v>0</v>
      </c>
      <c r="K106" s="54">
        <v>14720000</v>
      </c>
      <c r="L106" s="61">
        <v>14719999.999999998</v>
      </c>
      <c r="M106" s="46" t="e">
        <v>#N/A</v>
      </c>
      <c r="N106" s="55" t="s">
        <v>73</v>
      </c>
      <c r="O106" s="68" t="s">
        <v>74</v>
      </c>
      <c r="P106" s="180" t="s">
        <v>111</v>
      </c>
      <c r="Q106" s="290"/>
      <c r="R106" s="190" t="s">
        <v>4</v>
      </c>
      <c r="S106" s="228">
        <v>45383</v>
      </c>
      <c r="T106" s="229">
        <v>45412</v>
      </c>
      <c r="U106" s="230">
        <f>PR[[#This Row],[تاريخ نهاية المرحله]]+1</f>
        <v>45413</v>
      </c>
      <c r="V106" s="231">
        <f>PR[[#This Row],[تاريخ بداية المرحله.]]+30</f>
        <v>45443</v>
      </c>
      <c r="W106" s="232">
        <f>PR[[#This Row],[تاريخ نهاية المرحله…]]+1</f>
        <v>45444</v>
      </c>
      <c r="X106" s="233">
        <f>PR[[#This Row],[تاريخ بداية المرحله-]]+121</f>
        <v>45565</v>
      </c>
      <c r="Y106" s="230">
        <f>PR[[#This Row],[تاريخ نهاية المرحله.-]]+1</f>
        <v>45566</v>
      </c>
      <c r="Z106" s="231">
        <f>PR[[#This Row],[تاريخ بداية المرحله-.]]+90</f>
        <v>45656</v>
      </c>
      <c r="AA106" s="234">
        <f>PR[[#This Row],[تاريخ نهاية المرحله--]]+1</f>
        <v>45657</v>
      </c>
      <c r="AB106" s="235">
        <f>PR[[#This Row],[تاريخ بداية .المرحله]]+188</f>
        <v>45845</v>
      </c>
      <c r="AC106" s="234">
        <f>PR[[#This Row],[تاريخ. نهاية المرحله]]+1</f>
        <v>45846</v>
      </c>
      <c r="AD106" s="235">
        <f>PR[[#This Row],[.تاريخ بداية المرحله]] + ((PR[[#This Row],[مدة المشروع (شهر)]]*30)-28)</f>
        <v>46178</v>
      </c>
      <c r="AE106" s="278">
        <f>PR[[#This Row],[التكلفة (المحدثه)  شاملة الضريبة]]*0.9</f>
        <v>13247999.999999998</v>
      </c>
      <c r="AF106" s="234">
        <f>PR[[#This Row],[تاريخ. نهاية. المرحله]]+1</f>
        <v>46179</v>
      </c>
      <c r="AG106" s="235">
        <f>PR[[#This Row],[تاريخ بداية.. المرحله..]]+14</f>
        <v>46193</v>
      </c>
      <c r="AH106" s="278">
        <f>PR[[#This Row],[التكلفة (المحدثه)  شاملة الضريبة]]*0.1</f>
        <v>1472000</v>
      </c>
      <c r="AI106" s="232">
        <f>PR[[#This Row],[تاريخ ..نهاية المرحله.]]+1</f>
        <v>46194</v>
      </c>
      <c r="AJ106" s="233">
        <f>PR[[#This Row],[.تاريخ بداية المرحله]]+364</f>
        <v>46210</v>
      </c>
      <c r="AK106" s="8" t="s">
        <v>4</v>
      </c>
      <c r="AL106" s="28" t="s">
        <v>73</v>
      </c>
      <c r="AM106" s="182" t="s">
        <v>74</v>
      </c>
      <c r="AN106" s="9" t="s">
        <v>76</v>
      </c>
      <c r="AO106" s="10"/>
      <c r="AP106" s="9"/>
      <c r="AQ106" s="10"/>
      <c r="AR106" s="22" t="s">
        <v>99</v>
      </c>
      <c r="AS106" s="29" t="s">
        <v>78</v>
      </c>
      <c r="AT106" s="29"/>
      <c r="AU106" s="37"/>
      <c r="AV106" s="38"/>
      <c r="AW106" s="38"/>
      <c r="AX106" s="9">
        <v>0</v>
      </c>
      <c r="AY106" s="9">
        <v>0</v>
      </c>
      <c r="AZ106" s="38"/>
      <c r="BA106" s="9"/>
    </row>
    <row r="107" spans="1:53" s="11" customFormat="1" ht="54.75" customHeight="1">
      <c r="A107" s="53" t="s">
        <v>420</v>
      </c>
      <c r="B107" s="57" t="s">
        <v>421</v>
      </c>
      <c r="C107" s="53" t="s">
        <v>68</v>
      </c>
      <c r="D107" s="53" t="e">
        <v>#N/A</v>
      </c>
      <c r="E107" s="53" t="s">
        <v>395</v>
      </c>
      <c r="F107" s="53" t="s">
        <v>415</v>
      </c>
      <c r="G107" s="53" t="s">
        <v>86</v>
      </c>
      <c r="H107" s="54">
        <v>78200000</v>
      </c>
      <c r="I107" s="54" t="e">
        <v>#N/A</v>
      </c>
      <c r="J107" s="54">
        <f>PR[[#This Row],[التكلفة (المحدثه)  شاملة الضريبة]]-K107</f>
        <v>0</v>
      </c>
      <c r="K107" s="54">
        <v>78200000</v>
      </c>
      <c r="L107" s="61">
        <v>78200000</v>
      </c>
      <c r="M107" s="46" t="e">
        <v>#N/A</v>
      </c>
      <c r="N107" s="55" t="s">
        <v>73</v>
      </c>
      <c r="O107" s="68" t="s">
        <v>74</v>
      </c>
      <c r="P107" s="180" t="s">
        <v>75</v>
      </c>
      <c r="Q107" s="290"/>
      <c r="R107" s="190" t="s">
        <v>4</v>
      </c>
      <c r="S107" s="228">
        <v>45383</v>
      </c>
      <c r="T107" s="229">
        <v>45412</v>
      </c>
      <c r="U107" s="230">
        <f>PR[[#This Row],[تاريخ نهاية المرحله]]+1</f>
        <v>45413</v>
      </c>
      <c r="V107" s="231">
        <f>PR[[#This Row],[تاريخ بداية المرحله.]]+30</f>
        <v>45443</v>
      </c>
      <c r="W107" s="232">
        <f>PR[[#This Row],[تاريخ نهاية المرحله…]]+1</f>
        <v>45444</v>
      </c>
      <c r="X107" s="233">
        <f>PR[[#This Row],[تاريخ بداية المرحله-]]+121</f>
        <v>45565</v>
      </c>
      <c r="Y107" s="230">
        <f>PR[[#This Row],[تاريخ نهاية المرحله.-]]+1</f>
        <v>45566</v>
      </c>
      <c r="Z107" s="231">
        <f>PR[[#This Row],[تاريخ بداية المرحله-.]]+90</f>
        <v>45656</v>
      </c>
      <c r="AA107" s="234">
        <f>PR[[#This Row],[تاريخ نهاية المرحله--]]+1</f>
        <v>45657</v>
      </c>
      <c r="AB107" s="235">
        <f>PR[[#This Row],[تاريخ بداية .المرحله]]+188</f>
        <v>45845</v>
      </c>
      <c r="AC107" s="234">
        <f>PR[[#This Row],[تاريخ. نهاية المرحله]]+1</f>
        <v>45846</v>
      </c>
      <c r="AD107" s="235">
        <f>PR[[#This Row],[.تاريخ بداية المرحله]] + ((PR[[#This Row],[مدة المشروع (شهر)]]*30)-55)</f>
        <v>46511</v>
      </c>
      <c r="AE107" s="278">
        <f>PR[[#This Row],[التكلفة (المحدثه)  شاملة الضريبة]]*0.9</f>
        <v>70380000</v>
      </c>
      <c r="AF107" s="234">
        <f>PR[[#This Row],[تاريخ. نهاية. المرحله]]+1</f>
        <v>46512</v>
      </c>
      <c r="AG107" s="235">
        <f>PR[[#This Row],[تاريخ بداية.. المرحله..]]+28</f>
        <v>46540</v>
      </c>
      <c r="AH107" s="278">
        <f>PR[[#This Row],[التكلفة (المحدثه)  شاملة الضريبة]]*0.1</f>
        <v>7820000</v>
      </c>
      <c r="AI107" s="232">
        <f>PR[[#This Row],[تاريخ ..نهاية المرحله.]]+1</f>
        <v>46541</v>
      </c>
      <c r="AJ107" s="233">
        <f>PR[[#This Row],[.تاريخ بداية المرحله]]+729</f>
        <v>46575</v>
      </c>
      <c r="AK107" s="8" t="s">
        <v>4</v>
      </c>
      <c r="AL107" s="28" t="s">
        <v>73</v>
      </c>
      <c r="AM107" s="182" t="s">
        <v>74</v>
      </c>
      <c r="AN107" s="9" t="s">
        <v>76</v>
      </c>
      <c r="AO107" s="10"/>
      <c r="AP107" s="9"/>
      <c r="AQ107" s="10"/>
      <c r="AR107" s="22" t="s">
        <v>99</v>
      </c>
      <c r="AS107" s="29" t="s">
        <v>78</v>
      </c>
      <c r="AT107" s="29"/>
      <c r="AU107" s="37"/>
      <c r="AV107" s="38"/>
      <c r="AW107" s="38"/>
      <c r="AX107" s="9">
        <v>0</v>
      </c>
      <c r="AY107" s="9">
        <v>0</v>
      </c>
      <c r="AZ107" s="38"/>
      <c r="BA107" s="9"/>
    </row>
    <row r="108" spans="1:53" s="11" customFormat="1" ht="54.75" customHeight="1">
      <c r="A108" s="53" t="s">
        <v>422</v>
      </c>
      <c r="B108" s="57" t="s">
        <v>423</v>
      </c>
      <c r="C108" s="53" t="s">
        <v>68</v>
      </c>
      <c r="D108" s="53" t="e">
        <v>#N/A</v>
      </c>
      <c r="E108" s="53" t="s">
        <v>395</v>
      </c>
      <c r="F108" s="53" t="s">
        <v>424</v>
      </c>
      <c r="G108" s="53" t="s">
        <v>86</v>
      </c>
      <c r="H108" s="54">
        <v>51749999.999999993</v>
      </c>
      <c r="I108" s="54" t="e">
        <v>#N/A</v>
      </c>
      <c r="J108" s="54">
        <f>PR[[#This Row],[التكلفة (المحدثه)  شاملة الضريبة]]-K108</f>
        <v>0</v>
      </c>
      <c r="K108" s="54">
        <v>51750000</v>
      </c>
      <c r="L108" s="61">
        <v>51749999.999999993</v>
      </c>
      <c r="M108" s="46" t="e">
        <v>#N/A</v>
      </c>
      <c r="N108" s="55" t="s">
        <v>73</v>
      </c>
      <c r="O108" s="68" t="s">
        <v>74</v>
      </c>
      <c r="P108" s="180" t="s">
        <v>75</v>
      </c>
      <c r="Q108" s="290"/>
      <c r="R108" s="190" t="s">
        <v>4</v>
      </c>
      <c r="S108" s="228">
        <v>45383</v>
      </c>
      <c r="T108" s="229">
        <v>45412</v>
      </c>
      <c r="U108" s="230">
        <f>PR[[#This Row],[تاريخ نهاية المرحله]]+1</f>
        <v>45413</v>
      </c>
      <c r="V108" s="231">
        <f>PR[[#This Row],[تاريخ بداية المرحله.]]+30</f>
        <v>45443</v>
      </c>
      <c r="W108" s="232">
        <f>PR[[#This Row],[تاريخ نهاية المرحله…]]+1</f>
        <v>45444</v>
      </c>
      <c r="X108" s="233">
        <f>PR[[#This Row],[تاريخ بداية المرحله-]]+121</f>
        <v>45565</v>
      </c>
      <c r="Y108" s="230">
        <f>PR[[#This Row],[تاريخ نهاية المرحله.-]]+1</f>
        <v>45566</v>
      </c>
      <c r="Z108" s="231">
        <f>PR[[#This Row],[تاريخ بداية المرحله-.]]+90</f>
        <v>45656</v>
      </c>
      <c r="AA108" s="234">
        <f>PR[[#This Row],[تاريخ نهاية المرحله--]]+1</f>
        <v>45657</v>
      </c>
      <c r="AB108" s="235">
        <f>PR[[#This Row],[تاريخ بداية .المرحله]]+188</f>
        <v>45845</v>
      </c>
      <c r="AC108" s="234">
        <f>PR[[#This Row],[تاريخ. نهاية المرحله]]+1</f>
        <v>45846</v>
      </c>
      <c r="AD108" s="235">
        <f>PR[[#This Row],[.تاريخ بداية المرحله]] + ((PR[[#This Row],[مدة المشروع (شهر)]]*30)-55)</f>
        <v>46511</v>
      </c>
      <c r="AE108" s="278">
        <f>PR[[#This Row],[التكلفة (المحدثه)  شاملة الضريبة]]*0.9</f>
        <v>46574999.999999993</v>
      </c>
      <c r="AF108" s="234">
        <f>PR[[#This Row],[تاريخ. نهاية. المرحله]]+1</f>
        <v>46512</v>
      </c>
      <c r="AG108" s="235">
        <f>PR[[#This Row],[تاريخ بداية.. المرحله..]]+28</f>
        <v>46540</v>
      </c>
      <c r="AH108" s="278">
        <f>PR[[#This Row],[التكلفة (المحدثه)  شاملة الضريبة]]*0.1</f>
        <v>5175000</v>
      </c>
      <c r="AI108" s="232">
        <f>PR[[#This Row],[تاريخ ..نهاية المرحله.]]+1</f>
        <v>46541</v>
      </c>
      <c r="AJ108" s="233">
        <f>PR[[#This Row],[.تاريخ بداية المرحله]]+729</f>
        <v>46575</v>
      </c>
      <c r="AK108" s="8" t="s">
        <v>4</v>
      </c>
      <c r="AL108" s="28" t="s">
        <v>73</v>
      </c>
      <c r="AM108" s="182" t="s">
        <v>74</v>
      </c>
      <c r="AN108" s="9" t="s">
        <v>76</v>
      </c>
      <c r="AO108" s="10"/>
      <c r="AP108" s="9"/>
      <c r="AQ108" s="10"/>
      <c r="AR108" s="22" t="s">
        <v>126</v>
      </c>
      <c r="AS108" s="29" t="s">
        <v>78</v>
      </c>
      <c r="AT108" s="29"/>
      <c r="AU108" s="37"/>
      <c r="AV108" s="38"/>
      <c r="AW108" s="38"/>
      <c r="AX108" s="9">
        <v>0</v>
      </c>
      <c r="AY108" s="9">
        <v>0</v>
      </c>
      <c r="AZ108" s="38"/>
      <c r="BA108" s="9"/>
    </row>
    <row r="109" spans="1:53" s="11" customFormat="1" ht="54.75" customHeight="1">
      <c r="A109" s="53" t="s">
        <v>425</v>
      </c>
      <c r="B109" s="57" t="s">
        <v>426</v>
      </c>
      <c r="C109" s="53" t="s">
        <v>68</v>
      </c>
      <c r="D109" s="53" t="e">
        <v>#N/A</v>
      </c>
      <c r="E109" s="53" t="s">
        <v>395</v>
      </c>
      <c r="F109" s="53" t="s">
        <v>424</v>
      </c>
      <c r="G109" s="53" t="s">
        <v>94</v>
      </c>
      <c r="H109" s="54">
        <v>4527527</v>
      </c>
      <c r="I109" s="54" t="e">
        <v>#N/A</v>
      </c>
      <c r="J109" s="54">
        <f>PR[[#This Row],[التكلفة (المحدثه)  شاملة الضريبة]]-K109</f>
        <v>0</v>
      </c>
      <c r="K109" s="54">
        <v>4527527</v>
      </c>
      <c r="L109" s="61">
        <v>4527527</v>
      </c>
      <c r="M109" s="46" t="e">
        <v>#N/A</v>
      </c>
      <c r="N109" s="55" t="s">
        <v>73</v>
      </c>
      <c r="O109" s="68" t="s">
        <v>74</v>
      </c>
      <c r="P109" s="180" t="s">
        <v>111</v>
      </c>
      <c r="Q109" s="290"/>
      <c r="R109" s="190" t="s">
        <v>4</v>
      </c>
      <c r="S109" s="228">
        <v>45383</v>
      </c>
      <c r="T109" s="229">
        <v>45412</v>
      </c>
      <c r="U109" s="230">
        <f>PR[[#This Row],[تاريخ نهاية المرحله]]+1</f>
        <v>45413</v>
      </c>
      <c r="V109" s="231">
        <f>PR[[#This Row],[تاريخ بداية المرحله.]]+30</f>
        <v>45443</v>
      </c>
      <c r="W109" s="232">
        <f>PR[[#This Row],[تاريخ نهاية المرحله…]]+1</f>
        <v>45444</v>
      </c>
      <c r="X109" s="233">
        <f>PR[[#This Row],[تاريخ بداية المرحله-]]+121</f>
        <v>45565</v>
      </c>
      <c r="Y109" s="230">
        <f>PR[[#This Row],[تاريخ نهاية المرحله.-]]+1</f>
        <v>45566</v>
      </c>
      <c r="Z109" s="231">
        <f>PR[[#This Row],[تاريخ بداية المرحله-.]]+90</f>
        <v>45656</v>
      </c>
      <c r="AA109" s="234">
        <f>PR[[#This Row],[تاريخ نهاية المرحله--]]+1</f>
        <v>45657</v>
      </c>
      <c r="AB109" s="235">
        <f>PR[[#This Row],[تاريخ بداية .المرحله]]+188</f>
        <v>45845</v>
      </c>
      <c r="AC109" s="234">
        <f>PR[[#This Row],[تاريخ. نهاية المرحله]]+1</f>
        <v>45846</v>
      </c>
      <c r="AD109" s="235">
        <f>PR[[#This Row],[.تاريخ بداية المرحله]] + ((PR[[#This Row],[مدة المشروع (شهر)]]*30)-28)</f>
        <v>46178</v>
      </c>
      <c r="AE109" s="278">
        <f>PR[[#This Row],[التكلفة (المحدثه)  شاملة الضريبة]]*0.9</f>
        <v>4074774.3000000003</v>
      </c>
      <c r="AF109" s="234">
        <f>PR[[#This Row],[تاريخ. نهاية. المرحله]]+1</f>
        <v>46179</v>
      </c>
      <c r="AG109" s="235">
        <f>PR[[#This Row],[تاريخ بداية.. المرحله..]]+14</f>
        <v>46193</v>
      </c>
      <c r="AH109" s="278">
        <f>PR[[#This Row],[التكلفة (المحدثه)  شاملة الضريبة]]*0.1</f>
        <v>452752.7</v>
      </c>
      <c r="AI109" s="232">
        <f>PR[[#This Row],[تاريخ ..نهاية المرحله.]]+1</f>
        <v>46194</v>
      </c>
      <c r="AJ109" s="233">
        <f>PR[[#This Row],[.تاريخ بداية المرحله]]+364</f>
        <v>46210</v>
      </c>
      <c r="AK109" s="8" t="s">
        <v>4</v>
      </c>
      <c r="AL109" s="28" t="s">
        <v>73</v>
      </c>
      <c r="AM109" s="182" t="s">
        <v>74</v>
      </c>
      <c r="AN109" s="9" t="s">
        <v>76</v>
      </c>
      <c r="AO109" s="10"/>
      <c r="AP109" s="9"/>
      <c r="AQ109" s="10"/>
      <c r="AR109" s="22" t="s">
        <v>126</v>
      </c>
      <c r="AS109" s="29" t="s">
        <v>78</v>
      </c>
      <c r="AT109" s="29"/>
      <c r="AU109" s="37"/>
      <c r="AV109" s="38"/>
      <c r="AW109" s="38"/>
      <c r="AX109" s="9">
        <v>0</v>
      </c>
      <c r="AY109" s="9">
        <v>0</v>
      </c>
      <c r="AZ109" s="38"/>
      <c r="BA109" s="9"/>
    </row>
    <row r="110" spans="1:53" s="11" customFormat="1" ht="54.75" customHeight="1">
      <c r="A110" s="53" t="s">
        <v>427</v>
      </c>
      <c r="B110" s="57" t="s">
        <v>428</v>
      </c>
      <c r="C110" s="53" t="s">
        <v>68</v>
      </c>
      <c r="D110" s="53" t="e">
        <v>#N/A</v>
      </c>
      <c r="E110" s="53" t="s">
        <v>395</v>
      </c>
      <c r="F110" s="53" t="s">
        <v>395</v>
      </c>
      <c r="G110" s="58" t="s">
        <v>71</v>
      </c>
      <c r="H110" s="54">
        <v>15524999.999999998</v>
      </c>
      <c r="I110" s="54" t="e">
        <v>#N/A</v>
      </c>
      <c r="J110" s="54">
        <f>PR[[#This Row],[التكلفة (المحدثه)  شاملة الضريبة]]-K110</f>
        <v>0</v>
      </c>
      <c r="K110" s="54">
        <v>15525000</v>
      </c>
      <c r="L110" s="61">
        <v>15524999.999999998</v>
      </c>
      <c r="M110" s="46" t="e">
        <v>#N/A</v>
      </c>
      <c r="N110" s="55" t="s">
        <v>73</v>
      </c>
      <c r="O110" s="68" t="s">
        <v>74</v>
      </c>
      <c r="P110" s="180" t="s">
        <v>118</v>
      </c>
      <c r="Q110" s="290"/>
      <c r="R110" s="190" t="s">
        <v>4</v>
      </c>
      <c r="S110" s="228">
        <v>45383</v>
      </c>
      <c r="T110" s="229">
        <v>45412</v>
      </c>
      <c r="U110" s="230">
        <f>PR[[#This Row],[تاريخ نهاية المرحله]]+1</f>
        <v>45413</v>
      </c>
      <c r="V110" s="231">
        <f>PR[[#This Row],[تاريخ بداية المرحله.]]+30</f>
        <v>45443</v>
      </c>
      <c r="W110" s="232">
        <f>PR[[#This Row],[تاريخ نهاية المرحله…]]+1</f>
        <v>45444</v>
      </c>
      <c r="X110" s="233">
        <f>PR[[#This Row],[تاريخ بداية المرحله-]]+121</f>
        <v>45565</v>
      </c>
      <c r="Y110" s="230">
        <f>PR[[#This Row],[تاريخ نهاية المرحله.-]]+1</f>
        <v>45566</v>
      </c>
      <c r="Z110" s="231">
        <f>PR[[#This Row],[تاريخ بداية المرحله-.]]+90</f>
        <v>45656</v>
      </c>
      <c r="AA110" s="234">
        <f>PR[[#This Row],[تاريخ نهاية المرحله--]]+1</f>
        <v>45657</v>
      </c>
      <c r="AB110" s="235">
        <f>PR[[#This Row],[تاريخ بداية .المرحله]]+188</f>
        <v>45845</v>
      </c>
      <c r="AC110" s="234">
        <f>PR[[#This Row],[تاريخ. نهاية المرحله]]+1</f>
        <v>45846</v>
      </c>
      <c r="AD110" s="235">
        <f>PR[[#This Row],[.تاريخ بداية المرحله]] + ((PR[[#This Row],[مدة المشروع (شهر)]]*30)-55)</f>
        <v>46331</v>
      </c>
      <c r="AE110" s="278">
        <f>PR[[#This Row],[التكلفة (المحدثه)  شاملة الضريبة]]*0.9</f>
        <v>13972499.999999998</v>
      </c>
      <c r="AF110" s="234">
        <f>PR[[#This Row],[تاريخ. نهاية. المرحله]]+1</f>
        <v>46332</v>
      </c>
      <c r="AG110" s="235">
        <f>PR[[#This Row],[تاريخ بداية.. المرحله..]]+28</f>
        <v>46360</v>
      </c>
      <c r="AH110" s="278">
        <f>PR[[#This Row],[التكلفة (المحدثه)  شاملة الضريبة]]*0.1</f>
        <v>1552500</v>
      </c>
      <c r="AI110" s="232">
        <f>PR[[#This Row],[تاريخ ..نهاية المرحله.]]+1</f>
        <v>46361</v>
      </c>
      <c r="AJ110" s="233">
        <f>PR[[#This Row],[.تاريخ بداية المرحله]]+548</f>
        <v>46394</v>
      </c>
      <c r="AK110" s="8" t="s">
        <v>4</v>
      </c>
      <c r="AL110" s="28" t="s">
        <v>73</v>
      </c>
      <c r="AM110" s="182" t="s">
        <v>74</v>
      </c>
      <c r="AN110" s="9" t="s">
        <v>76</v>
      </c>
      <c r="AO110" s="10"/>
      <c r="AP110" s="9"/>
      <c r="AQ110" s="10"/>
      <c r="AR110" s="22" t="s">
        <v>119</v>
      </c>
      <c r="AS110" s="29" t="s">
        <v>78</v>
      </c>
      <c r="AT110" s="29"/>
      <c r="AU110" s="37"/>
      <c r="AV110" s="38"/>
      <c r="AW110" s="38"/>
      <c r="AX110" s="9">
        <v>0</v>
      </c>
      <c r="AY110" s="9">
        <v>0</v>
      </c>
      <c r="AZ110" s="38"/>
      <c r="BA110" s="9"/>
    </row>
    <row r="111" spans="1:53" s="11" customFormat="1" ht="54.75" customHeight="1">
      <c r="A111" s="53" t="s">
        <v>429</v>
      </c>
      <c r="B111" s="57" t="s">
        <v>430</v>
      </c>
      <c r="C111" s="53" t="s">
        <v>68</v>
      </c>
      <c r="D111" s="53" t="e">
        <v>#N/A</v>
      </c>
      <c r="E111" s="53" t="s">
        <v>395</v>
      </c>
      <c r="F111" s="53" t="s">
        <v>431</v>
      </c>
      <c r="G111" s="53" t="s">
        <v>86</v>
      </c>
      <c r="H111" s="54">
        <v>59799999.999999993</v>
      </c>
      <c r="I111" s="54" t="e">
        <v>#N/A</v>
      </c>
      <c r="J111" s="54">
        <f>PR[[#This Row],[التكلفة (المحدثه)  شاملة الضريبة]]-K111</f>
        <v>0</v>
      </c>
      <c r="K111" s="54">
        <v>59800000</v>
      </c>
      <c r="L111" s="61">
        <v>59799999.999999993</v>
      </c>
      <c r="M111" s="46" t="e">
        <v>#N/A</v>
      </c>
      <c r="N111" s="55" t="s">
        <v>73</v>
      </c>
      <c r="O111" s="68" t="s">
        <v>74</v>
      </c>
      <c r="P111" s="180" t="s">
        <v>87</v>
      </c>
      <c r="Q111" s="290"/>
      <c r="R111" s="190" t="s">
        <v>4</v>
      </c>
      <c r="S111" s="228">
        <v>45383</v>
      </c>
      <c r="T111" s="229">
        <v>45412</v>
      </c>
      <c r="U111" s="230">
        <f>PR[[#This Row],[تاريخ نهاية المرحله]]+1</f>
        <v>45413</v>
      </c>
      <c r="V111" s="231">
        <f>PR[[#This Row],[تاريخ بداية المرحله.]]+30</f>
        <v>45443</v>
      </c>
      <c r="W111" s="232">
        <f>PR[[#This Row],[تاريخ نهاية المرحله…]]+1</f>
        <v>45444</v>
      </c>
      <c r="X111" s="233">
        <f>PR[[#This Row],[تاريخ بداية المرحله-]]+121</f>
        <v>45565</v>
      </c>
      <c r="Y111" s="230">
        <f>PR[[#This Row],[تاريخ نهاية المرحله.-]]+1</f>
        <v>45566</v>
      </c>
      <c r="Z111" s="231">
        <f>PR[[#This Row],[تاريخ بداية المرحله-.]]+90</f>
        <v>45656</v>
      </c>
      <c r="AA111" s="234">
        <f>PR[[#This Row],[تاريخ نهاية المرحله--]]+1</f>
        <v>45657</v>
      </c>
      <c r="AB111" s="235">
        <f>PR[[#This Row],[تاريخ بداية .المرحله]]+188</f>
        <v>45845</v>
      </c>
      <c r="AC111" s="234">
        <f>PR[[#This Row],[تاريخ. نهاية المرحله]]+1</f>
        <v>45846</v>
      </c>
      <c r="AD111" s="235">
        <f>PR[[#This Row],[.تاريخ بداية المرحله]] + ((PR[[#This Row],[مدة المشروع (شهر)]]*30)-55)</f>
        <v>46871</v>
      </c>
      <c r="AE111" s="278">
        <f>PR[[#This Row],[التكلفة (المحدثه)  شاملة الضريبة]]*0.9</f>
        <v>53819999.999999993</v>
      </c>
      <c r="AF111" s="234">
        <f>PR[[#This Row],[تاريخ. نهاية. المرحله]]+1</f>
        <v>46872</v>
      </c>
      <c r="AG111" s="235">
        <f>PR[[#This Row],[تاريخ بداية.. المرحله..]]+28</f>
        <v>46900</v>
      </c>
      <c r="AH111" s="278">
        <f>PR[[#This Row],[التكلفة (المحدثه)  شاملة الضريبة]]*0.1</f>
        <v>5980000</v>
      </c>
      <c r="AI111" s="232">
        <f>PR[[#This Row],[تاريخ ..نهاية المرحله.]]+1</f>
        <v>46901</v>
      </c>
      <c r="AJ111" s="233">
        <f>PR[[#This Row],[.تاريخ بداية المرحله]]+1095</f>
        <v>46941</v>
      </c>
      <c r="AK111" s="8" t="s">
        <v>4</v>
      </c>
      <c r="AL111" s="28" t="s">
        <v>73</v>
      </c>
      <c r="AM111" s="182" t="s">
        <v>74</v>
      </c>
      <c r="AN111" s="9" t="s">
        <v>76</v>
      </c>
      <c r="AO111" s="10"/>
      <c r="AP111" s="9"/>
      <c r="AQ111" s="10"/>
      <c r="AR111" s="22" t="s">
        <v>126</v>
      </c>
      <c r="AS111" s="29" t="s">
        <v>78</v>
      </c>
      <c r="AT111" s="29"/>
      <c r="AU111" s="37"/>
      <c r="AV111" s="38"/>
      <c r="AW111" s="38"/>
      <c r="AX111" s="9">
        <v>0</v>
      </c>
      <c r="AY111" s="9">
        <v>0</v>
      </c>
      <c r="AZ111" s="38"/>
      <c r="BA111" s="9"/>
    </row>
    <row r="112" spans="1:53" s="11" customFormat="1" ht="54.75" customHeight="1">
      <c r="A112" s="53" t="s">
        <v>432</v>
      </c>
      <c r="B112" s="57" t="s">
        <v>433</v>
      </c>
      <c r="C112" s="53" t="s">
        <v>68</v>
      </c>
      <c r="D112" s="53" t="e">
        <v>#N/A</v>
      </c>
      <c r="E112" s="53" t="s">
        <v>395</v>
      </c>
      <c r="F112" s="53" t="s">
        <v>431</v>
      </c>
      <c r="G112" s="53" t="s">
        <v>86</v>
      </c>
      <c r="H112" s="54">
        <v>12649999.999999998</v>
      </c>
      <c r="I112" s="54" t="e">
        <v>#N/A</v>
      </c>
      <c r="J112" s="54">
        <f>PR[[#This Row],[التكلفة (المحدثه)  شاملة الضريبة]]-K112</f>
        <v>0</v>
      </c>
      <c r="K112" s="54">
        <v>12650000</v>
      </c>
      <c r="L112" s="61">
        <v>12649999.999999998</v>
      </c>
      <c r="M112" s="46" t="e">
        <v>#N/A</v>
      </c>
      <c r="N112" s="55" t="s">
        <v>73</v>
      </c>
      <c r="O112" s="68" t="s">
        <v>74</v>
      </c>
      <c r="P112" s="180" t="s">
        <v>111</v>
      </c>
      <c r="Q112" s="290"/>
      <c r="R112" s="190" t="s">
        <v>4</v>
      </c>
      <c r="S112" s="228">
        <v>45383</v>
      </c>
      <c r="T112" s="229">
        <v>45412</v>
      </c>
      <c r="U112" s="230">
        <f>PR[[#This Row],[تاريخ نهاية المرحله]]+1</f>
        <v>45413</v>
      </c>
      <c r="V112" s="231">
        <f>PR[[#This Row],[تاريخ بداية المرحله.]]+30</f>
        <v>45443</v>
      </c>
      <c r="W112" s="232">
        <f>PR[[#This Row],[تاريخ نهاية المرحله…]]+1</f>
        <v>45444</v>
      </c>
      <c r="X112" s="233">
        <f>PR[[#This Row],[تاريخ بداية المرحله-]]+121</f>
        <v>45565</v>
      </c>
      <c r="Y112" s="230">
        <f>PR[[#This Row],[تاريخ نهاية المرحله.-]]+1</f>
        <v>45566</v>
      </c>
      <c r="Z112" s="231">
        <f>PR[[#This Row],[تاريخ بداية المرحله-.]]+90</f>
        <v>45656</v>
      </c>
      <c r="AA112" s="234">
        <f>PR[[#This Row],[تاريخ نهاية المرحله--]]+1</f>
        <v>45657</v>
      </c>
      <c r="AB112" s="235">
        <f>PR[[#This Row],[تاريخ بداية .المرحله]]+188</f>
        <v>45845</v>
      </c>
      <c r="AC112" s="234">
        <f>PR[[#This Row],[تاريخ. نهاية المرحله]]+1</f>
        <v>45846</v>
      </c>
      <c r="AD112" s="235">
        <f>PR[[#This Row],[.تاريخ بداية المرحله]] + ((PR[[#This Row],[مدة المشروع (شهر)]]*30)-28)</f>
        <v>46178</v>
      </c>
      <c r="AE112" s="278">
        <f>PR[[#This Row],[التكلفة (المحدثه)  شاملة الضريبة]]*0.9</f>
        <v>11384999.999999998</v>
      </c>
      <c r="AF112" s="234">
        <f>PR[[#This Row],[تاريخ. نهاية. المرحله]]+1</f>
        <v>46179</v>
      </c>
      <c r="AG112" s="235">
        <f>PR[[#This Row],[تاريخ بداية.. المرحله..]]+14</f>
        <v>46193</v>
      </c>
      <c r="AH112" s="278">
        <f>PR[[#This Row],[التكلفة (المحدثه)  شاملة الضريبة]]*0.1</f>
        <v>1265000</v>
      </c>
      <c r="AI112" s="232">
        <f>PR[[#This Row],[تاريخ ..نهاية المرحله.]]+1</f>
        <v>46194</v>
      </c>
      <c r="AJ112" s="233">
        <f>PR[[#This Row],[.تاريخ بداية المرحله]]+364</f>
        <v>46210</v>
      </c>
      <c r="AK112" s="8" t="s">
        <v>4</v>
      </c>
      <c r="AL112" s="28" t="s">
        <v>73</v>
      </c>
      <c r="AM112" s="182" t="s">
        <v>74</v>
      </c>
      <c r="AN112" s="9" t="s">
        <v>76</v>
      </c>
      <c r="AO112" s="10"/>
      <c r="AP112" s="9"/>
      <c r="AQ112" s="10"/>
      <c r="AR112" s="22" t="s">
        <v>434</v>
      </c>
      <c r="AS112" s="29" t="s">
        <v>78</v>
      </c>
      <c r="AT112" s="29"/>
      <c r="AU112" s="37"/>
      <c r="AV112" s="38"/>
      <c r="AW112" s="38"/>
      <c r="AX112" s="9">
        <v>0</v>
      </c>
      <c r="AY112" s="9">
        <v>0</v>
      </c>
      <c r="AZ112" s="38"/>
      <c r="BA112" s="9"/>
    </row>
    <row r="113" spans="1:53" s="11" customFormat="1" ht="54.75" customHeight="1">
      <c r="A113" s="53" t="s">
        <v>435</v>
      </c>
      <c r="B113" s="57" t="s">
        <v>436</v>
      </c>
      <c r="C113" s="53" t="s">
        <v>68</v>
      </c>
      <c r="D113" s="53" t="s">
        <v>165</v>
      </c>
      <c r="E113" s="53" t="s">
        <v>395</v>
      </c>
      <c r="F113" s="53" t="s">
        <v>395</v>
      </c>
      <c r="G113" s="53" t="s">
        <v>94</v>
      </c>
      <c r="H113" s="54">
        <v>16099999.999999998</v>
      </c>
      <c r="I113" s="54" t="e">
        <v>#N/A</v>
      </c>
      <c r="J113" s="54">
        <f>PR[[#This Row],[التكلفة (المحدثه)  شاملة الضريبة]]-K113</f>
        <v>0</v>
      </c>
      <c r="K113" s="54">
        <v>16100000</v>
      </c>
      <c r="L113" s="61">
        <v>16099999.999999998</v>
      </c>
      <c r="M113" s="43" t="s">
        <v>72</v>
      </c>
      <c r="N113" s="55" t="s">
        <v>152</v>
      </c>
      <c r="O113" s="45" t="s">
        <v>142</v>
      </c>
      <c r="P113" s="76" t="s">
        <v>75</v>
      </c>
      <c r="Q113" s="293"/>
      <c r="R113" s="244" t="s">
        <v>6</v>
      </c>
      <c r="S113" s="228">
        <v>45749</v>
      </c>
      <c r="T113" s="229">
        <v>45779</v>
      </c>
      <c r="U113" s="245">
        <v>45779</v>
      </c>
      <c r="V113" s="246">
        <v>45809</v>
      </c>
      <c r="W113" s="228">
        <v>45809</v>
      </c>
      <c r="X113" s="229">
        <v>45869</v>
      </c>
      <c r="Y113" s="245">
        <f>PR[[#This Row],[تاريخ نهاية المرحله.-]]+1</f>
        <v>45870</v>
      </c>
      <c r="Z113" s="231">
        <f>PR[[#This Row],[تاريخ بداية المرحله-.]]+90</f>
        <v>45960</v>
      </c>
      <c r="AA113" s="247">
        <f>PR[[#This Row],[تاريخ نهاية المرحله--]]+1</f>
        <v>45961</v>
      </c>
      <c r="AB113" s="248">
        <f>PR[[#This Row],[تاريخ بداية .المرحله]]+188</f>
        <v>46149</v>
      </c>
      <c r="AC113" s="247">
        <f>PR[[#This Row],[تاريخ. نهاية المرحله]]+1</f>
        <v>46150</v>
      </c>
      <c r="AD113" s="248">
        <f>PR[[#This Row],[.تاريخ بداية المرحله]] + ((PR[[#This Row],[مدة المشروع (شهر)]]*30)-55)</f>
        <v>46815</v>
      </c>
      <c r="AE113" s="280">
        <f>PR[[#This Row],[التكلفة (المحدثه)  شاملة الضريبة]]*0.9</f>
        <v>14489999.999999998</v>
      </c>
      <c r="AF113" s="247">
        <f>PR[[#This Row],[تاريخ. نهاية. المرحله]]+1</f>
        <v>46816</v>
      </c>
      <c r="AG113" s="248">
        <f>PR[[#This Row],[تاريخ بداية.. المرحله..]]+28</f>
        <v>46844</v>
      </c>
      <c r="AH113" s="280">
        <f>PR[[#This Row],[التكلفة (المحدثه)  شاملة الضريبة]]*0.1</f>
        <v>1610000</v>
      </c>
      <c r="AI113" s="247">
        <f>PR[[#This Row],[تاريخ ..نهاية المرحله.]]+1</f>
        <v>46845</v>
      </c>
      <c r="AJ113" s="248">
        <f>PR[[#This Row],[.تاريخ بداية المرحله]]+729</f>
        <v>46879</v>
      </c>
      <c r="AK113" s="8" t="s">
        <v>6</v>
      </c>
      <c r="AL113" s="28" t="s">
        <v>152</v>
      </c>
      <c r="AM113" s="31" t="s">
        <v>144</v>
      </c>
      <c r="AN113" s="9" t="s">
        <v>76</v>
      </c>
      <c r="AO113" s="10"/>
      <c r="AP113" s="9">
        <v>0</v>
      </c>
      <c r="AQ113" s="10"/>
      <c r="AR113" s="16" t="s">
        <v>437</v>
      </c>
      <c r="AS113" s="29" t="s">
        <v>146</v>
      </c>
      <c r="AT113" s="28" t="s">
        <v>147</v>
      </c>
      <c r="AU113" s="37">
        <v>0</v>
      </c>
      <c r="AV113" s="38"/>
      <c r="AW113" s="38"/>
      <c r="AX113" s="9"/>
      <c r="AY113" s="9"/>
      <c r="AZ113" s="38"/>
      <c r="BA113" s="9" t="s">
        <v>438</v>
      </c>
    </row>
    <row r="114" spans="1:53" s="11" customFormat="1" ht="54.75" customHeight="1">
      <c r="A114" s="53" t="s">
        <v>439</v>
      </c>
      <c r="B114" s="57" t="s">
        <v>440</v>
      </c>
      <c r="C114" s="53" t="s">
        <v>68</v>
      </c>
      <c r="D114" s="53" t="s">
        <v>165</v>
      </c>
      <c r="E114" s="53" t="s">
        <v>395</v>
      </c>
      <c r="F114" s="53" t="s">
        <v>395</v>
      </c>
      <c r="G114" s="53" t="s">
        <v>86</v>
      </c>
      <c r="H114" s="54">
        <v>9200000</v>
      </c>
      <c r="I114" s="54" t="e">
        <v>#N/A</v>
      </c>
      <c r="J114" s="54">
        <f>PR[[#This Row],[التكلفة (المحدثه)  شاملة الضريبة]]-K114</f>
        <v>0</v>
      </c>
      <c r="K114" s="54">
        <v>9200000</v>
      </c>
      <c r="L114" s="61">
        <v>9200000</v>
      </c>
      <c r="M114" s="43" t="s">
        <v>72</v>
      </c>
      <c r="N114" s="55" t="s">
        <v>152</v>
      </c>
      <c r="O114" s="45" t="s">
        <v>142</v>
      </c>
      <c r="P114" s="76" t="s">
        <v>441</v>
      </c>
      <c r="Q114" s="293"/>
      <c r="R114" s="244" t="s">
        <v>6</v>
      </c>
      <c r="S114" s="228">
        <v>45633</v>
      </c>
      <c r="T114" s="229">
        <v>45663</v>
      </c>
      <c r="U114" s="245">
        <v>45663</v>
      </c>
      <c r="V114" s="246">
        <v>45693</v>
      </c>
      <c r="W114" s="228">
        <v>45809</v>
      </c>
      <c r="X114" s="229">
        <v>45869</v>
      </c>
      <c r="Y114" s="245">
        <f>PR[[#This Row],[تاريخ نهاية المرحله.-]]+1</f>
        <v>45870</v>
      </c>
      <c r="Z114" s="231">
        <f>PR[[#This Row],[تاريخ بداية المرحله-.]]+90</f>
        <v>45960</v>
      </c>
      <c r="AA114" s="247">
        <f>PR[[#This Row],[تاريخ نهاية المرحله--]]+1</f>
        <v>45961</v>
      </c>
      <c r="AB114" s="248">
        <f>PR[[#This Row],[تاريخ بداية .المرحله]]+188</f>
        <v>46149</v>
      </c>
      <c r="AC114" s="247">
        <f>PR[[#This Row],[تاريخ. نهاية المرحله]]+1</f>
        <v>46150</v>
      </c>
      <c r="AD114" s="248">
        <f>PR[[#This Row],[.تاريخ بداية المرحله]] + ((PR[[#This Row],[مدة المشروع (شهر)]]*30)-27)</f>
        <v>46303</v>
      </c>
      <c r="AE114" s="280">
        <f>PR[[#This Row],[التكلفة (المحدثه)  شاملة الضريبة]]*0.9</f>
        <v>8280000</v>
      </c>
      <c r="AF114" s="247">
        <f>PR[[#This Row],[تاريخ. نهاية. المرحله]]+1</f>
        <v>46304</v>
      </c>
      <c r="AG114" s="248">
        <f>PR[[#This Row],[تاريخ بداية.. المرحله..]]+14</f>
        <v>46318</v>
      </c>
      <c r="AH114" s="280">
        <f>PR[[#This Row],[التكلفة (المحدثه)  شاملة الضريبة]]*0.1</f>
        <v>920000</v>
      </c>
      <c r="AI114" s="247">
        <f>PR[[#This Row],[تاريخ ..نهاية المرحله.]]+1</f>
        <v>46319</v>
      </c>
      <c r="AJ114" s="248">
        <f>PR[[#This Row],[.تاريخ بداية المرحله]]+183</f>
        <v>46333</v>
      </c>
      <c r="AK114" s="8" t="s">
        <v>6</v>
      </c>
      <c r="AL114" s="28" t="s">
        <v>152</v>
      </c>
      <c r="AM114" s="339" t="s">
        <v>144</v>
      </c>
      <c r="AN114" s="9" t="s">
        <v>76</v>
      </c>
      <c r="AO114" s="10"/>
      <c r="AP114" s="9">
        <v>0</v>
      </c>
      <c r="AQ114" s="10"/>
      <c r="AR114" s="16" t="s">
        <v>442</v>
      </c>
      <c r="AS114" s="29" t="s">
        <v>146</v>
      </c>
      <c r="AT114" s="28" t="s">
        <v>147</v>
      </c>
      <c r="AU114" s="37">
        <v>0</v>
      </c>
      <c r="AV114" s="38"/>
      <c r="AW114" s="38"/>
      <c r="AX114" s="9"/>
      <c r="AY114" s="9"/>
      <c r="AZ114" s="38"/>
      <c r="BA114" s="9" t="s">
        <v>438</v>
      </c>
    </row>
    <row r="115" spans="1:53" s="11" customFormat="1" ht="54.75" customHeight="1">
      <c r="A115" s="53" t="s">
        <v>443</v>
      </c>
      <c r="B115" s="57" t="s">
        <v>444</v>
      </c>
      <c r="C115" s="53" t="s">
        <v>68</v>
      </c>
      <c r="D115" s="53" t="s">
        <v>165</v>
      </c>
      <c r="E115" s="53" t="s">
        <v>395</v>
      </c>
      <c r="F115" s="53" t="s">
        <v>395</v>
      </c>
      <c r="G115" s="53" t="s">
        <v>94</v>
      </c>
      <c r="H115" s="54">
        <v>18975000</v>
      </c>
      <c r="I115" s="54" t="e">
        <v>#N/A</v>
      </c>
      <c r="J115" s="54">
        <f>PR[[#This Row],[التكلفة (المحدثه)  شاملة الضريبة]]-K115</f>
        <v>0</v>
      </c>
      <c r="K115" s="54">
        <v>18975000</v>
      </c>
      <c r="L115" s="61">
        <v>18975000</v>
      </c>
      <c r="M115" s="43" t="s">
        <v>72</v>
      </c>
      <c r="N115" s="55" t="s">
        <v>152</v>
      </c>
      <c r="O115" s="45" t="s">
        <v>142</v>
      </c>
      <c r="P115" s="76" t="s">
        <v>111</v>
      </c>
      <c r="Q115" s="293"/>
      <c r="R115" s="244" t="s">
        <v>6</v>
      </c>
      <c r="S115" s="228">
        <v>45640</v>
      </c>
      <c r="T115" s="229">
        <v>45670</v>
      </c>
      <c r="U115" s="245">
        <v>45670</v>
      </c>
      <c r="V115" s="246">
        <v>45700</v>
      </c>
      <c r="W115" s="228">
        <v>45809</v>
      </c>
      <c r="X115" s="229">
        <v>45869</v>
      </c>
      <c r="Y115" s="245">
        <f>PR[[#This Row],[تاريخ نهاية المرحله.-]]+1</f>
        <v>45870</v>
      </c>
      <c r="Z115" s="231">
        <f>PR[[#This Row],[تاريخ بداية المرحله-.]]+90</f>
        <v>45960</v>
      </c>
      <c r="AA115" s="247">
        <f>PR[[#This Row],[تاريخ نهاية المرحله--]]+1</f>
        <v>45961</v>
      </c>
      <c r="AB115" s="248">
        <f>PR[[#This Row],[تاريخ بداية .المرحله]]+188</f>
        <v>46149</v>
      </c>
      <c r="AC115" s="247">
        <f>PR[[#This Row],[تاريخ. نهاية المرحله]]+1</f>
        <v>46150</v>
      </c>
      <c r="AD115" s="248">
        <f>PR[[#This Row],[.تاريخ بداية المرحله]] + ((PR[[#This Row],[مدة المشروع (شهر)]]*30)-27)</f>
        <v>46483</v>
      </c>
      <c r="AE115" s="280">
        <f>PR[[#This Row],[التكلفة (المحدثه)  شاملة الضريبة]]*0.9</f>
        <v>17077500</v>
      </c>
      <c r="AF115" s="247">
        <f>PR[[#This Row],[تاريخ. نهاية. المرحله]]+1</f>
        <v>46484</v>
      </c>
      <c r="AG115" s="248">
        <f>PR[[#This Row],[تاريخ بداية.. المرحله..]]+14</f>
        <v>46498</v>
      </c>
      <c r="AH115" s="280">
        <f>PR[[#This Row],[التكلفة (المحدثه)  شاملة الضريبة]]*0.1</f>
        <v>1897500</v>
      </c>
      <c r="AI115" s="247">
        <f>PR[[#This Row],[تاريخ ..نهاية المرحله.]]+1</f>
        <v>46499</v>
      </c>
      <c r="AJ115" s="248">
        <f>PR[[#This Row],[.تاريخ بداية المرحله]]+364</f>
        <v>46514</v>
      </c>
      <c r="AK115" s="8" t="s">
        <v>6</v>
      </c>
      <c r="AL115" s="28" t="s">
        <v>152</v>
      </c>
      <c r="AM115" s="339" t="s">
        <v>144</v>
      </c>
      <c r="AN115" s="9" t="s">
        <v>76</v>
      </c>
      <c r="AO115" s="10"/>
      <c r="AP115" s="9">
        <v>0</v>
      </c>
      <c r="AQ115" s="10"/>
      <c r="AR115" s="16" t="s">
        <v>445</v>
      </c>
      <c r="AS115" s="29" t="s">
        <v>146</v>
      </c>
      <c r="AT115" s="28" t="s">
        <v>147</v>
      </c>
      <c r="AU115" s="37">
        <v>0</v>
      </c>
      <c r="AV115" s="38"/>
      <c r="AW115" s="38"/>
      <c r="AX115" s="9"/>
      <c r="AY115" s="9"/>
      <c r="AZ115" s="38"/>
      <c r="BA115" s="9" t="s">
        <v>438</v>
      </c>
    </row>
    <row r="116" spans="1:53" s="11" customFormat="1" ht="54.75" customHeight="1">
      <c r="A116" s="53" t="s">
        <v>446</v>
      </c>
      <c r="B116" s="57" t="s">
        <v>447</v>
      </c>
      <c r="C116" s="53" t="s">
        <v>68</v>
      </c>
      <c r="D116" s="53" t="s">
        <v>165</v>
      </c>
      <c r="E116" s="53" t="s">
        <v>395</v>
      </c>
      <c r="F116" s="53" t="s">
        <v>395</v>
      </c>
      <c r="G116" s="53" t="s">
        <v>94</v>
      </c>
      <c r="H116" s="54">
        <v>16864235</v>
      </c>
      <c r="I116" s="54" t="e">
        <v>#N/A</v>
      </c>
      <c r="J116" s="54">
        <f>PR[[#This Row],[التكلفة (المحدثه)  شاملة الضريبة]]-K116</f>
        <v>0</v>
      </c>
      <c r="K116" s="54">
        <v>16861530</v>
      </c>
      <c r="L116" s="61">
        <v>16861530</v>
      </c>
      <c r="M116" s="43" t="s">
        <v>72</v>
      </c>
      <c r="N116" s="55" t="s">
        <v>199</v>
      </c>
      <c r="O116" s="45" t="s">
        <v>142</v>
      </c>
      <c r="P116" s="75">
        <v>12</v>
      </c>
      <c r="Q116" s="295"/>
      <c r="R116" s="77" t="s">
        <v>7</v>
      </c>
      <c r="S116" s="228">
        <v>45457</v>
      </c>
      <c r="T116" s="229">
        <v>45487</v>
      </c>
      <c r="U116" s="245">
        <v>45487</v>
      </c>
      <c r="V116" s="246">
        <v>45508</v>
      </c>
      <c r="W116" s="228">
        <f>PR[[#This Row],[تاريخ نهاية المرحله…]]+1</f>
        <v>45509</v>
      </c>
      <c r="X116" s="229">
        <f>PR[[#This Row],[تاريخ بداية المرحله-.]]-1</f>
        <v>45526</v>
      </c>
      <c r="Y116" s="245">
        <v>45527</v>
      </c>
      <c r="Z116" s="246">
        <v>45564</v>
      </c>
      <c r="AA116" s="247">
        <v>45589</v>
      </c>
      <c r="AB116" s="248">
        <f>PR[[#This Row],[تاريخ بداية .المرحله]]+188</f>
        <v>45777</v>
      </c>
      <c r="AC116" s="247">
        <f>PR[[#This Row],[تاريخ. نهاية المرحله]]+1</f>
        <v>45778</v>
      </c>
      <c r="AD116" s="248">
        <f>PR[[#This Row],[.تاريخ بداية المرحله]] + ((PR[[#This Row],[مدة المشروع (شهر)]]*30)-27)</f>
        <v>46111</v>
      </c>
      <c r="AE116" s="280">
        <f>PR[[#This Row],[التكلفة (المحدثه)  شاملة الضريبة]]*0.9</f>
        <v>15175377</v>
      </c>
      <c r="AF116" s="247">
        <f>PR[[#This Row],[تاريخ. نهاية. المرحله]]+1</f>
        <v>46112</v>
      </c>
      <c r="AG116" s="248">
        <f>PR[[#This Row],[تاريخ بداية.. المرحله..]]+14</f>
        <v>46126</v>
      </c>
      <c r="AH116" s="280">
        <f>PR[[#This Row],[التكلفة (المحدثه)  شاملة الضريبة]]*0.1</f>
        <v>1686153</v>
      </c>
      <c r="AI116" s="247">
        <f>PR[[#This Row],[تاريخ ..نهاية المرحله.]]+1</f>
        <v>46127</v>
      </c>
      <c r="AJ116" s="248">
        <f>PR[[#This Row],[.تاريخ بداية المرحله]]+364</f>
        <v>46142</v>
      </c>
      <c r="AK116" s="8" t="s">
        <v>7</v>
      </c>
      <c r="AL116" s="28" t="s">
        <v>199</v>
      </c>
      <c r="AM116" s="183" t="s">
        <v>158</v>
      </c>
      <c r="AN116" s="9" t="s">
        <v>159</v>
      </c>
      <c r="AO116" s="10"/>
      <c r="AP116" s="9" t="s">
        <v>160</v>
      </c>
      <c r="AQ116" s="10">
        <v>45581</v>
      </c>
      <c r="AR116" s="16" t="s">
        <v>448</v>
      </c>
      <c r="AS116" s="29" t="s">
        <v>146</v>
      </c>
      <c r="AT116" s="28" t="s">
        <v>201</v>
      </c>
      <c r="AU116" s="37">
        <v>0</v>
      </c>
      <c r="AV116" s="38">
        <v>45589</v>
      </c>
      <c r="AW116" s="38"/>
      <c r="AX116" s="9"/>
      <c r="AY116" s="9"/>
      <c r="AZ116" s="38"/>
      <c r="BA116" s="9"/>
    </row>
    <row r="117" spans="1:53" s="11" customFormat="1" ht="54.75" customHeight="1">
      <c r="A117" s="53" t="s">
        <v>449</v>
      </c>
      <c r="B117" s="57" t="s">
        <v>450</v>
      </c>
      <c r="C117" s="53" t="s">
        <v>68</v>
      </c>
      <c r="D117" s="53" t="s">
        <v>165</v>
      </c>
      <c r="E117" s="53" t="s">
        <v>395</v>
      </c>
      <c r="F117" s="53" t="s">
        <v>395</v>
      </c>
      <c r="G117" s="53" t="s">
        <v>86</v>
      </c>
      <c r="H117" s="54">
        <v>17250000</v>
      </c>
      <c r="I117" s="54" t="e">
        <v>#N/A</v>
      </c>
      <c r="J117" s="54">
        <f>PR[[#This Row],[التكلفة (المحدثه)  شاملة الضريبة]]-K117</f>
        <v>0</v>
      </c>
      <c r="K117" s="54">
        <v>14564899.5</v>
      </c>
      <c r="L117" s="61">
        <v>14564899.499999998</v>
      </c>
      <c r="M117" s="43" t="s">
        <v>72</v>
      </c>
      <c r="N117" s="43" t="s">
        <v>451</v>
      </c>
      <c r="O117" s="45" t="s">
        <v>142</v>
      </c>
      <c r="P117" s="75">
        <v>18</v>
      </c>
      <c r="Q117" s="295"/>
      <c r="R117" s="77" t="s">
        <v>7</v>
      </c>
      <c r="S117" s="228">
        <v>45479</v>
      </c>
      <c r="T117" s="229">
        <v>45509</v>
      </c>
      <c r="U117" s="245">
        <v>45509</v>
      </c>
      <c r="V117" s="246">
        <v>45529</v>
      </c>
      <c r="W117" s="228">
        <f>PR[[#This Row],[تاريخ نهاية المرحله…]]+1</f>
        <v>45530</v>
      </c>
      <c r="X117" s="229">
        <f>PR[[#This Row],[تاريخ بداية المرحله-.]]-1</f>
        <v>45548</v>
      </c>
      <c r="Y117" s="245">
        <v>45549</v>
      </c>
      <c r="Z117" s="246">
        <v>45593</v>
      </c>
      <c r="AA117" s="247">
        <v>45767</v>
      </c>
      <c r="AB117" s="248">
        <f>PR[[#This Row],[تاريخ بداية .المرحله]]+188</f>
        <v>45955</v>
      </c>
      <c r="AC117" s="247">
        <f>PR[[#This Row],[تاريخ. نهاية المرحله]]+1</f>
        <v>45956</v>
      </c>
      <c r="AD117" s="248">
        <f>PR[[#This Row],[.تاريخ بداية المرحله]] + ((PR[[#This Row],[مدة المشروع (شهر)]]*30)-28)</f>
        <v>46468</v>
      </c>
      <c r="AE117" s="280">
        <f>PR[[#This Row],[التكلفة (المحدثه)  شاملة الضريبة]]*0.9</f>
        <v>13108409.549999999</v>
      </c>
      <c r="AF117" s="247">
        <f>PR[[#This Row],[تاريخ. نهاية. المرحله]]+1</f>
        <v>46469</v>
      </c>
      <c r="AG117" s="248">
        <f>PR[[#This Row],[تاريخ بداية.. المرحله..]]+14</f>
        <v>46483</v>
      </c>
      <c r="AH117" s="280">
        <f>PR[[#This Row],[التكلفة (المحدثه)  شاملة الضريبة]]*0.1</f>
        <v>1456489.95</v>
      </c>
      <c r="AI117" s="247">
        <f>PR[[#This Row],[تاريخ ..نهاية المرحله.]]+1</f>
        <v>46484</v>
      </c>
      <c r="AJ117" s="248">
        <f>PR[[#This Row],[.تاريخ بداية المرحله]]+546</f>
        <v>46502</v>
      </c>
      <c r="AK117" s="8" t="s">
        <v>7</v>
      </c>
      <c r="AL117" s="29" t="s">
        <v>451</v>
      </c>
      <c r="AM117" s="183" t="s">
        <v>158</v>
      </c>
      <c r="AN117" s="9" t="s">
        <v>159</v>
      </c>
      <c r="AO117" s="10">
        <v>45628</v>
      </c>
      <c r="AP117" s="9">
        <v>602240310</v>
      </c>
      <c r="AQ117" s="10">
        <v>45638</v>
      </c>
      <c r="AR117" s="17" t="s">
        <v>452</v>
      </c>
      <c r="AS117" s="29" t="s">
        <v>146</v>
      </c>
      <c r="AT117" s="28" t="s">
        <v>451</v>
      </c>
      <c r="AU117" s="37">
        <v>14564899.499999998</v>
      </c>
      <c r="AV117" s="38">
        <v>45767</v>
      </c>
      <c r="AW117" s="38">
        <v>45833</v>
      </c>
      <c r="AX117" s="9">
        <v>601250119</v>
      </c>
      <c r="AY117" s="9" t="s">
        <v>453</v>
      </c>
      <c r="AZ117" s="38">
        <v>45914</v>
      </c>
      <c r="BA117" s="9"/>
    </row>
    <row r="118" spans="1:53" s="11" customFormat="1" ht="54.75" customHeight="1">
      <c r="A118" s="53" t="s">
        <v>454</v>
      </c>
      <c r="B118" s="57" t="s">
        <v>455</v>
      </c>
      <c r="C118" s="53" t="s">
        <v>68</v>
      </c>
      <c r="D118" s="53" t="s">
        <v>137</v>
      </c>
      <c r="E118" s="53" t="s">
        <v>395</v>
      </c>
      <c r="F118" s="53" t="s">
        <v>395</v>
      </c>
      <c r="G118" s="53" t="s">
        <v>94</v>
      </c>
      <c r="H118" s="54">
        <v>57500000</v>
      </c>
      <c r="I118" s="54" t="s">
        <v>156</v>
      </c>
      <c r="J118" s="54">
        <f>PR[[#This Row],[التكلفة (المحدثه)  شاملة الضريبة]]-K118</f>
        <v>0</v>
      </c>
      <c r="K118" s="54">
        <v>181121730.55000001</v>
      </c>
      <c r="L118" s="61">
        <v>181121730.54999998</v>
      </c>
      <c r="M118" s="43" t="s">
        <v>72</v>
      </c>
      <c r="N118" s="55" t="s">
        <v>161</v>
      </c>
      <c r="O118" s="45" t="s">
        <v>142</v>
      </c>
      <c r="P118" s="75" t="s">
        <v>87</v>
      </c>
      <c r="Q118" s="295"/>
      <c r="R118" s="77" t="s">
        <v>7</v>
      </c>
      <c r="S118" s="228">
        <v>45109</v>
      </c>
      <c r="T118" s="229">
        <v>45139</v>
      </c>
      <c r="U118" s="245">
        <v>45139</v>
      </c>
      <c r="V118" s="246">
        <v>45169</v>
      </c>
      <c r="W118" s="228">
        <v>45169</v>
      </c>
      <c r="X118" s="229">
        <v>45313</v>
      </c>
      <c r="Y118" s="245">
        <v>45400</v>
      </c>
      <c r="Z118" s="246">
        <v>45634</v>
      </c>
      <c r="AA118" s="247">
        <v>45825</v>
      </c>
      <c r="AB118" s="248">
        <f>PR[[#This Row],[تاريخ بداية .المرحله]]+188</f>
        <v>46013</v>
      </c>
      <c r="AC118" s="247">
        <f>PR[[#This Row],[تاريخ. نهاية المرحله]]+1</f>
        <v>46014</v>
      </c>
      <c r="AD118" s="248">
        <f>PR[[#This Row],[.تاريخ بداية المرحله]] + ((PR[[#This Row],[مدة المشروع (شهر)]]*30)-55)</f>
        <v>47039</v>
      </c>
      <c r="AE118" s="280">
        <f>PR[[#This Row],[التكلفة (المحدثه)  شاملة الضريبة]]*0.9</f>
        <v>163009557.49499997</v>
      </c>
      <c r="AF118" s="247">
        <f>PR[[#This Row],[تاريخ. نهاية. المرحله]]+1</f>
        <v>47040</v>
      </c>
      <c r="AG118" s="248">
        <f>PR[[#This Row],[تاريخ بداية.. المرحله..]]+28</f>
        <v>47068</v>
      </c>
      <c r="AH118" s="280">
        <f>PR[[#This Row],[التكلفة (المحدثه)  شاملة الضريبة]]*0.1</f>
        <v>18112173.055</v>
      </c>
      <c r="AI118" s="247">
        <f>PR[[#This Row],[تاريخ ..نهاية المرحله.]]+1</f>
        <v>47069</v>
      </c>
      <c r="AJ118" s="248">
        <f>PR[[#This Row],[.تاريخ بداية المرحله]]+1095</f>
        <v>47109</v>
      </c>
      <c r="AK118" s="8" t="s">
        <v>7</v>
      </c>
      <c r="AL118" s="28" t="s">
        <v>161</v>
      </c>
      <c r="AM118" s="183" t="s">
        <v>158</v>
      </c>
      <c r="AN118" s="9" t="s">
        <v>159</v>
      </c>
      <c r="AO118" s="10">
        <v>45792</v>
      </c>
      <c r="AP118" s="9" t="s">
        <v>160</v>
      </c>
      <c r="AQ118" s="10">
        <v>45803</v>
      </c>
      <c r="AR118" s="183" t="s">
        <v>161</v>
      </c>
      <c r="AS118" s="29" t="s">
        <v>146</v>
      </c>
      <c r="AT118" s="28" t="s">
        <v>185</v>
      </c>
      <c r="AU118" s="37">
        <v>0</v>
      </c>
      <c r="AV118" s="38">
        <v>45825</v>
      </c>
      <c r="AW118" s="38"/>
      <c r="AX118" s="9"/>
      <c r="AY118" s="9"/>
      <c r="AZ118" s="38"/>
      <c r="BA118" s="9" t="s">
        <v>178</v>
      </c>
    </row>
    <row r="119" spans="1:53" s="11" customFormat="1" ht="54.75" customHeight="1">
      <c r="A119" s="53" t="s">
        <v>456</v>
      </c>
      <c r="B119" s="57" t="s">
        <v>457</v>
      </c>
      <c r="C119" s="53" t="s">
        <v>68</v>
      </c>
      <c r="D119" s="53" t="s">
        <v>137</v>
      </c>
      <c r="E119" s="53" t="s">
        <v>395</v>
      </c>
      <c r="F119" s="53" t="s">
        <v>395</v>
      </c>
      <c r="G119" s="53" t="s">
        <v>86</v>
      </c>
      <c r="H119" s="54">
        <v>143750000</v>
      </c>
      <c r="I119" s="54" t="s">
        <v>258</v>
      </c>
      <c r="J119" s="54">
        <f>PR[[#This Row],[التكلفة (المحدثه)  شاملة الضريبة]]-K119</f>
        <v>0</v>
      </c>
      <c r="K119" s="54">
        <v>143750000</v>
      </c>
      <c r="L119" s="61">
        <v>143750000</v>
      </c>
      <c r="M119" s="43" t="s">
        <v>72</v>
      </c>
      <c r="N119" s="69" t="s">
        <v>458</v>
      </c>
      <c r="O119" s="45" t="s">
        <v>142</v>
      </c>
      <c r="P119" s="75" t="s">
        <v>87</v>
      </c>
      <c r="Q119" s="295"/>
      <c r="R119" s="77" t="s">
        <v>7</v>
      </c>
      <c r="S119" s="228">
        <v>45109</v>
      </c>
      <c r="T119" s="229">
        <v>45139</v>
      </c>
      <c r="U119" s="245">
        <v>45139</v>
      </c>
      <c r="V119" s="246">
        <v>45169</v>
      </c>
      <c r="W119" s="228">
        <v>45169</v>
      </c>
      <c r="X119" s="229">
        <v>45313</v>
      </c>
      <c r="Y119" s="245">
        <v>45370</v>
      </c>
      <c r="Z119" s="246">
        <v>45627</v>
      </c>
      <c r="AA119" s="247">
        <f>PR[[#This Row],[تاريخ نهاية المرحله--]]+1</f>
        <v>45628</v>
      </c>
      <c r="AB119" s="248">
        <f>PR[[#This Row],[تاريخ بداية .المرحله]]+188</f>
        <v>45816</v>
      </c>
      <c r="AC119" s="247">
        <f>PR[[#This Row],[تاريخ. نهاية المرحله]]+1</f>
        <v>45817</v>
      </c>
      <c r="AD119" s="248">
        <f>PR[[#This Row],[.تاريخ بداية المرحله]] + ((PR[[#This Row],[مدة المشروع (شهر)]]*30)-55)</f>
        <v>46842</v>
      </c>
      <c r="AE119" s="280">
        <f>PR[[#This Row],[التكلفة (المحدثه)  شاملة الضريبة]]*0.9</f>
        <v>129375000</v>
      </c>
      <c r="AF119" s="247">
        <f>PR[[#This Row],[تاريخ. نهاية. المرحله]]+1</f>
        <v>46843</v>
      </c>
      <c r="AG119" s="248">
        <f>PR[[#This Row],[تاريخ بداية.. المرحله..]]+28</f>
        <v>46871</v>
      </c>
      <c r="AH119" s="280">
        <f>PR[[#This Row],[التكلفة (المحدثه)  شاملة الضريبة]]*0.1</f>
        <v>14375000</v>
      </c>
      <c r="AI119" s="247">
        <f>PR[[#This Row],[تاريخ ..نهاية المرحله.]]+1</f>
        <v>46872</v>
      </c>
      <c r="AJ119" s="248">
        <f>PR[[#This Row],[.تاريخ بداية المرحله]]+1095</f>
        <v>46912</v>
      </c>
      <c r="AK119" s="8" t="s">
        <v>7</v>
      </c>
      <c r="AL119" s="31" t="s">
        <v>458</v>
      </c>
      <c r="AM119" s="183" t="s">
        <v>158</v>
      </c>
      <c r="AN119" s="9" t="s">
        <v>159</v>
      </c>
      <c r="AO119" s="10">
        <v>45858</v>
      </c>
      <c r="AP119" s="9" t="s">
        <v>160</v>
      </c>
      <c r="AQ119" s="10">
        <v>45859</v>
      </c>
      <c r="AR119" s="16" t="s">
        <v>459</v>
      </c>
      <c r="AS119" s="29" t="s">
        <v>146</v>
      </c>
      <c r="AT119" s="28" t="s">
        <v>460</v>
      </c>
      <c r="AU119" s="37">
        <v>0</v>
      </c>
      <c r="AV119" s="38"/>
      <c r="AW119" s="38"/>
      <c r="AX119" s="9"/>
      <c r="AY119" s="9"/>
      <c r="AZ119" s="38"/>
      <c r="BA119" s="9" t="s">
        <v>202</v>
      </c>
    </row>
    <row r="120" spans="1:53" s="11" customFormat="1" ht="54.75" customHeight="1">
      <c r="A120" s="56" t="s">
        <v>461</v>
      </c>
      <c r="B120" s="57" t="s">
        <v>462</v>
      </c>
      <c r="C120" s="53" t="s">
        <v>68</v>
      </c>
      <c r="D120" s="53" t="s">
        <v>137</v>
      </c>
      <c r="E120" s="53" t="s">
        <v>395</v>
      </c>
      <c r="F120" s="53" t="s">
        <v>395</v>
      </c>
      <c r="G120" s="53" t="s">
        <v>86</v>
      </c>
      <c r="H120" s="54">
        <v>138000000</v>
      </c>
      <c r="I120" s="54" t="s">
        <v>463</v>
      </c>
      <c r="J120" s="54">
        <f>PR[[#This Row],[التكلفة (المحدثه)  شاملة الضريبة]]-K120</f>
        <v>0</v>
      </c>
      <c r="K120" s="54">
        <v>103578492.09999999</v>
      </c>
      <c r="L120" s="61">
        <v>103578492.09999999</v>
      </c>
      <c r="M120" s="43" t="s">
        <v>72</v>
      </c>
      <c r="N120" s="55" t="s">
        <v>212</v>
      </c>
      <c r="O120" s="45" t="s">
        <v>142</v>
      </c>
      <c r="P120" s="75" t="s">
        <v>87</v>
      </c>
      <c r="Q120" s="295"/>
      <c r="R120" s="77" t="s">
        <v>7</v>
      </c>
      <c r="S120" s="228">
        <v>45109</v>
      </c>
      <c r="T120" s="229">
        <v>45139</v>
      </c>
      <c r="U120" s="245">
        <v>45139</v>
      </c>
      <c r="V120" s="246">
        <v>45169</v>
      </c>
      <c r="W120" s="228">
        <v>45169</v>
      </c>
      <c r="X120" s="229">
        <v>45313</v>
      </c>
      <c r="Y120" s="245">
        <v>45560</v>
      </c>
      <c r="Z120" s="246">
        <v>45638</v>
      </c>
      <c r="AA120" s="247">
        <v>45700</v>
      </c>
      <c r="AB120" s="248">
        <f>PR[[#This Row],[تاريخ بداية .المرحله]]+188</f>
        <v>45888</v>
      </c>
      <c r="AC120" s="247">
        <f>PR[[#This Row],[تاريخ. نهاية المرحله]]+1</f>
        <v>45889</v>
      </c>
      <c r="AD120" s="248">
        <f>PR[[#This Row],[.تاريخ بداية المرحله]] + ((PR[[#This Row],[مدة المشروع (شهر)]]*30)-55)</f>
        <v>46914</v>
      </c>
      <c r="AE120" s="280">
        <f>PR[[#This Row],[التكلفة (المحدثه)  شاملة الضريبة]]*0.9</f>
        <v>93220642.890000001</v>
      </c>
      <c r="AF120" s="247">
        <f>PR[[#This Row],[تاريخ. نهاية. المرحله]]+1</f>
        <v>46915</v>
      </c>
      <c r="AG120" s="248">
        <f>PR[[#This Row],[تاريخ بداية.. المرحله..]]+28</f>
        <v>46943</v>
      </c>
      <c r="AH120" s="280">
        <f>PR[[#This Row],[التكلفة (المحدثه)  شاملة الضريبة]]*0.1</f>
        <v>10357849.210000001</v>
      </c>
      <c r="AI120" s="247">
        <f>PR[[#This Row],[تاريخ ..نهاية المرحله.]]+1</f>
        <v>46944</v>
      </c>
      <c r="AJ120" s="248">
        <f>PR[[#This Row],[.تاريخ بداية المرحله]]+1095</f>
        <v>46984</v>
      </c>
      <c r="AK120" s="8" t="s">
        <v>7</v>
      </c>
      <c r="AL120" s="28" t="s">
        <v>212</v>
      </c>
      <c r="AM120" s="183" t="s">
        <v>158</v>
      </c>
      <c r="AN120" s="9" t="s">
        <v>159</v>
      </c>
      <c r="AO120" s="10">
        <v>45659</v>
      </c>
      <c r="AP120" s="9">
        <v>602250001</v>
      </c>
      <c r="AQ120" s="10">
        <v>45678</v>
      </c>
      <c r="AR120" s="16" t="s">
        <v>464</v>
      </c>
      <c r="AS120" s="29" t="s">
        <v>146</v>
      </c>
      <c r="AT120" s="28" t="s">
        <v>185</v>
      </c>
      <c r="AU120" s="37">
        <v>0</v>
      </c>
      <c r="AV120" s="38">
        <v>45700</v>
      </c>
      <c r="AW120" s="38"/>
      <c r="AX120" s="9"/>
      <c r="AY120" s="9"/>
      <c r="AZ120" s="38"/>
      <c r="BA120" s="9"/>
    </row>
    <row r="121" spans="1:53" s="11" customFormat="1" ht="54.75" customHeight="1">
      <c r="A121" s="53" t="s">
        <v>465</v>
      </c>
      <c r="B121" s="57" t="s">
        <v>466</v>
      </c>
      <c r="C121" s="53" t="s">
        <v>68</v>
      </c>
      <c r="D121" s="53" t="s">
        <v>137</v>
      </c>
      <c r="E121" s="53" t="s">
        <v>395</v>
      </c>
      <c r="F121" s="53" t="s">
        <v>395</v>
      </c>
      <c r="G121" s="53" t="s">
        <v>86</v>
      </c>
      <c r="H121" s="54">
        <v>90850000</v>
      </c>
      <c r="I121" s="54" t="s">
        <v>258</v>
      </c>
      <c r="J121" s="54">
        <f>PR[[#This Row],[التكلفة (المحدثه)  شاملة الضريبة]]-K121</f>
        <v>-4.0000081062316895E-3</v>
      </c>
      <c r="K121" s="54">
        <v>126259213.97</v>
      </c>
      <c r="L121" s="61">
        <v>126259213.96599999</v>
      </c>
      <c r="M121" s="43" t="s">
        <v>72</v>
      </c>
      <c r="N121" s="55" t="s">
        <v>157</v>
      </c>
      <c r="O121" s="45" t="s">
        <v>142</v>
      </c>
      <c r="P121" s="75" t="s">
        <v>87</v>
      </c>
      <c r="Q121" s="295"/>
      <c r="R121" s="77" t="s">
        <v>7</v>
      </c>
      <c r="S121" s="228">
        <v>45109</v>
      </c>
      <c r="T121" s="229">
        <v>45139</v>
      </c>
      <c r="U121" s="245">
        <v>45139</v>
      </c>
      <c r="V121" s="246">
        <v>45169</v>
      </c>
      <c r="W121" s="228">
        <v>45169</v>
      </c>
      <c r="X121" s="229">
        <v>45313</v>
      </c>
      <c r="Y121" s="245">
        <v>45370</v>
      </c>
      <c r="Z121" s="246">
        <v>45643</v>
      </c>
      <c r="AA121" s="247">
        <v>45733</v>
      </c>
      <c r="AB121" s="248">
        <f>PR[[#This Row],[تاريخ بداية .المرحله]]+188</f>
        <v>45921</v>
      </c>
      <c r="AC121" s="247">
        <f>PR[[#This Row],[تاريخ. نهاية المرحله]]+1</f>
        <v>45922</v>
      </c>
      <c r="AD121" s="248">
        <f>PR[[#This Row],[.تاريخ بداية المرحله]] + ((PR[[#This Row],[مدة المشروع (شهر)]]*30)-55)</f>
        <v>46947</v>
      </c>
      <c r="AE121" s="280">
        <f>PR[[#This Row],[التكلفة (المحدثه)  شاملة الضريبة]]*0.9</f>
        <v>113633292.5694</v>
      </c>
      <c r="AF121" s="247">
        <f>PR[[#This Row],[تاريخ. نهاية. المرحله]]+1</f>
        <v>46948</v>
      </c>
      <c r="AG121" s="248">
        <f>PR[[#This Row],[تاريخ بداية.. المرحله..]]+28</f>
        <v>46976</v>
      </c>
      <c r="AH121" s="280">
        <f>PR[[#This Row],[التكلفة (المحدثه)  شاملة الضريبة]]*0.1</f>
        <v>12625921.396600001</v>
      </c>
      <c r="AI121" s="247">
        <f>PR[[#This Row],[تاريخ ..نهاية المرحله.]]+1</f>
        <v>46977</v>
      </c>
      <c r="AJ121" s="248">
        <f>PR[[#This Row],[.تاريخ بداية المرحله]]+1095</f>
        <v>47017</v>
      </c>
      <c r="AK121" s="8" t="s">
        <v>7</v>
      </c>
      <c r="AL121" s="28" t="s">
        <v>157</v>
      </c>
      <c r="AM121" s="183" t="s">
        <v>158</v>
      </c>
      <c r="AN121" s="9" t="s">
        <v>159</v>
      </c>
      <c r="AO121" s="10">
        <v>45706</v>
      </c>
      <c r="AP121" s="9" t="s">
        <v>160</v>
      </c>
      <c r="AQ121" s="10">
        <v>45721</v>
      </c>
      <c r="AR121" s="183" t="s">
        <v>157</v>
      </c>
      <c r="AS121" s="29" t="s">
        <v>146</v>
      </c>
      <c r="AT121" s="28" t="s">
        <v>157</v>
      </c>
      <c r="AU121" s="37">
        <v>126259213.96599999</v>
      </c>
      <c r="AV121" s="38">
        <v>45733</v>
      </c>
      <c r="AW121" s="38"/>
      <c r="AX121" s="9"/>
      <c r="AY121" s="9" t="s">
        <v>467</v>
      </c>
      <c r="AZ121" s="38"/>
      <c r="BA121" s="9"/>
    </row>
    <row r="122" spans="1:53" s="11" customFormat="1" ht="69.95" customHeight="1">
      <c r="A122" s="56" t="s">
        <v>468</v>
      </c>
      <c r="B122" s="57" t="s">
        <v>469</v>
      </c>
      <c r="C122" s="53" t="s">
        <v>68</v>
      </c>
      <c r="D122" s="53" t="s">
        <v>137</v>
      </c>
      <c r="E122" s="53" t="s">
        <v>395</v>
      </c>
      <c r="F122" s="53" t="s">
        <v>395</v>
      </c>
      <c r="G122" s="53" t="s">
        <v>94</v>
      </c>
      <c r="H122" s="54">
        <v>97749999.999999985</v>
      </c>
      <c r="I122" s="54" t="s">
        <v>156</v>
      </c>
      <c r="J122" s="54">
        <f>PR[[#This Row],[التكلفة (المحدثه)  شاملة الضريبة]]-K122</f>
        <v>0</v>
      </c>
      <c r="K122" s="54">
        <v>253939383.47999999</v>
      </c>
      <c r="L122" s="61">
        <v>253939383.47999999</v>
      </c>
      <c r="M122" s="43" t="s">
        <v>72</v>
      </c>
      <c r="N122" s="55" t="s">
        <v>157</v>
      </c>
      <c r="O122" s="45" t="s">
        <v>142</v>
      </c>
      <c r="P122" s="75" t="s">
        <v>87</v>
      </c>
      <c r="Q122" s="295"/>
      <c r="R122" s="77" t="s">
        <v>7</v>
      </c>
      <c r="S122" s="228">
        <v>45109</v>
      </c>
      <c r="T122" s="229">
        <v>45139</v>
      </c>
      <c r="U122" s="245">
        <v>45139</v>
      </c>
      <c r="V122" s="246">
        <v>45169</v>
      </c>
      <c r="W122" s="228">
        <v>45169</v>
      </c>
      <c r="X122" s="229">
        <v>45313</v>
      </c>
      <c r="Y122" s="245">
        <v>45400</v>
      </c>
      <c r="Z122" s="246">
        <v>45739</v>
      </c>
      <c r="AA122" s="247">
        <v>45771</v>
      </c>
      <c r="AB122" s="248">
        <f>PR[[#This Row],[تاريخ بداية .المرحله]]+188</f>
        <v>45959</v>
      </c>
      <c r="AC122" s="247">
        <f>PR[[#This Row],[تاريخ. نهاية المرحله]]+1</f>
        <v>45960</v>
      </c>
      <c r="AD122" s="248">
        <f>PR[[#This Row],[.تاريخ بداية المرحله]] + ((PR[[#This Row],[مدة المشروع (شهر)]]*30)-55)</f>
        <v>46985</v>
      </c>
      <c r="AE122" s="280">
        <f>PR[[#This Row],[التكلفة (المحدثه)  شاملة الضريبة]]*0.9</f>
        <v>228545445.132</v>
      </c>
      <c r="AF122" s="247">
        <f>PR[[#This Row],[تاريخ. نهاية. المرحله]]+1</f>
        <v>46986</v>
      </c>
      <c r="AG122" s="248">
        <f>PR[[#This Row],[تاريخ بداية.. المرحله..]]+28</f>
        <v>47014</v>
      </c>
      <c r="AH122" s="280">
        <f>PR[[#This Row],[التكلفة (المحدثه)  شاملة الضريبة]]*0.1</f>
        <v>25393938.348000001</v>
      </c>
      <c r="AI122" s="247">
        <f>PR[[#This Row],[تاريخ ..نهاية المرحله.]]+1</f>
        <v>47015</v>
      </c>
      <c r="AJ122" s="248">
        <f>PR[[#This Row],[.تاريخ بداية المرحله]]+1095</f>
        <v>47055</v>
      </c>
      <c r="AK122" s="8" t="s">
        <v>7</v>
      </c>
      <c r="AL122" s="28" t="s">
        <v>212</v>
      </c>
      <c r="AM122" s="183" t="s">
        <v>158</v>
      </c>
      <c r="AN122" s="9" t="s">
        <v>159</v>
      </c>
      <c r="AO122" s="10">
        <v>45754</v>
      </c>
      <c r="AP122" s="9">
        <v>0</v>
      </c>
      <c r="AQ122" s="10">
        <v>45761</v>
      </c>
      <c r="AR122" s="16" t="s">
        <v>470</v>
      </c>
      <c r="AS122" s="29" t="s">
        <v>146</v>
      </c>
      <c r="AT122" s="28" t="s">
        <v>185</v>
      </c>
      <c r="AU122" s="37">
        <v>0</v>
      </c>
      <c r="AV122" s="38">
        <v>45771</v>
      </c>
      <c r="AW122" s="38"/>
      <c r="AX122" s="9"/>
      <c r="AY122" s="9"/>
      <c r="AZ122" s="38"/>
      <c r="BA122" s="9"/>
    </row>
    <row r="123" spans="1:53" s="11" customFormat="1" ht="69.95" customHeight="1">
      <c r="A123" s="53" t="s">
        <v>471</v>
      </c>
      <c r="B123" s="57" t="s">
        <v>472</v>
      </c>
      <c r="C123" s="53" t="s">
        <v>68</v>
      </c>
      <c r="D123" s="53" t="s">
        <v>165</v>
      </c>
      <c r="E123" s="53" t="s">
        <v>395</v>
      </c>
      <c r="F123" s="53" t="s">
        <v>395</v>
      </c>
      <c r="G123" s="53" t="s">
        <v>86</v>
      </c>
      <c r="H123" s="54">
        <v>25300000</v>
      </c>
      <c r="I123" s="54" t="e">
        <v>#N/A</v>
      </c>
      <c r="J123" s="54">
        <f>PR[[#This Row],[التكلفة (المحدثه)  شاملة الضريبة]]-K123</f>
        <v>0</v>
      </c>
      <c r="K123" s="54">
        <v>25300000</v>
      </c>
      <c r="L123" s="61">
        <v>25300000</v>
      </c>
      <c r="M123" s="43" t="s">
        <v>72</v>
      </c>
      <c r="N123" s="61" t="s">
        <v>473</v>
      </c>
      <c r="O123" s="68" t="s">
        <v>74</v>
      </c>
      <c r="P123" s="180">
        <v>15</v>
      </c>
      <c r="Q123" s="290"/>
      <c r="R123" s="77" t="s">
        <v>7</v>
      </c>
      <c r="S123" s="228">
        <v>45622</v>
      </c>
      <c r="T123" s="229">
        <v>45652</v>
      </c>
      <c r="U123" s="245">
        <v>45652</v>
      </c>
      <c r="V123" s="246">
        <v>45676</v>
      </c>
      <c r="W123" s="228">
        <f>PR[[#This Row],[تاريخ نهاية المرحله…]]+1</f>
        <v>45677</v>
      </c>
      <c r="X123" s="229">
        <f>PR[[#This Row],[تاريخ بداية المرحله-.]]-1</f>
        <v>45700</v>
      </c>
      <c r="Y123" s="245">
        <v>45701</v>
      </c>
      <c r="Z123" s="246">
        <v>45739</v>
      </c>
      <c r="AA123" s="247">
        <v>45831</v>
      </c>
      <c r="AB123" s="235">
        <f>PR[[#This Row],[تاريخ بداية .المرحله]]+188</f>
        <v>46019</v>
      </c>
      <c r="AC123" s="234">
        <f>PR[[#This Row],[تاريخ. نهاية المرحله]]+1</f>
        <v>46020</v>
      </c>
      <c r="AD123" s="235">
        <f>PR[[#This Row],[.تاريخ بداية المرحله]] + ((PR[[#This Row],[مدة المشروع (شهر)]]*30)-28)</f>
        <v>46442</v>
      </c>
      <c r="AE123" s="278">
        <f>PR[[#This Row],[التكلفة (المحدثه)  شاملة الضريبة]]*0.9</f>
        <v>22770000</v>
      </c>
      <c r="AF123" s="234">
        <f>PR[[#This Row],[تاريخ. نهاية. المرحله]]+1</f>
        <v>46443</v>
      </c>
      <c r="AG123" s="235">
        <f>PR[[#This Row],[تاريخ بداية.. المرحله..]]+14</f>
        <v>46457</v>
      </c>
      <c r="AH123" s="278">
        <f>PR[[#This Row],[التكلفة (المحدثه)  شاملة الضريبة]]*0.1</f>
        <v>2530000</v>
      </c>
      <c r="AI123" s="232">
        <f>PR[[#This Row],[تاريخ ..نهاية المرحله.]]+1</f>
        <v>46458</v>
      </c>
      <c r="AJ123" s="233">
        <f>PR[[#This Row],[.تاريخ بداية المرحله]]+455</f>
        <v>46475</v>
      </c>
      <c r="AK123" s="8" t="s">
        <v>7</v>
      </c>
      <c r="AL123" s="32" t="s">
        <v>473</v>
      </c>
      <c r="AM123" s="23" t="s">
        <v>74</v>
      </c>
      <c r="AN123" s="9" t="s">
        <v>159</v>
      </c>
      <c r="AO123" s="10"/>
      <c r="AP123" s="12">
        <v>602250218</v>
      </c>
      <c r="AQ123" s="10">
        <v>45797</v>
      </c>
      <c r="AR123" s="16" t="s">
        <v>474</v>
      </c>
      <c r="AS123" s="29" t="s">
        <v>78</v>
      </c>
      <c r="AT123" s="28" t="s">
        <v>157</v>
      </c>
      <c r="AU123" s="37"/>
      <c r="AV123" s="38">
        <v>45831</v>
      </c>
      <c r="AW123" s="38"/>
      <c r="AX123" s="9">
        <v>0</v>
      </c>
      <c r="AY123" s="9">
        <v>0</v>
      </c>
      <c r="AZ123" s="38"/>
      <c r="BA123" s="9"/>
    </row>
    <row r="124" spans="1:53" s="11" customFormat="1" ht="69.95" customHeight="1">
      <c r="A124" s="53" t="s">
        <v>475</v>
      </c>
      <c r="B124" s="57" t="s">
        <v>476</v>
      </c>
      <c r="C124" s="53" t="s">
        <v>68</v>
      </c>
      <c r="D124" s="53" t="s">
        <v>137</v>
      </c>
      <c r="E124" s="53" t="s">
        <v>395</v>
      </c>
      <c r="F124" s="53" t="s">
        <v>411</v>
      </c>
      <c r="G124" s="53" t="s">
        <v>86</v>
      </c>
      <c r="H124" s="54">
        <v>43700000</v>
      </c>
      <c r="I124" s="54" t="s">
        <v>258</v>
      </c>
      <c r="J124" s="54">
        <f>PR[[#This Row],[التكلفة (المحدثه)  شاملة الضريبة]]-K124</f>
        <v>0</v>
      </c>
      <c r="K124" s="54">
        <v>43700000</v>
      </c>
      <c r="L124" s="61">
        <v>43700000</v>
      </c>
      <c r="M124" s="43" t="s">
        <v>72</v>
      </c>
      <c r="N124" s="55" t="s">
        <v>207</v>
      </c>
      <c r="O124" s="45" t="s">
        <v>142</v>
      </c>
      <c r="P124" s="75" t="s">
        <v>75</v>
      </c>
      <c r="Q124" s="295"/>
      <c r="R124" s="77" t="s">
        <v>7</v>
      </c>
      <c r="S124" s="228">
        <v>45109</v>
      </c>
      <c r="T124" s="229">
        <v>45139</v>
      </c>
      <c r="U124" s="245">
        <v>45139</v>
      </c>
      <c r="V124" s="246">
        <v>45169</v>
      </c>
      <c r="W124" s="228">
        <v>45169</v>
      </c>
      <c r="X124" s="229">
        <v>45313</v>
      </c>
      <c r="Y124" s="245">
        <v>45370</v>
      </c>
      <c r="Z124" s="246">
        <v>45805</v>
      </c>
      <c r="AA124" s="247">
        <v>45894</v>
      </c>
      <c r="AB124" s="248">
        <f>PR[[#This Row],[تاريخ بداية .المرحله]]+188</f>
        <v>46082</v>
      </c>
      <c r="AC124" s="247">
        <f>PR[[#This Row],[تاريخ. نهاية المرحله]]+1</f>
        <v>46083</v>
      </c>
      <c r="AD124" s="248">
        <f>PR[[#This Row],[.تاريخ بداية المرحله]] + ((PR[[#This Row],[مدة المشروع (شهر)]]*30)-55)</f>
        <v>46748</v>
      </c>
      <c r="AE124" s="280">
        <f>PR[[#This Row],[التكلفة (المحدثه)  شاملة الضريبة]]*0.9</f>
        <v>39330000</v>
      </c>
      <c r="AF124" s="247">
        <f>PR[[#This Row],[تاريخ. نهاية. المرحله]]+1</f>
        <v>46749</v>
      </c>
      <c r="AG124" s="248">
        <f>PR[[#This Row],[تاريخ بداية.. المرحله..]]+28</f>
        <v>46777</v>
      </c>
      <c r="AH124" s="280">
        <f>PR[[#This Row],[التكلفة (المحدثه)  شاملة الضريبة]]*0.1</f>
        <v>4370000</v>
      </c>
      <c r="AI124" s="247">
        <f>PR[[#This Row],[تاريخ ..نهاية المرحله.]]+1</f>
        <v>46778</v>
      </c>
      <c r="AJ124" s="248">
        <f>PR[[#This Row],[.تاريخ بداية المرحله]]+730</f>
        <v>46813</v>
      </c>
      <c r="AK124" s="8" t="s">
        <v>7</v>
      </c>
      <c r="AL124" s="28" t="s">
        <v>226</v>
      </c>
      <c r="AM124" s="183" t="s">
        <v>158</v>
      </c>
      <c r="AN124" s="9" t="s">
        <v>159</v>
      </c>
      <c r="AO124" s="10">
        <v>45848</v>
      </c>
      <c r="AP124" s="9" t="s">
        <v>160</v>
      </c>
      <c r="AQ124" s="10">
        <v>45860</v>
      </c>
      <c r="AR124" s="16" t="s">
        <v>477</v>
      </c>
      <c r="AS124" s="29" t="s">
        <v>146</v>
      </c>
      <c r="AT124" s="28" t="s">
        <v>226</v>
      </c>
      <c r="AU124" s="37">
        <v>0</v>
      </c>
      <c r="AV124" s="38">
        <v>45894</v>
      </c>
      <c r="AW124" s="38"/>
      <c r="AX124" s="9"/>
      <c r="AY124" s="9"/>
      <c r="AZ124" s="38"/>
      <c r="BA124" s="9"/>
    </row>
    <row r="125" spans="1:53" s="11" customFormat="1" ht="69.95" customHeight="1">
      <c r="A125" s="58" t="s">
        <v>478</v>
      </c>
      <c r="B125" s="57" t="s">
        <v>479</v>
      </c>
      <c r="C125" s="53" t="s">
        <v>68</v>
      </c>
      <c r="D125" s="53" t="s">
        <v>165</v>
      </c>
      <c r="E125" s="53" t="s">
        <v>395</v>
      </c>
      <c r="F125" s="53" t="s">
        <v>424</v>
      </c>
      <c r="G125" s="53" t="s">
        <v>94</v>
      </c>
      <c r="H125" s="59">
        <v>22000000</v>
      </c>
      <c r="I125" s="59" t="e">
        <v>#N/A</v>
      </c>
      <c r="J125" s="59">
        <f>PR[[#This Row],[التكلفة (المحدثه)  شاملة الضريبة]]-K125</f>
        <v>0</v>
      </c>
      <c r="K125" s="59">
        <v>18862003</v>
      </c>
      <c r="L125" s="61">
        <v>18862003</v>
      </c>
      <c r="M125" s="44" t="s">
        <v>140</v>
      </c>
      <c r="N125" s="71" t="s">
        <v>480</v>
      </c>
      <c r="O125" s="45" t="s">
        <v>142</v>
      </c>
      <c r="P125" s="75" t="s">
        <v>75</v>
      </c>
      <c r="Q125" s="295"/>
      <c r="R125" s="78" t="s">
        <v>7</v>
      </c>
      <c r="S125" s="228">
        <v>45710</v>
      </c>
      <c r="T125" s="229">
        <v>45740</v>
      </c>
      <c r="U125" s="245">
        <v>45740</v>
      </c>
      <c r="V125" s="246">
        <v>45760</v>
      </c>
      <c r="W125" s="228">
        <f>PR[[#This Row],[تاريخ نهاية المرحله…]]+1</f>
        <v>45761</v>
      </c>
      <c r="X125" s="229">
        <f>PR[[#This Row],[تاريخ بداية المرحله-.]]-1</f>
        <v>45758</v>
      </c>
      <c r="Y125" s="245">
        <v>45759</v>
      </c>
      <c r="Z125" s="246">
        <v>45804</v>
      </c>
      <c r="AA125" s="247">
        <v>46006</v>
      </c>
      <c r="AB125" s="248">
        <f>PR[[#This Row],[تاريخ بداية .المرحله]]+188</f>
        <v>46194</v>
      </c>
      <c r="AC125" s="247">
        <f>PR[[#This Row],[تاريخ. نهاية المرحله]]+1</f>
        <v>46195</v>
      </c>
      <c r="AD125" s="248">
        <f>PR[[#This Row],[.تاريخ بداية المرحله]] + ((PR[[#This Row],[مدة المشروع (شهر)]]*30)-55)</f>
        <v>46860</v>
      </c>
      <c r="AE125" s="280">
        <f>PR[[#This Row],[التكلفة (المحدثه)  شاملة الضريبة]]*0.9</f>
        <v>16975802.699999999</v>
      </c>
      <c r="AF125" s="247">
        <f>PR[[#This Row],[تاريخ. نهاية. المرحله]]+1</f>
        <v>46861</v>
      </c>
      <c r="AG125" s="248">
        <f>PR[[#This Row],[تاريخ بداية.. المرحله..]]+28</f>
        <v>46889</v>
      </c>
      <c r="AH125" s="280">
        <f>PR[[#This Row],[التكلفة (المحدثه)  شاملة الضريبة]]*0.1</f>
        <v>1886200.3</v>
      </c>
      <c r="AI125" s="247">
        <f>PR[[#This Row],[تاريخ ..نهاية المرحله.]]+1</f>
        <v>46890</v>
      </c>
      <c r="AJ125" s="248">
        <f>PR[[#This Row],[.تاريخ بداية المرحله]]+730</f>
        <v>46925</v>
      </c>
      <c r="AK125" s="8" t="s">
        <v>7</v>
      </c>
      <c r="AL125" s="33" t="s">
        <v>480</v>
      </c>
      <c r="AM125" s="183" t="s">
        <v>158</v>
      </c>
      <c r="AN125" s="9" t="s">
        <v>262</v>
      </c>
      <c r="AO125" s="10">
        <v>45858</v>
      </c>
      <c r="AP125" s="9" t="s">
        <v>160</v>
      </c>
      <c r="AQ125" s="10"/>
      <c r="AR125" s="16" t="s">
        <v>481</v>
      </c>
      <c r="AS125" s="29" t="s">
        <v>146</v>
      </c>
      <c r="AT125" s="28" t="s">
        <v>147</v>
      </c>
      <c r="AU125" s="37">
        <v>0</v>
      </c>
      <c r="AV125" s="38"/>
      <c r="AW125" s="38"/>
      <c r="AX125" s="9"/>
      <c r="AY125" s="9"/>
      <c r="AZ125" s="38"/>
      <c r="BA125" s="9"/>
    </row>
    <row r="126" spans="1:53" s="11" customFormat="1" ht="69.95" customHeight="1">
      <c r="A126" s="53" t="s">
        <v>482</v>
      </c>
      <c r="B126" s="57" t="s">
        <v>483</v>
      </c>
      <c r="C126" s="53" t="s">
        <v>68</v>
      </c>
      <c r="D126" s="53" t="s">
        <v>137</v>
      </c>
      <c r="E126" s="53" t="s">
        <v>395</v>
      </c>
      <c r="F126" s="53" t="s">
        <v>395</v>
      </c>
      <c r="G126" s="53" t="s">
        <v>94</v>
      </c>
      <c r="H126" s="54">
        <v>38495186.25</v>
      </c>
      <c r="I126" s="54" t="s">
        <v>151</v>
      </c>
      <c r="J126" s="54">
        <f>PR[[#This Row],[التكلفة (المحدثه)  شاملة الضريبة]]-K126</f>
        <v>0</v>
      </c>
      <c r="K126" s="54">
        <v>76314828</v>
      </c>
      <c r="L126" s="61">
        <v>76314828</v>
      </c>
      <c r="M126" s="43" t="s">
        <v>72</v>
      </c>
      <c r="N126" s="69" t="s">
        <v>157</v>
      </c>
      <c r="O126" s="45" t="s">
        <v>142</v>
      </c>
      <c r="P126" s="75" t="s">
        <v>75</v>
      </c>
      <c r="Q126" s="295"/>
      <c r="R126" s="77" t="s">
        <v>7</v>
      </c>
      <c r="S126" s="228">
        <v>45109</v>
      </c>
      <c r="T126" s="229">
        <v>45139</v>
      </c>
      <c r="U126" s="245">
        <v>45139</v>
      </c>
      <c r="V126" s="246">
        <v>45169</v>
      </c>
      <c r="W126" s="228">
        <v>45169</v>
      </c>
      <c r="X126" s="229">
        <v>45313</v>
      </c>
      <c r="Y126" s="245">
        <v>45370</v>
      </c>
      <c r="Z126" s="246">
        <v>45564</v>
      </c>
      <c r="AA126" s="247">
        <v>45665</v>
      </c>
      <c r="AB126" s="248">
        <f>PR[[#This Row],[تاريخ بداية .المرحله]]+188</f>
        <v>45853</v>
      </c>
      <c r="AC126" s="247">
        <f>PR[[#This Row],[تاريخ. نهاية المرحله]]+1</f>
        <v>45854</v>
      </c>
      <c r="AD126" s="248">
        <f>PR[[#This Row],[.تاريخ بداية المرحله]] + ((PR[[#This Row],[مدة المشروع (شهر)]]*30)-55)</f>
        <v>46519</v>
      </c>
      <c r="AE126" s="280">
        <f>PR[[#This Row],[التكلفة (المحدثه)  شاملة الضريبة]]*0.9</f>
        <v>68683345.200000003</v>
      </c>
      <c r="AF126" s="247">
        <f>PR[[#This Row],[تاريخ. نهاية. المرحله]]+1</f>
        <v>46520</v>
      </c>
      <c r="AG126" s="248">
        <f>PR[[#This Row],[تاريخ بداية.. المرحله..]]+28</f>
        <v>46548</v>
      </c>
      <c r="AH126" s="280">
        <f>PR[[#This Row],[التكلفة (المحدثه)  شاملة الضريبة]]*0.1</f>
        <v>7631482.8000000007</v>
      </c>
      <c r="AI126" s="247">
        <f>PR[[#This Row],[تاريخ ..نهاية المرحله.]]+1</f>
        <v>46549</v>
      </c>
      <c r="AJ126" s="248">
        <f>PR[[#This Row],[.تاريخ بداية المرحله]]+729</f>
        <v>46583</v>
      </c>
      <c r="AK126" s="8" t="s">
        <v>7</v>
      </c>
      <c r="AL126" s="30" t="s">
        <v>157</v>
      </c>
      <c r="AM126" s="183" t="s">
        <v>158</v>
      </c>
      <c r="AN126" s="9" t="s">
        <v>159</v>
      </c>
      <c r="AO126" s="10">
        <v>45587</v>
      </c>
      <c r="AP126" s="9" t="s">
        <v>160</v>
      </c>
      <c r="AQ126" s="10">
        <v>45588</v>
      </c>
      <c r="AR126" s="16" t="s">
        <v>484</v>
      </c>
      <c r="AS126" s="29" t="s">
        <v>146</v>
      </c>
      <c r="AT126" s="28" t="s">
        <v>157</v>
      </c>
      <c r="AU126" s="37">
        <v>47610000</v>
      </c>
      <c r="AV126" s="38">
        <v>45665</v>
      </c>
      <c r="AW126" s="38"/>
      <c r="AX126" s="9"/>
      <c r="AY126" s="9" t="s">
        <v>485</v>
      </c>
      <c r="AZ126" s="38"/>
      <c r="BA126" s="9"/>
    </row>
    <row r="127" spans="1:53" s="11" customFormat="1" ht="69.95" customHeight="1">
      <c r="A127" s="53" t="s">
        <v>486</v>
      </c>
      <c r="B127" s="57" t="s">
        <v>487</v>
      </c>
      <c r="C127" s="53" t="s">
        <v>68</v>
      </c>
      <c r="D127" s="53" t="s">
        <v>137</v>
      </c>
      <c r="E127" s="53" t="s">
        <v>395</v>
      </c>
      <c r="F127" s="53" t="s">
        <v>488</v>
      </c>
      <c r="G127" s="53" t="s">
        <v>86</v>
      </c>
      <c r="H127" s="54">
        <v>11566700</v>
      </c>
      <c r="I127" s="54" t="s">
        <v>156</v>
      </c>
      <c r="J127" s="54">
        <f>PR[[#This Row],[التكلفة (المحدثه)  شاملة الضريبة]]-K127</f>
        <v>0</v>
      </c>
      <c r="K127" s="54">
        <v>18518631.699999999</v>
      </c>
      <c r="L127" s="61">
        <v>18518631.699999999</v>
      </c>
      <c r="M127" s="43" t="s">
        <v>72</v>
      </c>
      <c r="N127" s="55" t="s">
        <v>157</v>
      </c>
      <c r="O127" s="45" t="s">
        <v>142</v>
      </c>
      <c r="P127" s="75" t="s">
        <v>111</v>
      </c>
      <c r="Q127" s="295"/>
      <c r="R127" s="77" t="s">
        <v>7</v>
      </c>
      <c r="S127" s="228">
        <v>45109</v>
      </c>
      <c r="T127" s="229">
        <v>45139</v>
      </c>
      <c r="U127" s="245">
        <v>45139</v>
      </c>
      <c r="V127" s="246">
        <v>45169</v>
      </c>
      <c r="W127" s="228">
        <v>45169</v>
      </c>
      <c r="X127" s="229">
        <v>45313</v>
      </c>
      <c r="Y127" s="245">
        <v>45400</v>
      </c>
      <c r="Z127" s="246">
        <v>45543</v>
      </c>
      <c r="AA127" s="247">
        <v>45566</v>
      </c>
      <c r="AB127" s="248">
        <f>PR[[#This Row],[تاريخ بداية .المرحله]]+188</f>
        <v>45754</v>
      </c>
      <c r="AC127" s="247">
        <f>PR[[#This Row],[تاريخ. نهاية المرحله]]+1</f>
        <v>45755</v>
      </c>
      <c r="AD127" s="248">
        <f>PR[[#This Row],[.تاريخ بداية المرحله]] + ((PR[[#This Row],[مدة المشروع (شهر)]]*30)-28)</f>
        <v>46087</v>
      </c>
      <c r="AE127" s="280">
        <f>PR[[#This Row],[التكلفة (المحدثه)  شاملة الضريبة]]*0.9</f>
        <v>16666768.529999999</v>
      </c>
      <c r="AF127" s="247">
        <f>PR[[#This Row],[تاريخ. نهاية. المرحله]]+1</f>
        <v>46088</v>
      </c>
      <c r="AG127" s="248">
        <f>PR[[#This Row],[تاريخ بداية.. المرحله..]]+14</f>
        <v>46102</v>
      </c>
      <c r="AH127" s="280">
        <f>PR[[#This Row],[التكلفة (المحدثه)  شاملة الضريبة]]*0.1</f>
        <v>1851863.17</v>
      </c>
      <c r="AI127" s="247">
        <f>PR[[#This Row],[تاريخ ..نهاية المرحله.]]+1</f>
        <v>46103</v>
      </c>
      <c r="AJ127" s="248">
        <f>PR[[#This Row],[.تاريخ بداية المرحله]]+364</f>
        <v>46119</v>
      </c>
      <c r="AK127" s="8" t="s">
        <v>7</v>
      </c>
      <c r="AL127" s="28" t="s">
        <v>157</v>
      </c>
      <c r="AM127" s="183" t="s">
        <v>158</v>
      </c>
      <c r="AN127" s="9" t="s">
        <v>159</v>
      </c>
      <c r="AO127" s="10">
        <v>45832</v>
      </c>
      <c r="AP127" s="9">
        <v>602250246</v>
      </c>
      <c r="AQ127" s="10">
        <v>45840</v>
      </c>
      <c r="AR127" s="183" t="s">
        <v>157</v>
      </c>
      <c r="AS127" s="29" t="s">
        <v>146</v>
      </c>
      <c r="AT127" s="28" t="s">
        <v>185</v>
      </c>
      <c r="AU127" s="37">
        <v>18518631.699999999</v>
      </c>
      <c r="AV127" s="38">
        <v>45566</v>
      </c>
      <c r="AW127" s="38"/>
      <c r="AX127" s="9">
        <v>601250138</v>
      </c>
      <c r="AY127" s="9" t="s">
        <v>489</v>
      </c>
      <c r="AZ127" s="38"/>
      <c r="BA127" s="9"/>
    </row>
    <row r="128" spans="1:53" s="11" customFormat="1" ht="69.95" customHeight="1">
      <c r="A128" s="53" t="s">
        <v>490</v>
      </c>
      <c r="B128" s="57" t="s">
        <v>491</v>
      </c>
      <c r="C128" s="53" t="s">
        <v>68</v>
      </c>
      <c r="D128" s="53" t="s">
        <v>165</v>
      </c>
      <c r="E128" s="53" t="s">
        <v>395</v>
      </c>
      <c r="F128" s="53" t="s">
        <v>395</v>
      </c>
      <c r="G128" s="53" t="s">
        <v>86</v>
      </c>
      <c r="H128" s="54">
        <v>29393999.999999996</v>
      </c>
      <c r="I128" s="54" t="e">
        <v>#N/A</v>
      </c>
      <c r="J128" s="54">
        <f>PR[[#This Row],[التكلفة (المحدثه)  شاملة الضريبة]]-K128</f>
        <v>0</v>
      </c>
      <c r="K128" s="54">
        <v>42908570</v>
      </c>
      <c r="L128" s="61">
        <v>42908570</v>
      </c>
      <c r="M128" s="43" t="s">
        <v>72</v>
      </c>
      <c r="N128" s="55" t="s">
        <v>219</v>
      </c>
      <c r="O128" s="45" t="s">
        <v>142</v>
      </c>
      <c r="P128" s="75" t="s">
        <v>75</v>
      </c>
      <c r="Q128" s="295"/>
      <c r="R128" s="77" t="s">
        <v>7</v>
      </c>
      <c r="S128" s="228">
        <v>45297</v>
      </c>
      <c r="T128" s="229">
        <v>45327</v>
      </c>
      <c r="U128" s="245">
        <v>45327</v>
      </c>
      <c r="V128" s="246">
        <v>45342</v>
      </c>
      <c r="W128" s="228">
        <f>PR[[#This Row],[تاريخ نهاية المرحله…]]+1</f>
        <v>45343</v>
      </c>
      <c r="X128" s="229">
        <f>PR[[#This Row],[تاريخ بداية المرحله-.]]-1</f>
        <v>45498</v>
      </c>
      <c r="Y128" s="245">
        <v>45499</v>
      </c>
      <c r="Z128" s="246">
        <v>45544</v>
      </c>
      <c r="AA128" s="247">
        <v>45564</v>
      </c>
      <c r="AB128" s="248">
        <f>PR[[#This Row],[تاريخ بداية .المرحله]]+188</f>
        <v>45752</v>
      </c>
      <c r="AC128" s="247">
        <f>PR[[#This Row],[تاريخ. نهاية المرحله]]+1</f>
        <v>45753</v>
      </c>
      <c r="AD128" s="248">
        <f>PR[[#This Row],[.تاريخ بداية المرحله]] + ((PR[[#This Row],[مدة المشروع (شهر)]]*30)-55)</f>
        <v>46418</v>
      </c>
      <c r="AE128" s="280">
        <f>PR[[#This Row],[التكلفة (المحدثه)  شاملة الضريبة]]*0.9</f>
        <v>38617713</v>
      </c>
      <c r="AF128" s="247">
        <f>PR[[#This Row],[تاريخ. نهاية. المرحله]]+1</f>
        <v>46419</v>
      </c>
      <c r="AG128" s="248">
        <f>PR[[#This Row],[تاريخ بداية.. المرحله..]]+28</f>
        <v>46447</v>
      </c>
      <c r="AH128" s="280">
        <f>PR[[#This Row],[التكلفة (المحدثه)  شاملة الضريبة]]*0.1</f>
        <v>4290857</v>
      </c>
      <c r="AI128" s="247">
        <f>PR[[#This Row],[تاريخ ..نهاية المرحله.]]+1</f>
        <v>46448</v>
      </c>
      <c r="AJ128" s="248">
        <f>PR[[#This Row],[.تاريخ بداية المرحله]]+729</f>
        <v>46482</v>
      </c>
      <c r="AK128" s="8" t="s">
        <v>7</v>
      </c>
      <c r="AL128" s="28" t="s">
        <v>278</v>
      </c>
      <c r="AM128" s="183" t="s">
        <v>158</v>
      </c>
      <c r="AN128" s="9" t="s">
        <v>159</v>
      </c>
      <c r="AO128" s="10">
        <v>45832</v>
      </c>
      <c r="AP128" s="9">
        <v>602250251</v>
      </c>
      <c r="AQ128" s="10">
        <v>45866</v>
      </c>
      <c r="AR128" s="42" t="s">
        <v>492</v>
      </c>
      <c r="AS128" s="29" t="s">
        <v>146</v>
      </c>
      <c r="AT128" s="28" t="s">
        <v>279</v>
      </c>
      <c r="AU128" s="37">
        <v>42908570</v>
      </c>
      <c r="AV128" s="38">
        <v>45564</v>
      </c>
      <c r="AW128" s="38">
        <v>45880</v>
      </c>
      <c r="AX128" s="9">
        <v>601250165</v>
      </c>
      <c r="AY128" s="9" t="s">
        <v>493</v>
      </c>
      <c r="AZ128" s="38"/>
      <c r="BA128" s="9"/>
    </row>
    <row r="129" spans="1:53" s="11" customFormat="1" ht="69.95" customHeight="1">
      <c r="A129" s="53" t="s">
        <v>494</v>
      </c>
      <c r="B129" s="57" t="s">
        <v>495</v>
      </c>
      <c r="C129" s="53" t="s">
        <v>68</v>
      </c>
      <c r="D129" s="53" t="s">
        <v>137</v>
      </c>
      <c r="E129" s="53" t="s">
        <v>395</v>
      </c>
      <c r="F129" s="53" t="s">
        <v>488</v>
      </c>
      <c r="G129" s="53" t="s">
        <v>94</v>
      </c>
      <c r="H129" s="54">
        <v>25667999.999999996</v>
      </c>
      <c r="I129" s="54" t="s">
        <v>151</v>
      </c>
      <c r="J129" s="54">
        <f>PR[[#This Row],[التكلفة (المحدثه)  شاملة الضريبة]]-K129</f>
        <v>0</v>
      </c>
      <c r="K129" s="54">
        <v>36973800.649999999</v>
      </c>
      <c r="L129" s="61">
        <v>36973800.649999999</v>
      </c>
      <c r="M129" s="43" t="s">
        <v>72</v>
      </c>
      <c r="N129" s="55" t="s">
        <v>157</v>
      </c>
      <c r="O129" s="45" t="s">
        <v>142</v>
      </c>
      <c r="P129" s="75" t="s">
        <v>75</v>
      </c>
      <c r="Q129" s="295"/>
      <c r="R129" s="77" t="s">
        <v>7</v>
      </c>
      <c r="S129" s="228">
        <v>45109</v>
      </c>
      <c r="T129" s="229">
        <v>45139</v>
      </c>
      <c r="U129" s="245">
        <v>45139</v>
      </c>
      <c r="V129" s="246">
        <v>45169</v>
      </c>
      <c r="W129" s="228">
        <v>45169</v>
      </c>
      <c r="X129" s="229">
        <v>45313</v>
      </c>
      <c r="Y129" s="245">
        <v>45370</v>
      </c>
      <c r="Z129" s="246">
        <v>45564</v>
      </c>
      <c r="AA129" s="247">
        <v>45761</v>
      </c>
      <c r="AB129" s="248">
        <f>PR[[#This Row],[تاريخ بداية .المرحله]]+188</f>
        <v>45949</v>
      </c>
      <c r="AC129" s="247">
        <f>PR[[#This Row],[تاريخ. نهاية المرحله]]+1</f>
        <v>45950</v>
      </c>
      <c r="AD129" s="248">
        <f>PR[[#This Row],[.تاريخ بداية المرحله]] + ((PR[[#This Row],[مدة المشروع (شهر)]]*30)-55)</f>
        <v>46615</v>
      </c>
      <c r="AE129" s="280">
        <f>PR[[#This Row],[التكلفة (المحدثه)  شاملة الضريبة]]*0.9</f>
        <v>33276420.585000001</v>
      </c>
      <c r="AF129" s="247">
        <f>PR[[#This Row],[تاريخ. نهاية. المرحله]]+1</f>
        <v>46616</v>
      </c>
      <c r="AG129" s="248">
        <f>PR[[#This Row],[تاريخ بداية.. المرحله..]]+28</f>
        <v>46644</v>
      </c>
      <c r="AH129" s="280">
        <f>PR[[#This Row],[التكلفة (المحدثه)  شاملة الضريبة]]*0.1</f>
        <v>3697380.0649999999</v>
      </c>
      <c r="AI129" s="247">
        <f>PR[[#This Row],[تاريخ ..نهاية المرحله.]]+1</f>
        <v>46645</v>
      </c>
      <c r="AJ129" s="248">
        <f>PR[[#This Row],[.تاريخ بداية المرحله]]+729</f>
        <v>46679</v>
      </c>
      <c r="AK129" s="8" t="s">
        <v>7</v>
      </c>
      <c r="AL129" s="28" t="s">
        <v>157</v>
      </c>
      <c r="AM129" s="183" t="s">
        <v>158</v>
      </c>
      <c r="AN129" s="9" t="s">
        <v>159</v>
      </c>
      <c r="AO129" s="10">
        <v>45713</v>
      </c>
      <c r="AP129" s="9" t="s">
        <v>160</v>
      </c>
      <c r="AQ129" s="10">
        <v>45738</v>
      </c>
      <c r="AR129" s="183" t="s">
        <v>157</v>
      </c>
      <c r="AS129" s="29" t="s">
        <v>146</v>
      </c>
      <c r="AT129" s="28" t="s">
        <v>185</v>
      </c>
      <c r="AU129" s="37">
        <v>0</v>
      </c>
      <c r="AV129" s="38">
        <v>45761</v>
      </c>
      <c r="AW129" s="38"/>
      <c r="AX129" s="9"/>
      <c r="AY129" s="9"/>
      <c r="AZ129" s="38"/>
      <c r="BA129" s="9"/>
    </row>
    <row r="130" spans="1:53" s="11" customFormat="1" ht="69.95" customHeight="1">
      <c r="A130" s="53" t="s">
        <v>496</v>
      </c>
      <c r="B130" s="57" t="s">
        <v>497</v>
      </c>
      <c r="C130" s="53" t="s">
        <v>68</v>
      </c>
      <c r="D130" s="53" t="s">
        <v>165</v>
      </c>
      <c r="E130" s="53" t="s">
        <v>395</v>
      </c>
      <c r="F130" s="53" t="s">
        <v>395</v>
      </c>
      <c r="G130" s="53" t="s">
        <v>86</v>
      </c>
      <c r="H130" s="54">
        <v>23000000</v>
      </c>
      <c r="I130" s="54" t="e">
        <v>#N/A</v>
      </c>
      <c r="J130" s="54">
        <f>PR[[#This Row],[التكلفة (المحدثه)  شاملة الضريبة]]-K130</f>
        <v>0</v>
      </c>
      <c r="K130" s="54">
        <v>46497039.200000003</v>
      </c>
      <c r="L130" s="61">
        <v>46497039.199999996</v>
      </c>
      <c r="M130" s="43" t="s">
        <v>72</v>
      </c>
      <c r="N130" s="55" t="s">
        <v>219</v>
      </c>
      <c r="O130" s="45" t="s">
        <v>142</v>
      </c>
      <c r="P130" s="75" t="s">
        <v>75</v>
      </c>
      <c r="Q130" s="295"/>
      <c r="R130" s="77" t="s">
        <v>7</v>
      </c>
      <c r="S130" s="228">
        <v>45297</v>
      </c>
      <c r="T130" s="229">
        <v>45327</v>
      </c>
      <c r="U130" s="245">
        <v>45327</v>
      </c>
      <c r="V130" s="246">
        <v>45342</v>
      </c>
      <c r="W130" s="228">
        <f>PR[[#This Row],[تاريخ نهاية المرحله…]]+1</f>
        <v>45343</v>
      </c>
      <c r="X130" s="229">
        <f>PR[[#This Row],[تاريخ بداية المرحله-.]]-1</f>
        <v>45463</v>
      </c>
      <c r="Y130" s="245">
        <v>45464</v>
      </c>
      <c r="Z130" s="246">
        <v>45509</v>
      </c>
      <c r="AA130" s="247">
        <v>45567</v>
      </c>
      <c r="AB130" s="248">
        <f>PR[[#This Row],[تاريخ بداية .المرحله]]+188</f>
        <v>45755</v>
      </c>
      <c r="AC130" s="247">
        <f>PR[[#This Row],[تاريخ. نهاية المرحله]]+1</f>
        <v>45756</v>
      </c>
      <c r="AD130" s="248">
        <f>PR[[#This Row],[.تاريخ بداية المرحله]] + ((PR[[#This Row],[مدة المشروع (شهر)]]*30)-55)</f>
        <v>46421</v>
      </c>
      <c r="AE130" s="280">
        <f>PR[[#This Row],[التكلفة (المحدثه)  شاملة الضريبة]]*0.9</f>
        <v>41847335.279999994</v>
      </c>
      <c r="AF130" s="247">
        <f>PR[[#This Row],[تاريخ. نهاية. المرحله]]+1</f>
        <v>46422</v>
      </c>
      <c r="AG130" s="248">
        <f>PR[[#This Row],[تاريخ بداية.. المرحله..]]+28</f>
        <v>46450</v>
      </c>
      <c r="AH130" s="280">
        <f>PR[[#This Row],[التكلفة (المحدثه)  شاملة الضريبة]]*0.1</f>
        <v>4649703.92</v>
      </c>
      <c r="AI130" s="247">
        <f>PR[[#This Row],[تاريخ ..نهاية المرحله.]]+1</f>
        <v>46451</v>
      </c>
      <c r="AJ130" s="248">
        <f>PR[[#This Row],[.تاريخ بداية المرحله]]+729</f>
        <v>46485</v>
      </c>
      <c r="AK130" s="8" t="s">
        <v>7</v>
      </c>
      <c r="AL130" s="28" t="s">
        <v>278</v>
      </c>
      <c r="AM130" s="183" t="s">
        <v>158</v>
      </c>
      <c r="AN130" s="9" t="s">
        <v>159</v>
      </c>
      <c r="AO130" s="10">
        <v>45832</v>
      </c>
      <c r="AP130" s="9">
        <v>602250247</v>
      </c>
      <c r="AQ130" s="10">
        <v>45482</v>
      </c>
      <c r="AR130" s="16" t="s">
        <v>279</v>
      </c>
      <c r="AS130" s="29" t="s">
        <v>146</v>
      </c>
      <c r="AT130" s="28" t="s">
        <v>279</v>
      </c>
      <c r="AU130" s="37">
        <v>46497039.199999996</v>
      </c>
      <c r="AV130" s="38">
        <v>45567</v>
      </c>
      <c r="AW130" s="38">
        <v>45859</v>
      </c>
      <c r="AX130" s="9">
        <v>601250143</v>
      </c>
      <c r="AY130" s="9" t="s">
        <v>498</v>
      </c>
      <c r="AZ130" s="38"/>
      <c r="BA130" s="9"/>
    </row>
    <row r="131" spans="1:53" s="11" customFormat="1" ht="69.95" customHeight="1">
      <c r="A131" s="53" t="s">
        <v>499</v>
      </c>
      <c r="B131" s="57" t="s">
        <v>500</v>
      </c>
      <c r="C131" s="53" t="s">
        <v>68</v>
      </c>
      <c r="D131" s="53" t="s">
        <v>165</v>
      </c>
      <c r="E131" s="53" t="s">
        <v>395</v>
      </c>
      <c r="F131" s="53" t="s">
        <v>488</v>
      </c>
      <c r="G131" s="53" t="s">
        <v>94</v>
      </c>
      <c r="H131" s="59">
        <v>40233007.549999997</v>
      </c>
      <c r="I131" s="59" t="e">
        <v>#N/A</v>
      </c>
      <c r="J131" s="59">
        <f>PR[[#This Row],[التكلفة (المحدثه)  شاملة الضريبة]]-K131</f>
        <v>0</v>
      </c>
      <c r="K131" s="59">
        <v>40233007.549999997</v>
      </c>
      <c r="L131" s="61">
        <v>40233007.549999997</v>
      </c>
      <c r="M131" s="43" t="s">
        <v>387</v>
      </c>
      <c r="N131" s="70" t="s">
        <v>501</v>
      </c>
      <c r="O131" s="45" t="s">
        <v>142</v>
      </c>
      <c r="P131" s="75" t="s">
        <v>75</v>
      </c>
      <c r="Q131" s="295"/>
      <c r="R131" s="77" t="s">
        <v>7</v>
      </c>
      <c r="S131" s="228">
        <v>45125</v>
      </c>
      <c r="T131" s="229">
        <v>45155</v>
      </c>
      <c r="U131" s="245">
        <v>45155</v>
      </c>
      <c r="V131" s="246">
        <v>45185</v>
      </c>
      <c r="W131" s="228">
        <f>PR[[#This Row],[تاريخ نهاية المرحله…]]+1</f>
        <v>45186</v>
      </c>
      <c r="X131" s="229">
        <f>PR[[#This Row],[تاريخ بداية المرحله-.]]-1</f>
        <v>45214</v>
      </c>
      <c r="Y131" s="245">
        <v>45215</v>
      </c>
      <c r="Z131" s="246">
        <v>45260</v>
      </c>
      <c r="AA131" s="247">
        <v>45963</v>
      </c>
      <c r="AB131" s="248">
        <f>PR[[#This Row],[تاريخ بداية .المرحله]]+188</f>
        <v>46151</v>
      </c>
      <c r="AC131" s="247">
        <f>PR[[#This Row],[تاريخ. نهاية المرحله]]+1</f>
        <v>46152</v>
      </c>
      <c r="AD131" s="248">
        <f>PR[[#This Row],[.تاريخ بداية المرحله]] + ((PR[[#This Row],[مدة المشروع (شهر)]]*30)-55)</f>
        <v>46817</v>
      </c>
      <c r="AE131" s="280">
        <f>PR[[#This Row],[التكلفة (المحدثه)  شاملة الضريبة]]*0.9</f>
        <v>36209706.795000002</v>
      </c>
      <c r="AF131" s="247">
        <f>PR[[#This Row],[تاريخ. نهاية. المرحله]]+1</f>
        <v>46818</v>
      </c>
      <c r="AG131" s="248">
        <f>PR[[#This Row],[تاريخ بداية.. المرحله..]]+28</f>
        <v>46846</v>
      </c>
      <c r="AH131" s="280">
        <f>PR[[#This Row],[التكلفة (المحدثه)  شاملة الضريبة]]*0.1</f>
        <v>4023300.7549999999</v>
      </c>
      <c r="AI131" s="247">
        <f>PR[[#This Row],[تاريخ ..نهاية المرحله.]]+1</f>
        <v>46847</v>
      </c>
      <c r="AJ131" s="248">
        <f>PR[[#This Row],[.تاريخ بداية المرحله]]+730</f>
        <v>46882</v>
      </c>
      <c r="AK131" s="8" t="s">
        <v>7</v>
      </c>
      <c r="AL131" s="28" t="s">
        <v>501</v>
      </c>
      <c r="AM131" s="183" t="s">
        <v>501</v>
      </c>
      <c r="AN131" s="9" t="s">
        <v>159</v>
      </c>
      <c r="AO131" s="10">
        <v>45419</v>
      </c>
      <c r="AP131" s="9">
        <v>602240177</v>
      </c>
      <c r="AQ131" s="10">
        <v>45419</v>
      </c>
      <c r="AR131" s="16" t="s">
        <v>502</v>
      </c>
      <c r="AS131" s="29" t="s">
        <v>146</v>
      </c>
      <c r="AT131" s="28" t="s">
        <v>267</v>
      </c>
      <c r="AU131" s="37">
        <v>40233007.553999998</v>
      </c>
      <c r="AV131" s="38">
        <v>45280</v>
      </c>
      <c r="AW131" s="38">
        <v>45428</v>
      </c>
      <c r="AX131" s="9">
        <v>601240095</v>
      </c>
      <c r="AY131" s="9" t="s">
        <v>334</v>
      </c>
      <c r="AZ131" s="38">
        <v>45454</v>
      </c>
      <c r="BA131" s="9"/>
    </row>
    <row r="132" spans="1:53" s="11" customFormat="1" ht="69.95" customHeight="1">
      <c r="A132" s="53" t="s">
        <v>503</v>
      </c>
      <c r="B132" s="57" t="s">
        <v>504</v>
      </c>
      <c r="C132" s="53" t="s">
        <v>68</v>
      </c>
      <c r="D132" s="53" t="s">
        <v>137</v>
      </c>
      <c r="E132" s="53" t="s">
        <v>395</v>
      </c>
      <c r="F132" s="53" t="s">
        <v>395</v>
      </c>
      <c r="G132" s="53" t="s">
        <v>94</v>
      </c>
      <c r="H132" s="54">
        <v>68712500</v>
      </c>
      <c r="I132" s="54" t="s">
        <v>156</v>
      </c>
      <c r="J132" s="54">
        <f>PR[[#This Row],[التكلفة (المحدثه)  شاملة الضريبة]]-K132</f>
        <v>0</v>
      </c>
      <c r="K132" s="54">
        <v>19030257.5</v>
      </c>
      <c r="L132" s="312">
        <v>19030257.5</v>
      </c>
      <c r="M132" s="43" t="s">
        <v>72</v>
      </c>
      <c r="N132" s="55" t="s">
        <v>267</v>
      </c>
      <c r="O132" s="45" t="s">
        <v>142</v>
      </c>
      <c r="P132" s="45"/>
      <c r="Q132" s="298">
        <v>19030257.5</v>
      </c>
      <c r="R132" s="77" t="s">
        <v>268</v>
      </c>
      <c r="S132" s="154">
        <v>45109</v>
      </c>
      <c r="T132" s="155">
        <v>45139</v>
      </c>
      <c r="U132" s="156">
        <v>45139</v>
      </c>
      <c r="V132" s="157">
        <v>45169</v>
      </c>
      <c r="W132" s="154">
        <v>45169</v>
      </c>
      <c r="X132" s="155">
        <v>45313</v>
      </c>
      <c r="Y132" s="156">
        <v>45400</v>
      </c>
      <c r="Z132" s="157">
        <v>45593</v>
      </c>
      <c r="AA132" s="154">
        <v>45631</v>
      </c>
      <c r="AB132" s="158">
        <v>45803</v>
      </c>
      <c r="AC132" s="160">
        <v>45910</v>
      </c>
      <c r="AD132" s="159">
        <v>46903</v>
      </c>
      <c r="AE132" s="285">
        <f>PR[[#This Row],[التكلفة (المحدثه)  شاملة الضريبة]]*0.9</f>
        <v>17127231.75</v>
      </c>
      <c r="AF132" s="160">
        <v>45997</v>
      </c>
      <c r="AG132" s="159">
        <v>46889</v>
      </c>
      <c r="AH132" s="301">
        <f>PR[[#This Row],[التكلفة (المحدثه)  شاملة الضريبة]]*0.1</f>
        <v>1903025.75</v>
      </c>
      <c r="AI132" s="160">
        <v>46904</v>
      </c>
      <c r="AJ132" s="159">
        <v>46918</v>
      </c>
      <c r="AK132" s="8" t="s">
        <v>268</v>
      </c>
      <c r="AL132" s="28" t="s">
        <v>267</v>
      </c>
      <c r="AM132" s="183" t="s">
        <v>267</v>
      </c>
      <c r="AN132" s="9" t="s">
        <v>159</v>
      </c>
      <c r="AO132" s="10">
        <v>45615</v>
      </c>
      <c r="AP132" s="9">
        <v>602240307</v>
      </c>
      <c r="AQ132" s="10">
        <v>45616</v>
      </c>
      <c r="AR132" s="16" t="s">
        <v>267</v>
      </c>
      <c r="AS132" s="29" t="s">
        <v>146</v>
      </c>
      <c r="AT132" s="29" t="s">
        <v>451</v>
      </c>
      <c r="AU132" s="37">
        <v>19030257.5</v>
      </c>
      <c r="AV132" s="38">
        <v>45631</v>
      </c>
      <c r="AW132" s="38">
        <v>45760</v>
      </c>
      <c r="AX132" s="9">
        <v>601250072</v>
      </c>
      <c r="AY132" s="9" t="s">
        <v>505</v>
      </c>
      <c r="AZ132" s="38">
        <v>45803</v>
      </c>
      <c r="BA132" s="9"/>
    </row>
    <row r="133" spans="1:53" s="11" customFormat="1" ht="69.95" customHeight="1">
      <c r="A133" s="53" t="s">
        <v>506</v>
      </c>
      <c r="B133" s="57" t="s">
        <v>507</v>
      </c>
      <c r="C133" s="53" t="s">
        <v>68</v>
      </c>
      <c r="D133" s="53" t="s">
        <v>137</v>
      </c>
      <c r="E133" s="53" t="s">
        <v>395</v>
      </c>
      <c r="F133" s="53" t="s">
        <v>395</v>
      </c>
      <c r="G133" s="53" t="s">
        <v>94</v>
      </c>
      <c r="H133" s="54">
        <v>72450000</v>
      </c>
      <c r="I133" s="54" t="s">
        <v>170</v>
      </c>
      <c r="J133" s="54">
        <f>PR[[#This Row],[التكلفة (المحدثه)  شاملة الضريبة]]-K133</f>
        <v>0</v>
      </c>
      <c r="K133" s="54">
        <v>43339563.090000004</v>
      </c>
      <c r="L133" s="312">
        <v>43339563.090000004</v>
      </c>
      <c r="M133" s="43" t="s">
        <v>72</v>
      </c>
      <c r="N133" s="55" t="s">
        <v>267</v>
      </c>
      <c r="O133" s="45" t="s">
        <v>142</v>
      </c>
      <c r="P133" s="45"/>
      <c r="Q133" s="298">
        <v>43339563.090000004</v>
      </c>
      <c r="R133" s="77" t="s">
        <v>268</v>
      </c>
      <c r="S133" s="154">
        <v>45109</v>
      </c>
      <c r="T133" s="155">
        <v>45139</v>
      </c>
      <c r="U133" s="156">
        <v>45139</v>
      </c>
      <c r="V133" s="157">
        <v>45169</v>
      </c>
      <c r="W133" s="154">
        <v>45169</v>
      </c>
      <c r="X133" s="155">
        <v>45313</v>
      </c>
      <c r="Y133" s="156">
        <v>45370</v>
      </c>
      <c r="Z133" s="157">
        <v>45594</v>
      </c>
      <c r="AA133" s="154">
        <v>45635</v>
      </c>
      <c r="AB133" s="158">
        <v>45852</v>
      </c>
      <c r="AC133" s="160">
        <v>45952</v>
      </c>
      <c r="AD133" s="159">
        <v>46961</v>
      </c>
      <c r="AE133" s="285">
        <f>PR[[#This Row],[التكلفة (المحدثه)  شاملة الضريبة]]*0.9</f>
        <v>39005606.781000003</v>
      </c>
      <c r="AF133" s="160">
        <v>46039</v>
      </c>
      <c r="AG133" s="159">
        <v>46961</v>
      </c>
      <c r="AH133" s="301">
        <f>PR[[#This Row],[التكلفة (المحدثه)  شاملة الضريبة]]*0.1</f>
        <v>4333956.3090000004</v>
      </c>
      <c r="AI133" s="160">
        <v>46944</v>
      </c>
      <c r="AJ133" s="159">
        <v>46961</v>
      </c>
      <c r="AK133" s="8" t="s">
        <v>268</v>
      </c>
      <c r="AL133" s="28" t="s">
        <v>267</v>
      </c>
      <c r="AM133" s="183" t="s">
        <v>267</v>
      </c>
      <c r="AN133" s="9" t="s">
        <v>159</v>
      </c>
      <c r="AO133" s="10">
        <v>45754</v>
      </c>
      <c r="AP133" s="9">
        <v>602250140</v>
      </c>
      <c r="AQ133" s="10">
        <v>45754</v>
      </c>
      <c r="AR133" s="16" t="s">
        <v>267</v>
      </c>
      <c r="AS133" s="29" t="s">
        <v>146</v>
      </c>
      <c r="AT133" s="29" t="s">
        <v>451</v>
      </c>
      <c r="AU133" s="37">
        <v>43339563.089999996</v>
      </c>
      <c r="AV133" s="38">
        <v>45635</v>
      </c>
      <c r="AW133" s="38">
        <v>45768</v>
      </c>
      <c r="AX133" s="9">
        <v>601250095</v>
      </c>
      <c r="AY133" s="9" t="s">
        <v>508</v>
      </c>
      <c r="AZ133" s="38">
        <v>45852</v>
      </c>
      <c r="BA133" s="9"/>
    </row>
    <row r="134" spans="1:53" s="11" customFormat="1" ht="69.95" customHeight="1">
      <c r="A134" s="53">
        <v>10256</v>
      </c>
      <c r="B134" s="57" t="s">
        <v>509</v>
      </c>
      <c r="C134" s="53" t="s">
        <v>68</v>
      </c>
      <c r="D134" s="53" t="s">
        <v>165</v>
      </c>
      <c r="E134" s="53" t="s">
        <v>395</v>
      </c>
      <c r="F134" s="53" t="s">
        <v>411</v>
      </c>
      <c r="G134" s="53" t="s">
        <v>86</v>
      </c>
      <c r="H134" s="54">
        <v>39499050</v>
      </c>
      <c r="I134" s="54" t="e">
        <v>#N/A</v>
      </c>
      <c r="J134" s="54">
        <f>PR[[#This Row],[التكلفة (المحدثه)  شاملة الضريبة]]-K134</f>
        <v>0</v>
      </c>
      <c r="K134" s="54">
        <v>39499050</v>
      </c>
      <c r="L134" s="312">
        <v>39499050</v>
      </c>
      <c r="M134" s="43" t="s">
        <v>72</v>
      </c>
      <c r="N134" s="55" t="s">
        <v>267</v>
      </c>
      <c r="O134" s="45" t="s">
        <v>142</v>
      </c>
      <c r="P134" s="45"/>
      <c r="Q134" s="298">
        <v>39499050</v>
      </c>
      <c r="R134" s="77" t="s">
        <v>268</v>
      </c>
      <c r="S134" s="154">
        <v>44775</v>
      </c>
      <c r="T134" s="155">
        <v>44805</v>
      </c>
      <c r="U134" s="156">
        <v>44805</v>
      </c>
      <c r="V134" s="157">
        <v>44835</v>
      </c>
      <c r="W134" s="154">
        <f>PR[[#This Row],[تاريخ نهاية المرحله…]]+1</f>
        <v>44836</v>
      </c>
      <c r="X134" s="155">
        <f>PR[[#This Row],[تاريخ بداية المرحله-.]]-1</f>
        <v>44864</v>
      </c>
      <c r="Y134" s="156">
        <v>44865</v>
      </c>
      <c r="Z134" s="157">
        <v>44910</v>
      </c>
      <c r="AA134" s="154">
        <v>45013</v>
      </c>
      <c r="AB134" s="158">
        <v>45384</v>
      </c>
      <c r="AC134" s="154">
        <v>45630</v>
      </c>
      <c r="AD134" s="159">
        <v>46501</v>
      </c>
      <c r="AE134" s="285">
        <f>PR[[#This Row],[التكلفة (المحدثه)  شاملة الضريبة]]*0.9</f>
        <v>35549145</v>
      </c>
      <c r="AF134" s="160">
        <v>45720</v>
      </c>
      <c r="AG134" s="159">
        <v>46510</v>
      </c>
      <c r="AH134" s="301">
        <f>PR[[#This Row],[التكلفة (المحدثه)  شاملة الضريبة]]*0.1</f>
        <v>3949905</v>
      </c>
      <c r="AI134" s="160">
        <v>46512</v>
      </c>
      <c r="AJ134" s="159">
        <v>46562</v>
      </c>
      <c r="AK134" s="8" t="s">
        <v>268</v>
      </c>
      <c r="AL134" s="28" t="s">
        <v>267</v>
      </c>
      <c r="AM134" s="183" t="s">
        <v>267</v>
      </c>
      <c r="AN134" s="9" t="s">
        <v>159</v>
      </c>
      <c r="AO134" s="10">
        <v>44922</v>
      </c>
      <c r="AP134" s="9">
        <v>602220406</v>
      </c>
      <c r="AQ134" s="10">
        <v>44991</v>
      </c>
      <c r="AR134" s="16" t="s">
        <v>267</v>
      </c>
      <c r="AS134" s="29" t="s">
        <v>146</v>
      </c>
      <c r="AT134" s="28" t="s">
        <v>147</v>
      </c>
      <c r="AU134" s="37">
        <v>39499050</v>
      </c>
      <c r="AV134" s="38">
        <v>45013</v>
      </c>
      <c r="AW134" s="38">
        <v>45377</v>
      </c>
      <c r="AX134" s="9">
        <v>601240064</v>
      </c>
      <c r="AY134" s="9" t="s">
        <v>510</v>
      </c>
      <c r="AZ134" s="38">
        <v>45384</v>
      </c>
      <c r="BA134" s="9"/>
    </row>
    <row r="135" spans="1:53" s="11" customFormat="1" ht="69.95" customHeight="1">
      <c r="A135" s="53" t="s">
        <v>511</v>
      </c>
      <c r="B135" s="57" t="s">
        <v>512</v>
      </c>
      <c r="C135" s="53" t="s">
        <v>68</v>
      </c>
      <c r="D135" s="53" t="s">
        <v>165</v>
      </c>
      <c r="E135" s="53" t="s">
        <v>395</v>
      </c>
      <c r="F135" s="53" t="s">
        <v>395</v>
      </c>
      <c r="G135" s="53" t="s">
        <v>86</v>
      </c>
      <c r="H135" s="54">
        <v>26374445</v>
      </c>
      <c r="I135" s="54" t="e">
        <v>#N/A</v>
      </c>
      <c r="J135" s="54">
        <f>PR[[#This Row],[التكلفة (المحدثه)  شاملة الضريبة]]-K135</f>
        <v>0</v>
      </c>
      <c r="K135" s="54">
        <v>26374445</v>
      </c>
      <c r="L135" s="312">
        <v>26374445</v>
      </c>
      <c r="M135" s="43" t="s">
        <v>72</v>
      </c>
      <c r="N135" s="55" t="s">
        <v>267</v>
      </c>
      <c r="O135" s="45" t="s">
        <v>142</v>
      </c>
      <c r="P135" s="45"/>
      <c r="Q135" s="298">
        <v>26374445</v>
      </c>
      <c r="R135" s="77" t="s">
        <v>268</v>
      </c>
      <c r="S135" s="154">
        <v>44775</v>
      </c>
      <c r="T135" s="155">
        <v>44805</v>
      </c>
      <c r="U135" s="156">
        <v>44805</v>
      </c>
      <c r="V135" s="157">
        <v>44835</v>
      </c>
      <c r="W135" s="154">
        <f>PR[[#This Row],[تاريخ نهاية المرحله…]]+1</f>
        <v>44836</v>
      </c>
      <c r="X135" s="155">
        <f>PR[[#This Row],[تاريخ بداية المرحله-.]]-1</f>
        <v>44864</v>
      </c>
      <c r="Y135" s="156">
        <v>44865</v>
      </c>
      <c r="Z135" s="157">
        <v>44910</v>
      </c>
      <c r="AA135" s="154">
        <v>44977</v>
      </c>
      <c r="AB135" s="158">
        <v>45609</v>
      </c>
      <c r="AC135" s="154">
        <v>45799</v>
      </c>
      <c r="AD135" s="159">
        <v>46690</v>
      </c>
      <c r="AE135" s="285">
        <f>PR[[#This Row],[التكلفة (المحدثه)  شاملة الضريبة]]*0.9</f>
        <v>23737000.5</v>
      </c>
      <c r="AF135" s="160">
        <v>46036</v>
      </c>
      <c r="AG135" s="159">
        <v>46424</v>
      </c>
      <c r="AH135" s="301">
        <f>PR[[#This Row],[التكلفة (المحدثه)  شاملة الضريبة]]*0.1</f>
        <v>2637444.5</v>
      </c>
      <c r="AI135" s="160">
        <v>46111</v>
      </c>
      <c r="AJ135" s="159">
        <v>46427</v>
      </c>
      <c r="AK135" s="8" t="s">
        <v>268</v>
      </c>
      <c r="AL135" s="28" t="s">
        <v>267</v>
      </c>
      <c r="AM135" s="183" t="s">
        <v>267</v>
      </c>
      <c r="AN135" s="9" t="s">
        <v>159</v>
      </c>
      <c r="AO135" s="10">
        <v>45477</v>
      </c>
      <c r="AP135" s="9">
        <v>602220408</v>
      </c>
      <c r="AQ135" s="10">
        <v>45490</v>
      </c>
      <c r="AR135" s="16" t="s">
        <v>267</v>
      </c>
      <c r="AS135" s="29" t="s">
        <v>146</v>
      </c>
      <c r="AT135" s="28" t="s">
        <v>147</v>
      </c>
      <c r="AU135" s="37">
        <v>26374444.999999996</v>
      </c>
      <c r="AV135" s="38">
        <v>44977</v>
      </c>
      <c r="AW135" s="38">
        <v>45516</v>
      </c>
      <c r="AX135" s="9">
        <v>601240159</v>
      </c>
      <c r="AY135" s="9" t="s">
        <v>510</v>
      </c>
      <c r="AZ135" s="38">
        <v>45609</v>
      </c>
      <c r="BA135" s="9"/>
    </row>
    <row r="136" spans="1:53" s="11" customFormat="1" ht="69.95" customHeight="1">
      <c r="A136" s="53">
        <v>10081</v>
      </c>
      <c r="B136" s="57" t="s">
        <v>513</v>
      </c>
      <c r="C136" s="53" t="s">
        <v>68</v>
      </c>
      <c r="D136" s="53" t="s">
        <v>165</v>
      </c>
      <c r="E136" s="53" t="s">
        <v>395</v>
      </c>
      <c r="F136" s="53" t="s">
        <v>395</v>
      </c>
      <c r="G136" s="53" t="s">
        <v>86</v>
      </c>
      <c r="H136" s="54">
        <v>44013524.603500001</v>
      </c>
      <c r="I136" s="54" t="e">
        <v>#N/A</v>
      </c>
      <c r="J136" s="54">
        <f>PR[[#This Row],[التكلفة (المحدثه)  شاملة الضريبة]]-K136</f>
        <v>0</v>
      </c>
      <c r="K136" s="54">
        <v>44013524.600000001</v>
      </c>
      <c r="L136" s="312">
        <v>44013524.600000001</v>
      </c>
      <c r="M136" s="43" t="s">
        <v>72</v>
      </c>
      <c r="N136" s="55" t="s">
        <v>267</v>
      </c>
      <c r="O136" s="45" t="s">
        <v>142</v>
      </c>
      <c r="P136" s="45"/>
      <c r="Q136" s="298">
        <v>44013524.600000001</v>
      </c>
      <c r="R136" s="77" t="s">
        <v>268</v>
      </c>
      <c r="S136" s="154">
        <v>44775</v>
      </c>
      <c r="T136" s="155">
        <v>44805</v>
      </c>
      <c r="U136" s="156">
        <v>44805</v>
      </c>
      <c r="V136" s="157">
        <v>44835</v>
      </c>
      <c r="W136" s="154">
        <f>PR[[#This Row],[تاريخ نهاية المرحله…]]+1</f>
        <v>44836</v>
      </c>
      <c r="X136" s="155">
        <f>PR[[#This Row],[تاريخ بداية المرحله-.]]-1</f>
        <v>44864</v>
      </c>
      <c r="Y136" s="156">
        <v>44865</v>
      </c>
      <c r="Z136" s="157">
        <v>44910</v>
      </c>
      <c r="AA136" s="154">
        <v>44994</v>
      </c>
      <c r="AB136" s="158">
        <v>45292</v>
      </c>
      <c r="AC136" s="160" t="s">
        <v>514</v>
      </c>
      <c r="AD136" s="159">
        <v>45985</v>
      </c>
      <c r="AE136" s="285">
        <f>PR[[#This Row],[التكلفة (المحدثه)  شاملة الضريبة]]*0.9</f>
        <v>39612172.140000001</v>
      </c>
      <c r="AF136" s="160" t="s">
        <v>515</v>
      </c>
      <c r="AG136" s="159">
        <v>45986</v>
      </c>
      <c r="AH136" s="301">
        <f>PR[[#This Row],[التكلفة (المحدثه)  شاملة الضريبة]]*0.1</f>
        <v>4401352.46</v>
      </c>
      <c r="AI136" s="160">
        <v>45687</v>
      </c>
      <c r="AJ136" s="159">
        <v>45992</v>
      </c>
      <c r="AK136" s="8" t="s">
        <v>268</v>
      </c>
      <c r="AL136" s="28" t="s">
        <v>267</v>
      </c>
      <c r="AM136" s="183" t="s">
        <v>267</v>
      </c>
      <c r="AN136" s="9" t="s">
        <v>159</v>
      </c>
      <c r="AO136" s="10">
        <v>44915</v>
      </c>
      <c r="AP136" s="9">
        <v>602220401</v>
      </c>
      <c r="AQ136" s="10">
        <v>45182</v>
      </c>
      <c r="AR136" s="16" t="s">
        <v>267</v>
      </c>
      <c r="AS136" s="29" t="s">
        <v>146</v>
      </c>
      <c r="AT136" s="28" t="s">
        <v>267</v>
      </c>
      <c r="AU136" s="37">
        <v>44013524.603500001</v>
      </c>
      <c r="AV136" s="38">
        <v>44994</v>
      </c>
      <c r="AW136" s="38">
        <v>45230</v>
      </c>
      <c r="AX136" s="9">
        <v>601230121</v>
      </c>
      <c r="AY136" s="9" t="s">
        <v>313</v>
      </c>
      <c r="AZ136" s="38">
        <v>45292</v>
      </c>
      <c r="BA136" s="9"/>
    </row>
    <row r="137" spans="1:53" s="11" customFormat="1" ht="69.95" customHeight="1">
      <c r="A137" s="53" t="s">
        <v>516</v>
      </c>
      <c r="B137" s="57" t="s">
        <v>517</v>
      </c>
      <c r="C137" s="53" t="s">
        <v>68</v>
      </c>
      <c r="D137" s="53" t="s">
        <v>165</v>
      </c>
      <c r="E137" s="53" t="s">
        <v>395</v>
      </c>
      <c r="F137" s="53" t="s">
        <v>488</v>
      </c>
      <c r="G137" s="53" t="s">
        <v>86</v>
      </c>
      <c r="H137" s="54">
        <v>51428000</v>
      </c>
      <c r="I137" s="54" t="e">
        <v>#N/A</v>
      </c>
      <c r="J137" s="54">
        <f>PR[[#This Row],[التكلفة (المحدثه)  شاملة الضريبة]]-K137</f>
        <v>0</v>
      </c>
      <c r="K137" s="54">
        <v>51428000</v>
      </c>
      <c r="L137" s="312">
        <v>51428000</v>
      </c>
      <c r="M137" s="43" t="s">
        <v>72</v>
      </c>
      <c r="N137" s="55" t="s">
        <v>267</v>
      </c>
      <c r="O137" s="45" t="s">
        <v>142</v>
      </c>
      <c r="P137" s="45"/>
      <c r="Q137" s="298">
        <v>51428000</v>
      </c>
      <c r="R137" s="77" t="s">
        <v>268</v>
      </c>
      <c r="S137" s="154">
        <v>44996</v>
      </c>
      <c r="T137" s="155">
        <v>45026</v>
      </c>
      <c r="U137" s="156">
        <v>45026</v>
      </c>
      <c r="V137" s="157">
        <v>45056</v>
      </c>
      <c r="W137" s="154">
        <f>PR[[#This Row],[تاريخ نهاية المرحله…]]+1</f>
        <v>45057</v>
      </c>
      <c r="X137" s="155">
        <f>PR[[#This Row],[تاريخ بداية المرحله-.]]-1</f>
        <v>45085</v>
      </c>
      <c r="Y137" s="156">
        <v>45086</v>
      </c>
      <c r="Z137" s="157">
        <v>45131</v>
      </c>
      <c r="AA137" s="154">
        <v>45147</v>
      </c>
      <c r="AB137" s="158">
        <v>45592</v>
      </c>
      <c r="AC137" s="168" t="s">
        <v>518</v>
      </c>
      <c r="AD137" s="169">
        <v>46335</v>
      </c>
      <c r="AE137" s="287">
        <f>PR[[#This Row],[التكلفة (المحدثه)  شاملة الضريبة]]*0.9</f>
        <v>46285200</v>
      </c>
      <c r="AF137" s="168" t="s">
        <v>519</v>
      </c>
      <c r="AG137" s="169">
        <v>46328</v>
      </c>
      <c r="AH137" s="302">
        <f>PR[[#This Row],[التكلفة (المحدثه)  شاملة الضريبة]]*0.1</f>
        <v>5142800</v>
      </c>
      <c r="AI137" s="168">
        <v>46337</v>
      </c>
      <c r="AJ137" s="169">
        <v>46343</v>
      </c>
      <c r="AK137" s="8" t="s">
        <v>268</v>
      </c>
      <c r="AL137" s="28" t="s">
        <v>267</v>
      </c>
      <c r="AM137" s="183" t="s">
        <v>267</v>
      </c>
      <c r="AN137" s="9" t="s">
        <v>159</v>
      </c>
      <c r="AO137" s="10">
        <v>45474</v>
      </c>
      <c r="AP137" s="9">
        <v>602230197</v>
      </c>
      <c r="AQ137" s="10">
        <v>45479</v>
      </c>
      <c r="AR137" s="16" t="s">
        <v>267</v>
      </c>
      <c r="AS137" s="29" t="s">
        <v>146</v>
      </c>
      <c r="AT137" s="28" t="s">
        <v>267</v>
      </c>
      <c r="AU137" s="37">
        <v>51427999.999999993</v>
      </c>
      <c r="AV137" s="38">
        <v>45147</v>
      </c>
      <c r="AW137" s="38">
        <v>45482</v>
      </c>
      <c r="AX137" s="9">
        <v>601240142</v>
      </c>
      <c r="AY137" s="9" t="s">
        <v>520</v>
      </c>
      <c r="AZ137" s="38">
        <v>45592</v>
      </c>
      <c r="BA137" s="9"/>
    </row>
    <row r="138" spans="1:53" s="11" customFormat="1" ht="69.95" customHeight="1">
      <c r="A138" s="53">
        <v>10296</v>
      </c>
      <c r="B138" s="57" t="s">
        <v>521</v>
      </c>
      <c r="C138" s="53" t="s">
        <v>68</v>
      </c>
      <c r="D138" s="53" t="s">
        <v>165</v>
      </c>
      <c r="E138" s="53" t="s">
        <v>395</v>
      </c>
      <c r="F138" s="53" t="s">
        <v>395</v>
      </c>
      <c r="G138" s="53" t="s">
        <v>86</v>
      </c>
      <c r="H138" s="54">
        <v>20700000</v>
      </c>
      <c r="I138" s="54" t="e">
        <v>#N/A</v>
      </c>
      <c r="J138" s="54">
        <f>PR[[#This Row],[التكلفة (المحدثه)  شاملة الضريبة]]-K138</f>
        <v>0</v>
      </c>
      <c r="K138" s="54">
        <v>12474383.5</v>
      </c>
      <c r="L138" s="312">
        <v>12474383.5</v>
      </c>
      <c r="M138" s="43" t="s">
        <v>72</v>
      </c>
      <c r="N138" s="55" t="s">
        <v>267</v>
      </c>
      <c r="O138" s="45" t="s">
        <v>142</v>
      </c>
      <c r="P138" s="45"/>
      <c r="Q138" s="298">
        <v>12474383.5</v>
      </c>
      <c r="R138" s="77" t="s">
        <v>268</v>
      </c>
      <c r="S138" s="154">
        <v>45135</v>
      </c>
      <c r="T138" s="155">
        <v>45165</v>
      </c>
      <c r="U138" s="156">
        <v>45165</v>
      </c>
      <c r="V138" s="157">
        <v>45195</v>
      </c>
      <c r="W138" s="154">
        <f>PR[[#This Row],[تاريخ نهاية المرحله…]]+1</f>
        <v>45196</v>
      </c>
      <c r="X138" s="155">
        <f>PR[[#This Row],[تاريخ بداية المرحله-.]]-1</f>
        <v>45224</v>
      </c>
      <c r="Y138" s="156">
        <v>45225</v>
      </c>
      <c r="Z138" s="157">
        <v>45270</v>
      </c>
      <c r="AA138" s="154">
        <v>45328</v>
      </c>
      <c r="AB138" s="158">
        <v>45490</v>
      </c>
      <c r="AC138" s="168" t="s">
        <v>522</v>
      </c>
      <c r="AD138" s="169">
        <v>46371</v>
      </c>
      <c r="AE138" s="287">
        <f>PR[[#This Row],[التكلفة (المحدثه)  شاملة الضريبة]]*0.9</f>
        <v>11226945.15</v>
      </c>
      <c r="AF138" s="168" t="s">
        <v>523</v>
      </c>
      <c r="AG138" s="169">
        <v>46345</v>
      </c>
      <c r="AH138" s="302">
        <f>PR[[#This Row],[التكلفة (المحدثه)  شاملة الضريبة]]*0.1</f>
        <v>1247438.3500000001</v>
      </c>
      <c r="AI138" s="168">
        <v>46337</v>
      </c>
      <c r="AJ138" s="169">
        <v>46373</v>
      </c>
      <c r="AK138" s="8" t="s">
        <v>268</v>
      </c>
      <c r="AL138" s="28" t="s">
        <v>267</v>
      </c>
      <c r="AM138" s="183" t="s">
        <v>267</v>
      </c>
      <c r="AN138" s="9" t="s">
        <v>159</v>
      </c>
      <c r="AO138" s="10">
        <v>45280</v>
      </c>
      <c r="AP138" s="9">
        <v>602230290</v>
      </c>
      <c r="AQ138" s="10">
        <v>45284</v>
      </c>
      <c r="AR138" s="16" t="s">
        <v>267</v>
      </c>
      <c r="AS138" s="29" t="s">
        <v>146</v>
      </c>
      <c r="AT138" s="28" t="s">
        <v>267</v>
      </c>
      <c r="AU138" s="37">
        <v>12474383.499999998</v>
      </c>
      <c r="AV138" s="38">
        <v>45328</v>
      </c>
      <c r="AW138" s="38">
        <v>45467</v>
      </c>
      <c r="AX138" s="9">
        <v>601240116</v>
      </c>
      <c r="AY138" s="9" t="s">
        <v>524</v>
      </c>
      <c r="AZ138" s="38">
        <v>45490</v>
      </c>
      <c r="BA138" s="9"/>
    </row>
    <row r="139" spans="1:53" s="11" customFormat="1" ht="69.95" customHeight="1">
      <c r="A139" s="73" t="s">
        <v>525</v>
      </c>
      <c r="B139" s="74" t="s">
        <v>526</v>
      </c>
      <c r="C139" s="53" t="s">
        <v>68</v>
      </c>
      <c r="D139" s="53" t="s">
        <v>165</v>
      </c>
      <c r="E139" s="53" t="s">
        <v>395</v>
      </c>
      <c r="F139" s="53" t="s">
        <v>294</v>
      </c>
      <c r="G139" s="58" t="s">
        <v>71</v>
      </c>
      <c r="H139" s="54">
        <v>217349.99999999997</v>
      </c>
      <c r="I139" s="54" t="e">
        <v>#N/A</v>
      </c>
      <c r="J139" s="54">
        <f>PR[[#This Row],[التكلفة (المحدثه)  شاملة الضريبة]]-K139</f>
        <v>0</v>
      </c>
      <c r="K139" s="54">
        <v>217350</v>
      </c>
      <c r="L139" s="312">
        <v>217350</v>
      </c>
      <c r="M139" s="43" t="s">
        <v>72</v>
      </c>
      <c r="N139" s="55" t="s">
        <v>267</v>
      </c>
      <c r="O139" s="45" t="s">
        <v>142</v>
      </c>
      <c r="P139" s="45"/>
      <c r="Q139" s="298">
        <v>217350</v>
      </c>
      <c r="R139" s="77" t="s">
        <v>268</v>
      </c>
      <c r="S139" s="154">
        <v>45080</v>
      </c>
      <c r="T139" s="155">
        <v>45110</v>
      </c>
      <c r="U139" s="156">
        <v>45110</v>
      </c>
      <c r="V139" s="157">
        <v>45140</v>
      </c>
      <c r="W139" s="154">
        <f>PR[[#This Row],[تاريخ نهاية المرحله…]]+1</f>
        <v>45141</v>
      </c>
      <c r="X139" s="155">
        <f>PR[[#This Row],[تاريخ بداية المرحله-.]]-1</f>
        <v>45169</v>
      </c>
      <c r="Y139" s="156">
        <v>45170</v>
      </c>
      <c r="Z139" s="157">
        <v>45215</v>
      </c>
      <c r="AA139" s="154">
        <v>45238</v>
      </c>
      <c r="AB139" s="158">
        <v>45314</v>
      </c>
      <c r="AC139" s="168">
        <v>45871</v>
      </c>
      <c r="AD139" s="169">
        <v>46462</v>
      </c>
      <c r="AE139" s="287">
        <f>PR[[#This Row],[التكلفة (المحدثه)  شاملة الضريبة]]*0.9</f>
        <v>195615</v>
      </c>
      <c r="AF139" s="168" t="s">
        <v>527</v>
      </c>
      <c r="AG139" s="169" t="s">
        <v>527</v>
      </c>
      <c r="AH139" s="302">
        <f>PR[[#This Row],[التكلفة (المحدثه)  شاملة الضريبة]]*0.1</f>
        <v>21735</v>
      </c>
      <c r="AI139" s="168">
        <v>46385</v>
      </c>
      <c r="AJ139" s="169">
        <v>46463</v>
      </c>
      <c r="AK139" s="8" t="s">
        <v>268</v>
      </c>
      <c r="AL139" s="28" t="s">
        <v>267</v>
      </c>
      <c r="AM139" s="183" t="s">
        <v>267</v>
      </c>
      <c r="AN139" s="9" t="s">
        <v>159</v>
      </c>
      <c r="AO139" s="10">
        <v>45221</v>
      </c>
      <c r="AP139" s="9">
        <v>602230239</v>
      </c>
      <c r="AQ139" s="10">
        <v>45223</v>
      </c>
      <c r="AR139" s="16" t="s">
        <v>267</v>
      </c>
      <c r="AS139" s="29" t="s">
        <v>146</v>
      </c>
      <c r="AT139" s="28" t="s">
        <v>147</v>
      </c>
      <c r="AU139" s="37">
        <v>217349.99999999997</v>
      </c>
      <c r="AV139" s="38">
        <v>45238</v>
      </c>
      <c r="AW139" s="38">
        <v>45314</v>
      </c>
      <c r="AX139" s="9">
        <v>601230179</v>
      </c>
      <c r="AY139" s="9" t="s">
        <v>528</v>
      </c>
      <c r="AZ139" s="38">
        <v>45314</v>
      </c>
      <c r="BA139" s="9"/>
    </row>
    <row r="140" spans="1:53" s="11" customFormat="1" ht="69.95" customHeight="1">
      <c r="A140" s="53" t="s">
        <v>529</v>
      </c>
      <c r="B140" s="57" t="s">
        <v>530</v>
      </c>
      <c r="C140" s="53" t="s">
        <v>68</v>
      </c>
      <c r="D140" s="53" t="s">
        <v>165</v>
      </c>
      <c r="E140" s="53" t="s">
        <v>395</v>
      </c>
      <c r="F140" s="53" t="s">
        <v>395</v>
      </c>
      <c r="G140" s="53" t="s">
        <v>94</v>
      </c>
      <c r="H140" s="54">
        <v>35000000</v>
      </c>
      <c r="I140" s="54" t="e">
        <v>#N/A</v>
      </c>
      <c r="J140" s="54">
        <f>PR[[#This Row],[التكلفة (المحدثه)  شاملة الضريبة]]-K140</f>
        <v>0</v>
      </c>
      <c r="K140" s="54">
        <v>47358200.090000004</v>
      </c>
      <c r="L140" s="312">
        <v>47358200.090000004</v>
      </c>
      <c r="M140" s="43" t="s">
        <v>72</v>
      </c>
      <c r="N140" s="55" t="s">
        <v>267</v>
      </c>
      <c r="O140" s="45" t="s">
        <v>142</v>
      </c>
      <c r="P140" s="45"/>
      <c r="Q140" s="298">
        <v>47358200.090000004</v>
      </c>
      <c r="R140" s="77" t="s">
        <v>268</v>
      </c>
      <c r="S140" s="154">
        <v>45020</v>
      </c>
      <c r="T140" s="155">
        <v>45050</v>
      </c>
      <c r="U140" s="156">
        <v>45050</v>
      </c>
      <c r="V140" s="157">
        <v>45080</v>
      </c>
      <c r="W140" s="154">
        <f>PR[[#This Row],[تاريخ نهاية المرحله…]]+1</f>
        <v>45081</v>
      </c>
      <c r="X140" s="155">
        <f>PR[[#This Row],[تاريخ بداية المرحله-.]]-1</f>
        <v>45109</v>
      </c>
      <c r="Y140" s="156">
        <v>45110</v>
      </c>
      <c r="Z140" s="157">
        <v>45155</v>
      </c>
      <c r="AA140" s="154">
        <v>45396</v>
      </c>
      <c r="AB140" s="158">
        <v>45552</v>
      </c>
      <c r="AC140" s="168" t="s">
        <v>531</v>
      </c>
      <c r="AD140" s="169">
        <v>46390</v>
      </c>
      <c r="AE140" s="287">
        <f>PR[[#This Row],[التكلفة (المحدثه)  شاملة الضريبة]]*0.9</f>
        <v>42622380.081000008</v>
      </c>
      <c r="AF140" s="168" t="s">
        <v>532</v>
      </c>
      <c r="AG140" s="169">
        <v>46356</v>
      </c>
      <c r="AH140" s="302">
        <f>PR[[#This Row],[التكلفة (المحدثه)  شاملة الضريبة]]*0.1</f>
        <v>4735820.0090000005</v>
      </c>
      <c r="AI140" s="168">
        <v>46393</v>
      </c>
      <c r="AJ140" s="169">
        <v>46394</v>
      </c>
      <c r="AK140" s="8" t="s">
        <v>268</v>
      </c>
      <c r="AL140" s="28" t="s">
        <v>267</v>
      </c>
      <c r="AM140" s="183" t="s">
        <v>267</v>
      </c>
      <c r="AN140" s="9" t="s">
        <v>159</v>
      </c>
      <c r="AO140" s="10">
        <v>45518</v>
      </c>
      <c r="AP140" s="9">
        <v>602240254</v>
      </c>
      <c r="AQ140" s="10">
        <v>45524</v>
      </c>
      <c r="AR140" s="16" t="s">
        <v>267</v>
      </c>
      <c r="AS140" s="29" t="s">
        <v>146</v>
      </c>
      <c r="AT140" s="28" t="s">
        <v>147</v>
      </c>
      <c r="AU140" s="37">
        <v>47358200.093999997</v>
      </c>
      <c r="AV140" s="38">
        <v>45396</v>
      </c>
      <c r="AW140" s="38">
        <v>45525</v>
      </c>
      <c r="AX140" s="9">
        <v>601240171</v>
      </c>
      <c r="AY140" s="9" t="s">
        <v>533</v>
      </c>
      <c r="AZ140" s="38">
        <v>45552</v>
      </c>
      <c r="BA140" s="9"/>
    </row>
    <row r="141" spans="1:53" s="11" customFormat="1" ht="69.95" customHeight="1">
      <c r="A141" s="53" t="s">
        <v>534</v>
      </c>
      <c r="B141" s="57" t="s">
        <v>535</v>
      </c>
      <c r="C141" s="53" t="s">
        <v>68</v>
      </c>
      <c r="D141" s="53" t="s">
        <v>165</v>
      </c>
      <c r="E141" s="53" t="s">
        <v>395</v>
      </c>
      <c r="F141" s="53" t="s">
        <v>411</v>
      </c>
      <c r="G141" s="53" t="s">
        <v>94</v>
      </c>
      <c r="H141" s="54">
        <v>40250000</v>
      </c>
      <c r="I141" s="54" t="e">
        <v>#N/A</v>
      </c>
      <c r="J141" s="54">
        <f>PR[[#This Row],[التكلفة (المحدثه)  شاملة الضريبة]]-K141</f>
        <v>0</v>
      </c>
      <c r="K141" s="54">
        <v>37878652.850000001</v>
      </c>
      <c r="L141" s="312">
        <v>37878652.850000001</v>
      </c>
      <c r="M141" s="43" t="s">
        <v>72</v>
      </c>
      <c r="N141" s="55" t="s">
        <v>267</v>
      </c>
      <c r="O141" s="45" t="s">
        <v>142</v>
      </c>
      <c r="P141" s="45"/>
      <c r="Q141" s="298">
        <v>37878652.850000001</v>
      </c>
      <c r="R141" s="77" t="s">
        <v>268</v>
      </c>
      <c r="S141" s="154">
        <v>45296</v>
      </c>
      <c r="T141" s="155">
        <v>45326</v>
      </c>
      <c r="U141" s="156">
        <v>45326</v>
      </c>
      <c r="V141" s="157">
        <v>45356</v>
      </c>
      <c r="W141" s="154">
        <f>PR[[#This Row],[تاريخ نهاية المرحله…]]+1</f>
        <v>45357</v>
      </c>
      <c r="X141" s="155">
        <f>PR[[#This Row],[تاريخ بداية المرحله-.]]-1</f>
        <v>45385</v>
      </c>
      <c r="Y141" s="156">
        <v>45386</v>
      </c>
      <c r="Z141" s="157">
        <v>45431</v>
      </c>
      <c r="AA141" s="154">
        <v>45439</v>
      </c>
      <c r="AB141" s="158">
        <v>45564</v>
      </c>
      <c r="AC141" s="168" t="s">
        <v>536</v>
      </c>
      <c r="AD141" s="169">
        <v>46721</v>
      </c>
      <c r="AE141" s="287">
        <f>PR[[#This Row],[التكلفة (المحدثه)  شاملة الضريبة]]*0.9</f>
        <v>34090787.565000005</v>
      </c>
      <c r="AF141" s="168" t="s">
        <v>537</v>
      </c>
      <c r="AG141" s="169">
        <v>46739</v>
      </c>
      <c r="AH141" s="302">
        <f>PR[[#This Row],[التكلفة (المحدثه)  شاملة الضريبة]]*0.1</f>
        <v>3787865.2850000001</v>
      </c>
      <c r="AI141" s="168">
        <v>46748</v>
      </c>
      <c r="AJ141" s="169">
        <v>46762</v>
      </c>
      <c r="AK141" s="8" t="s">
        <v>268</v>
      </c>
      <c r="AL141" s="28" t="s">
        <v>267</v>
      </c>
      <c r="AM141" s="183" t="s">
        <v>267</v>
      </c>
      <c r="AN141" s="9" t="s">
        <v>159</v>
      </c>
      <c r="AO141" s="10">
        <v>45432</v>
      </c>
      <c r="AP141" s="9">
        <v>602240191</v>
      </c>
      <c r="AQ141" s="10">
        <v>45434</v>
      </c>
      <c r="AR141" s="16" t="s">
        <v>267</v>
      </c>
      <c r="AS141" s="29" t="s">
        <v>146</v>
      </c>
      <c r="AT141" s="28" t="s">
        <v>147</v>
      </c>
      <c r="AU141" s="37">
        <v>37878652.849999994</v>
      </c>
      <c r="AV141" s="38">
        <v>45439</v>
      </c>
      <c r="AW141" s="38">
        <v>45510</v>
      </c>
      <c r="AX141" s="9">
        <v>601240160</v>
      </c>
      <c r="AY141" s="9" t="s">
        <v>538</v>
      </c>
      <c r="AZ141" s="38">
        <v>45564</v>
      </c>
      <c r="BA141" s="9"/>
    </row>
    <row r="142" spans="1:53" s="11" customFormat="1" ht="69.95" customHeight="1">
      <c r="A142" s="53" t="s">
        <v>539</v>
      </c>
      <c r="B142" s="57" t="s">
        <v>540</v>
      </c>
      <c r="C142" s="53" t="s">
        <v>68</v>
      </c>
      <c r="D142" s="53" t="s">
        <v>165</v>
      </c>
      <c r="E142" s="53" t="s">
        <v>395</v>
      </c>
      <c r="F142" s="53" t="s">
        <v>395</v>
      </c>
      <c r="G142" s="53" t="s">
        <v>86</v>
      </c>
      <c r="H142" s="54">
        <v>8176499.9999999991</v>
      </c>
      <c r="I142" s="54" t="e">
        <v>#N/A</v>
      </c>
      <c r="J142" s="54">
        <f>PR[[#This Row],[التكلفة (المحدثه)  شاملة الضريبة]]-K142</f>
        <v>0</v>
      </c>
      <c r="K142" s="54">
        <v>5723400.5</v>
      </c>
      <c r="L142" s="312">
        <v>5723400.5</v>
      </c>
      <c r="M142" s="43" t="s">
        <v>72</v>
      </c>
      <c r="N142" s="55" t="s">
        <v>267</v>
      </c>
      <c r="O142" s="45" t="s">
        <v>142</v>
      </c>
      <c r="P142" s="45"/>
      <c r="Q142" s="298">
        <v>5723400.5</v>
      </c>
      <c r="R142" s="77" t="s">
        <v>268</v>
      </c>
      <c r="S142" s="154">
        <v>45268</v>
      </c>
      <c r="T142" s="155">
        <v>45298</v>
      </c>
      <c r="U142" s="156">
        <v>45298</v>
      </c>
      <c r="V142" s="157">
        <v>45328</v>
      </c>
      <c r="W142" s="154">
        <f>PR[[#This Row],[تاريخ نهاية المرحله…]]+1</f>
        <v>45329</v>
      </c>
      <c r="X142" s="155">
        <f>PR[[#This Row],[تاريخ بداية المرحله-.]]-1</f>
        <v>45357</v>
      </c>
      <c r="Y142" s="156">
        <v>45358</v>
      </c>
      <c r="Z142" s="157">
        <v>45403</v>
      </c>
      <c r="AA142" s="154">
        <v>45411</v>
      </c>
      <c r="AB142" s="158">
        <v>45501</v>
      </c>
      <c r="AC142" s="168" t="s">
        <v>541</v>
      </c>
      <c r="AD142" s="169">
        <v>46162</v>
      </c>
      <c r="AE142" s="287">
        <f>PR[[#This Row],[التكلفة (المحدثه)  شاملة الضريبة]]*0.9</f>
        <v>5151060.45</v>
      </c>
      <c r="AF142" s="168">
        <v>45962</v>
      </c>
      <c r="AG142" s="169">
        <v>46165</v>
      </c>
      <c r="AH142" s="302">
        <f>PR[[#This Row],[التكلفة (المحدثه)  شاملة الضريبة]]*0.1</f>
        <v>572340.05000000005</v>
      </c>
      <c r="AI142" s="168">
        <v>46166</v>
      </c>
      <c r="AJ142" s="169">
        <v>46167</v>
      </c>
      <c r="AK142" s="8" t="s">
        <v>268</v>
      </c>
      <c r="AL142" s="28" t="s">
        <v>267</v>
      </c>
      <c r="AM142" s="183" t="s">
        <v>267</v>
      </c>
      <c r="AN142" s="9" t="s">
        <v>159</v>
      </c>
      <c r="AO142" s="10">
        <v>45405</v>
      </c>
      <c r="AP142" s="9">
        <v>602240152</v>
      </c>
      <c r="AQ142" s="10">
        <v>45407</v>
      </c>
      <c r="AR142" s="16" t="s">
        <v>267</v>
      </c>
      <c r="AS142" s="29" t="s">
        <v>146</v>
      </c>
      <c r="AT142" s="28" t="s">
        <v>147</v>
      </c>
      <c r="AU142" s="37">
        <v>5723400.5</v>
      </c>
      <c r="AV142" s="38">
        <v>45411</v>
      </c>
      <c r="AW142" s="38">
        <v>45501</v>
      </c>
      <c r="AX142" s="9">
        <v>601240154</v>
      </c>
      <c r="AY142" s="9" t="s">
        <v>542</v>
      </c>
      <c r="AZ142" s="38">
        <v>45501</v>
      </c>
      <c r="BA142" s="9"/>
    </row>
    <row r="143" spans="1:53" s="11" customFormat="1" ht="69.95" customHeight="1">
      <c r="A143" s="53" t="s">
        <v>543</v>
      </c>
      <c r="B143" s="57" t="s">
        <v>544</v>
      </c>
      <c r="C143" s="53" t="s">
        <v>68</v>
      </c>
      <c r="D143" s="53" t="s">
        <v>165</v>
      </c>
      <c r="E143" s="53" t="s">
        <v>395</v>
      </c>
      <c r="F143" s="53" t="s">
        <v>395</v>
      </c>
      <c r="G143" s="53" t="s">
        <v>94</v>
      </c>
      <c r="H143" s="54">
        <v>13799999.999999998</v>
      </c>
      <c r="I143" s="54" t="s">
        <v>151</v>
      </c>
      <c r="J143" s="54">
        <f>PR[[#This Row],[التكلفة (المحدثه)  شاملة الضريبة]]-K143</f>
        <v>0</v>
      </c>
      <c r="K143" s="54">
        <v>18198750.460000001</v>
      </c>
      <c r="L143" s="312">
        <v>18198750.460000001</v>
      </c>
      <c r="M143" s="43" t="s">
        <v>72</v>
      </c>
      <c r="N143" s="55" t="s">
        <v>267</v>
      </c>
      <c r="O143" s="45" t="s">
        <v>142</v>
      </c>
      <c r="P143" s="45"/>
      <c r="Q143" s="298">
        <v>18198750.460000001</v>
      </c>
      <c r="R143" s="77" t="s">
        <v>268</v>
      </c>
      <c r="S143" s="154">
        <v>45297</v>
      </c>
      <c r="T143" s="155">
        <v>45327</v>
      </c>
      <c r="U143" s="156">
        <v>45327</v>
      </c>
      <c r="V143" s="157">
        <v>45342</v>
      </c>
      <c r="W143" s="154">
        <f>PR[[#This Row],[تاريخ نهاية المرحله…]]+1</f>
        <v>45343</v>
      </c>
      <c r="X143" s="155">
        <f>PR[[#This Row],[تاريخ بداية المرحله-.]]-1</f>
        <v>45459</v>
      </c>
      <c r="Y143" s="156">
        <v>45460</v>
      </c>
      <c r="Z143" s="157">
        <v>45505</v>
      </c>
      <c r="AA143" s="154">
        <v>45561</v>
      </c>
      <c r="AB143" s="158">
        <v>45705</v>
      </c>
      <c r="AC143" s="168">
        <v>45781</v>
      </c>
      <c r="AD143" s="169">
        <v>46442</v>
      </c>
      <c r="AE143" s="287">
        <f>PR[[#This Row],[التكلفة (المحدثه)  شاملة الضريبة]]*0.9</f>
        <v>16378875.414000001</v>
      </c>
      <c r="AF143" s="168">
        <v>45956</v>
      </c>
      <c r="AG143" s="169">
        <v>46450</v>
      </c>
      <c r="AH143" s="302">
        <f>PR[[#This Row],[التكلفة (المحدثه)  شاملة الضريبة]]*0.1</f>
        <v>1819875.0460000001</v>
      </c>
      <c r="AI143" s="168">
        <v>46418</v>
      </c>
      <c r="AJ143" s="169">
        <v>46453</v>
      </c>
      <c r="AK143" s="8" t="s">
        <v>268</v>
      </c>
      <c r="AL143" s="28" t="s">
        <v>267</v>
      </c>
      <c r="AM143" s="183" t="s">
        <v>267</v>
      </c>
      <c r="AN143" s="9" t="s">
        <v>159</v>
      </c>
      <c r="AO143" s="10">
        <v>45525</v>
      </c>
      <c r="AP143" s="9" t="s">
        <v>160</v>
      </c>
      <c r="AQ143" s="10">
        <v>45547</v>
      </c>
      <c r="AR143" s="16" t="s">
        <v>267</v>
      </c>
      <c r="AS143" s="29" t="s">
        <v>146</v>
      </c>
      <c r="AT143" s="28" t="s">
        <v>147</v>
      </c>
      <c r="AU143" s="37">
        <v>18198750.459999997</v>
      </c>
      <c r="AV143" s="38">
        <v>45561</v>
      </c>
      <c r="AW143" s="38">
        <v>45670</v>
      </c>
      <c r="AX143" s="9">
        <v>601250007</v>
      </c>
      <c r="AY143" s="9" t="s">
        <v>545</v>
      </c>
      <c r="AZ143" s="38">
        <v>45705</v>
      </c>
      <c r="BA143" s="9"/>
    </row>
    <row r="144" spans="1:53" s="11" customFormat="1" ht="69.95" customHeight="1">
      <c r="A144" s="53" t="s">
        <v>546</v>
      </c>
      <c r="B144" s="57" t="s">
        <v>547</v>
      </c>
      <c r="C144" s="53" t="s">
        <v>68</v>
      </c>
      <c r="D144" s="53" t="s">
        <v>137</v>
      </c>
      <c r="E144" s="53" t="s">
        <v>395</v>
      </c>
      <c r="F144" s="53" t="s">
        <v>488</v>
      </c>
      <c r="G144" s="53" t="s">
        <v>86</v>
      </c>
      <c r="H144" s="54">
        <v>8965400</v>
      </c>
      <c r="I144" s="54" t="s">
        <v>151</v>
      </c>
      <c r="J144" s="54">
        <f>PR[[#This Row],[التكلفة (المحدثه)  شاملة الضريبة]]-K144</f>
        <v>0</v>
      </c>
      <c r="K144" s="54">
        <v>13772864.6</v>
      </c>
      <c r="L144" s="312">
        <v>13772864.6</v>
      </c>
      <c r="M144" s="43" t="s">
        <v>72</v>
      </c>
      <c r="N144" s="55" t="s">
        <v>267</v>
      </c>
      <c r="O144" s="45" t="s">
        <v>142</v>
      </c>
      <c r="P144" s="45"/>
      <c r="Q144" s="298">
        <v>13772864.6</v>
      </c>
      <c r="R144" s="77" t="s">
        <v>268</v>
      </c>
      <c r="S144" s="154">
        <v>45109</v>
      </c>
      <c r="T144" s="155">
        <v>45139</v>
      </c>
      <c r="U144" s="156">
        <v>45139</v>
      </c>
      <c r="V144" s="157">
        <v>45169</v>
      </c>
      <c r="W144" s="154">
        <v>45169</v>
      </c>
      <c r="X144" s="155">
        <v>45313</v>
      </c>
      <c r="Y144" s="156">
        <v>45370</v>
      </c>
      <c r="Z144" s="157">
        <v>45551</v>
      </c>
      <c r="AA144" s="154">
        <v>45581</v>
      </c>
      <c r="AB144" s="158">
        <v>45914</v>
      </c>
      <c r="AC144" s="168">
        <v>45995</v>
      </c>
      <c r="AD144" s="169">
        <v>46649</v>
      </c>
      <c r="AE144" s="287">
        <f>PR[[#This Row],[التكلفة (المحدثه)  شاملة الضريبة]]*0.9</f>
        <v>12395578.140000001</v>
      </c>
      <c r="AF144" s="168">
        <v>46095</v>
      </c>
      <c r="AG144" s="169">
        <v>46623</v>
      </c>
      <c r="AH144" s="302">
        <f>PR[[#This Row],[التكلفة (المحدثه)  شاملة الضريبة]]*0.1</f>
        <v>1377286.46</v>
      </c>
      <c r="AI144" s="168">
        <v>46658</v>
      </c>
      <c r="AJ144" s="169">
        <v>46666</v>
      </c>
      <c r="AK144" s="8" t="s">
        <v>268</v>
      </c>
      <c r="AL144" s="34" t="s">
        <v>267</v>
      </c>
      <c r="AM144" s="183" t="s">
        <v>267</v>
      </c>
      <c r="AN144" s="9" t="s">
        <v>159</v>
      </c>
      <c r="AO144" s="10">
        <v>45830</v>
      </c>
      <c r="AP144" s="9">
        <v>602250242</v>
      </c>
      <c r="AQ144" s="10">
        <v>45840</v>
      </c>
      <c r="AR144" s="16" t="s">
        <v>267</v>
      </c>
      <c r="AS144" s="29" t="s">
        <v>146</v>
      </c>
      <c r="AT144" s="28" t="s">
        <v>147</v>
      </c>
      <c r="AU144" s="37">
        <v>13772864.6</v>
      </c>
      <c r="AV144" s="38">
        <v>45581</v>
      </c>
      <c r="AW144" s="38">
        <v>45846</v>
      </c>
      <c r="AX144" s="9">
        <v>601250132</v>
      </c>
      <c r="AY144" s="9" t="s">
        <v>346</v>
      </c>
      <c r="AZ144" s="38">
        <v>45914</v>
      </c>
      <c r="BA144" s="9"/>
    </row>
    <row r="145" spans="1:53" s="11" customFormat="1" ht="69.95" customHeight="1">
      <c r="A145" s="53" t="s">
        <v>548</v>
      </c>
      <c r="B145" s="57" t="s">
        <v>549</v>
      </c>
      <c r="C145" s="53" t="s">
        <v>68</v>
      </c>
      <c r="D145" s="53" t="s">
        <v>137</v>
      </c>
      <c r="E145" s="53" t="s">
        <v>395</v>
      </c>
      <c r="F145" s="53" t="s">
        <v>395</v>
      </c>
      <c r="G145" s="53" t="s">
        <v>86</v>
      </c>
      <c r="H145" s="54">
        <v>48299999.999999993</v>
      </c>
      <c r="I145" s="54" t="s">
        <v>170</v>
      </c>
      <c r="J145" s="54">
        <f>PR[[#This Row],[التكلفة (المحدثه)  شاملة الضريبة]]-K145</f>
        <v>0</v>
      </c>
      <c r="K145" s="54">
        <v>21863995.5</v>
      </c>
      <c r="L145" s="312">
        <v>21863995.5</v>
      </c>
      <c r="M145" s="43" t="s">
        <v>72</v>
      </c>
      <c r="N145" s="55" t="s">
        <v>267</v>
      </c>
      <c r="O145" s="45" t="s">
        <v>142</v>
      </c>
      <c r="P145" s="45"/>
      <c r="Q145" s="298">
        <v>21863995.5</v>
      </c>
      <c r="R145" s="77" t="s">
        <v>268</v>
      </c>
      <c r="S145" s="154">
        <v>45109</v>
      </c>
      <c r="T145" s="155">
        <v>45139</v>
      </c>
      <c r="U145" s="156">
        <v>45139</v>
      </c>
      <c r="V145" s="157">
        <v>45169</v>
      </c>
      <c r="W145" s="154">
        <v>45169</v>
      </c>
      <c r="X145" s="155">
        <v>45313</v>
      </c>
      <c r="Y145" s="156">
        <v>45370</v>
      </c>
      <c r="Z145" s="157">
        <v>45545</v>
      </c>
      <c r="AA145" s="154">
        <v>45585</v>
      </c>
      <c r="AB145" s="158">
        <v>45722</v>
      </c>
      <c r="AC145" s="168">
        <v>45798</v>
      </c>
      <c r="AD145" s="169">
        <v>46473</v>
      </c>
      <c r="AE145" s="287">
        <f>PR[[#This Row],[التكلفة (المحدثه)  شاملة الضريبة]]*0.9</f>
        <v>19677595.949999999</v>
      </c>
      <c r="AF145" s="168">
        <v>45857</v>
      </c>
      <c r="AG145" s="169">
        <v>46471</v>
      </c>
      <c r="AH145" s="302">
        <f>PR[[#This Row],[التكلفة (المحدثه)  شاملة الضريبة]]*0.1</f>
        <v>2186399.5500000003</v>
      </c>
      <c r="AI145" s="168">
        <v>46481</v>
      </c>
      <c r="AJ145" s="169">
        <v>46482</v>
      </c>
      <c r="AK145" s="8" t="s">
        <v>268</v>
      </c>
      <c r="AL145" s="28" t="s">
        <v>267</v>
      </c>
      <c r="AM145" s="183" t="s">
        <v>267</v>
      </c>
      <c r="AN145" s="9" t="s">
        <v>159</v>
      </c>
      <c r="AO145" s="10">
        <v>45553</v>
      </c>
      <c r="AP145" s="9">
        <v>602240273</v>
      </c>
      <c r="AQ145" s="10">
        <v>45575</v>
      </c>
      <c r="AR145" s="16" t="s">
        <v>267</v>
      </c>
      <c r="AS145" s="29" t="s">
        <v>146</v>
      </c>
      <c r="AT145" s="28"/>
      <c r="AU145" s="37">
        <v>21863995.5</v>
      </c>
      <c r="AV145" s="38">
        <v>45585</v>
      </c>
      <c r="AW145" s="38">
        <v>45656</v>
      </c>
      <c r="AX145" s="9">
        <v>601240239</v>
      </c>
      <c r="AY145" s="9" t="s">
        <v>346</v>
      </c>
      <c r="AZ145" s="38">
        <v>45722</v>
      </c>
      <c r="BA145" s="9"/>
    </row>
    <row r="146" spans="1:53" s="11" customFormat="1" ht="69.95" customHeight="1">
      <c r="A146" s="53" t="s">
        <v>550</v>
      </c>
      <c r="B146" s="57" t="s">
        <v>551</v>
      </c>
      <c r="C146" s="53" t="s">
        <v>68</v>
      </c>
      <c r="D146" s="53" t="s">
        <v>165</v>
      </c>
      <c r="E146" s="53" t="s">
        <v>395</v>
      </c>
      <c r="F146" s="53" t="s">
        <v>395</v>
      </c>
      <c r="G146" s="53" t="s">
        <v>94</v>
      </c>
      <c r="H146" s="54">
        <v>57499999.999999993</v>
      </c>
      <c r="I146" s="54" t="e">
        <v>#N/A</v>
      </c>
      <c r="J146" s="54">
        <f>PR[[#This Row],[التكلفة (المحدثه)  شاملة الضريبة]]-K146</f>
        <v>0</v>
      </c>
      <c r="K146" s="54">
        <v>23655694.350000001</v>
      </c>
      <c r="L146" s="312">
        <v>23655694.350000001</v>
      </c>
      <c r="M146" s="43" t="s">
        <v>72</v>
      </c>
      <c r="N146" s="55" t="s">
        <v>267</v>
      </c>
      <c r="O146" s="45" t="s">
        <v>142</v>
      </c>
      <c r="P146" s="45"/>
      <c r="Q146" s="298">
        <v>23655694.350000001</v>
      </c>
      <c r="R146" s="77" t="s">
        <v>268</v>
      </c>
      <c r="S146" s="265">
        <v>45297</v>
      </c>
      <c r="T146" s="266">
        <v>45327</v>
      </c>
      <c r="U146" s="156">
        <v>45327</v>
      </c>
      <c r="V146" s="157">
        <v>45342</v>
      </c>
      <c r="W146" s="154">
        <f>PR[[#This Row],[تاريخ نهاية المرحله…]]+1</f>
        <v>45343</v>
      </c>
      <c r="X146" s="155">
        <f>PR[[#This Row],[تاريخ بداية المرحله-.]]-1</f>
        <v>45463</v>
      </c>
      <c r="Y146" s="156">
        <v>45464</v>
      </c>
      <c r="Z146" s="157">
        <v>45509</v>
      </c>
      <c r="AA146" s="154">
        <v>45585</v>
      </c>
      <c r="AB146" s="158">
        <v>45742</v>
      </c>
      <c r="AC146" s="168">
        <v>45847</v>
      </c>
      <c r="AD146" s="169">
        <v>46852</v>
      </c>
      <c r="AE146" s="287">
        <f>PR[[#This Row],[التكلفة (المحدثه)  شاملة الضريبة]]*0.9</f>
        <v>21290124.915000003</v>
      </c>
      <c r="AF146" s="168">
        <v>45894</v>
      </c>
      <c r="AG146" s="169">
        <v>46839</v>
      </c>
      <c r="AH146" s="302">
        <f>PR[[#This Row],[التكلفة (المحدثه)  شاملة الضريبة]]*0.1</f>
        <v>2365569.4350000001</v>
      </c>
      <c r="AI146" s="168">
        <v>46846</v>
      </c>
      <c r="AJ146" s="169">
        <v>46856</v>
      </c>
      <c r="AK146" s="8" t="s">
        <v>268</v>
      </c>
      <c r="AL146" s="28" t="s">
        <v>267</v>
      </c>
      <c r="AM146" s="183" t="s">
        <v>267</v>
      </c>
      <c r="AN146" s="9" t="s">
        <v>159</v>
      </c>
      <c r="AO146" s="10">
        <v>45546</v>
      </c>
      <c r="AP146" s="9">
        <v>602240268</v>
      </c>
      <c r="AQ146" s="10">
        <v>45575</v>
      </c>
      <c r="AR146" s="16" t="s">
        <v>267</v>
      </c>
      <c r="AS146" s="29" t="s">
        <v>146</v>
      </c>
      <c r="AT146" s="28"/>
      <c r="AU146" s="37">
        <v>23655941.254999999</v>
      </c>
      <c r="AV146" s="38">
        <v>45585</v>
      </c>
      <c r="AW146" s="38">
        <v>45671</v>
      </c>
      <c r="AX146" s="9">
        <v>601250001</v>
      </c>
      <c r="AY146" s="9" t="s">
        <v>552</v>
      </c>
      <c r="AZ146" s="38">
        <v>45742</v>
      </c>
      <c r="BA146" s="9"/>
    </row>
    <row r="147" spans="1:53" s="11" customFormat="1" ht="69.95" customHeight="1">
      <c r="A147" s="53" t="s">
        <v>553</v>
      </c>
      <c r="B147" s="57" t="s">
        <v>554</v>
      </c>
      <c r="C147" s="53" t="s">
        <v>68</v>
      </c>
      <c r="D147" s="53"/>
      <c r="E147" s="53" t="s">
        <v>395</v>
      </c>
      <c r="F147" s="53" t="s">
        <v>395</v>
      </c>
      <c r="G147" s="53"/>
      <c r="H147" s="54"/>
      <c r="I147" s="54"/>
      <c r="J147" s="54">
        <f>PR[[#This Row],[التكلفة (المحدثه)  شاملة الضريبة]]-K147</f>
        <v>0</v>
      </c>
      <c r="K147" s="54">
        <v>6273047.5700000003</v>
      </c>
      <c r="L147" s="312">
        <v>6273047.5700000003</v>
      </c>
      <c r="M147" s="43"/>
      <c r="N147" s="139"/>
      <c r="O147" s="68"/>
      <c r="P147" s="68"/>
      <c r="Q147" s="299">
        <v>6273047.5700000003</v>
      </c>
      <c r="R147" s="190" t="s">
        <v>268</v>
      </c>
      <c r="S147" s="267">
        <v>45268</v>
      </c>
      <c r="T147" s="268">
        <v>45298</v>
      </c>
      <c r="U147" s="172">
        <v>45298</v>
      </c>
      <c r="V147" s="173">
        <v>45328</v>
      </c>
      <c r="W147" s="174">
        <v>45329</v>
      </c>
      <c r="X147" s="175">
        <v>45357</v>
      </c>
      <c r="Y147" s="172">
        <v>45358</v>
      </c>
      <c r="Z147" s="173">
        <v>45403</v>
      </c>
      <c r="AA147" s="147">
        <v>45411</v>
      </c>
      <c r="AB147" s="167">
        <v>45501</v>
      </c>
      <c r="AC147" s="151">
        <v>45522</v>
      </c>
      <c r="AD147" s="192">
        <v>45979</v>
      </c>
      <c r="AE147" s="288">
        <f>PR[[#This Row],[التكلفة (المحدثه)  شاملة الضريبة]]*0.9</f>
        <v>5645742.8130000001</v>
      </c>
      <c r="AF147" s="151">
        <v>45958</v>
      </c>
      <c r="AG147" s="192">
        <v>45974</v>
      </c>
      <c r="AH147" s="303">
        <f>PR[[#This Row],[التكلفة (المحدثه)  شاملة الضريبة]]*0.1</f>
        <v>627304.7570000001</v>
      </c>
      <c r="AI147" s="151">
        <v>45976</v>
      </c>
      <c r="AJ147" s="192">
        <v>45981</v>
      </c>
      <c r="AK147" s="140"/>
      <c r="AL147" s="141"/>
      <c r="AM147" s="194"/>
      <c r="AN147" s="9"/>
      <c r="AO147" s="10"/>
      <c r="AP147" s="9"/>
      <c r="AQ147" s="10"/>
      <c r="AR147" s="142"/>
      <c r="AS147" s="29"/>
      <c r="AT147" s="29"/>
      <c r="AU147" s="29"/>
      <c r="AV147" s="9"/>
      <c r="AW147" s="9"/>
      <c r="AX147" s="9"/>
      <c r="AY147" s="9"/>
      <c r="AZ147" s="9"/>
      <c r="BA147" s="9"/>
    </row>
    <row r="148" spans="1:53" ht="79.5" customHeight="1">
      <c r="A148" s="53" t="s">
        <v>555</v>
      </c>
      <c r="B148" s="57" t="s">
        <v>556</v>
      </c>
      <c r="C148" s="188" t="s">
        <v>68</v>
      </c>
      <c r="D148" s="53"/>
      <c r="E148" s="53" t="s">
        <v>395</v>
      </c>
      <c r="F148" s="53" t="s">
        <v>395</v>
      </c>
      <c r="G148" s="53"/>
      <c r="H148" s="54"/>
      <c r="I148" s="54"/>
      <c r="J148" s="54">
        <f>PR[[#This Row],[التكلفة (المحدثه)  شاملة الضريبة]]-K148</f>
        <v>0</v>
      </c>
      <c r="K148" s="54">
        <v>38115572.630000003</v>
      </c>
      <c r="L148" s="312">
        <v>38115572.630000003</v>
      </c>
      <c r="M148" s="43"/>
      <c r="N148" s="139"/>
      <c r="O148" s="68"/>
      <c r="P148" s="68"/>
      <c r="Q148" s="299">
        <v>38115572.630000003</v>
      </c>
      <c r="R148" s="190" t="s">
        <v>268</v>
      </c>
      <c r="S148" s="174">
        <v>45296</v>
      </c>
      <c r="T148" s="175">
        <v>45326</v>
      </c>
      <c r="U148" s="172">
        <v>45326</v>
      </c>
      <c r="V148" s="173">
        <v>45356</v>
      </c>
      <c r="W148" s="174">
        <v>45357</v>
      </c>
      <c r="X148" s="175">
        <v>45385</v>
      </c>
      <c r="Y148" s="172">
        <v>45386</v>
      </c>
      <c r="Z148" s="173">
        <v>45431</v>
      </c>
      <c r="AA148" s="147">
        <v>45439</v>
      </c>
      <c r="AB148" s="167">
        <v>45564</v>
      </c>
      <c r="AC148" s="191" t="s">
        <v>557</v>
      </c>
      <c r="AD148" s="192">
        <v>46037</v>
      </c>
      <c r="AE148" s="288">
        <f>PR[[#This Row],[التكلفة (المحدثه)  شاملة الضريبة]]*0.9</f>
        <v>34304015.367000006</v>
      </c>
      <c r="AF148" s="151" t="s">
        <v>558</v>
      </c>
      <c r="AG148" s="192">
        <v>46047</v>
      </c>
      <c r="AH148" s="303">
        <f>PR[[#This Row],[التكلفة (المحدثه)  شاملة الضريبة]]*0.1</f>
        <v>3811557.2630000003</v>
      </c>
      <c r="AI148" s="191">
        <v>46051</v>
      </c>
      <c r="AJ148" s="193">
        <v>46056</v>
      </c>
      <c r="AK148" s="140"/>
      <c r="AL148" s="141"/>
      <c r="AM148" s="141"/>
      <c r="AN148" s="9"/>
      <c r="AO148" s="10"/>
      <c r="AP148" s="9"/>
      <c r="AQ148" s="10"/>
      <c r="AR148" s="142"/>
      <c r="AS148" s="29"/>
      <c r="AT148" s="29"/>
      <c r="AU148" s="29"/>
      <c r="AV148" s="9"/>
      <c r="AW148" s="9"/>
      <c r="AX148" s="9"/>
      <c r="AY148" s="9"/>
      <c r="AZ148" s="9"/>
      <c r="BA148" s="9"/>
    </row>
    <row r="149" spans="1:53" ht="43.5" customHeight="1">
      <c r="A149" s="53" t="s">
        <v>559</v>
      </c>
      <c r="B149" s="57" t="s">
        <v>560</v>
      </c>
      <c r="C149" s="187" t="s">
        <v>68</v>
      </c>
      <c r="D149" s="53"/>
      <c r="E149" s="53" t="s">
        <v>395</v>
      </c>
      <c r="F149" s="53" t="s">
        <v>395</v>
      </c>
      <c r="G149" s="53"/>
      <c r="H149" s="54"/>
      <c r="I149" s="54"/>
      <c r="J149" s="54">
        <f>PR[[#This Row],[التكلفة (المحدثه)  شاملة الضريبة]]-K149</f>
        <v>0</v>
      </c>
      <c r="K149" s="54">
        <v>14758525.9</v>
      </c>
      <c r="L149" s="312">
        <v>14758525.9</v>
      </c>
      <c r="M149" s="43"/>
      <c r="N149" s="139"/>
      <c r="O149" s="68"/>
      <c r="P149" s="68"/>
      <c r="Q149" s="300">
        <v>14758525.9</v>
      </c>
      <c r="R149" s="186" t="s">
        <v>268</v>
      </c>
      <c r="S149" s="267">
        <v>45109</v>
      </c>
      <c r="T149" s="268">
        <v>45139</v>
      </c>
      <c r="U149" s="269">
        <v>45139</v>
      </c>
      <c r="V149" s="270">
        <v>45169</v>
      </c>
      <c r="W149" s="267">
        <v>45169</v>
      </c>
      <c r="X149" s="268">
        <v>45312</v>
      </c>
      <c r="Y149" s="172">
        <v>45386</v>
      </c>
      <c r="Z149" s="176">
        <v>45562</v>
      </c>
      <c r="AA149" s="177">
        <v>45840</v>
      </c>
      <c r="AB149" s="178">
        <v>45840</v>
      </c>
      <c r="AC149" s="191" t="s">
        <v>561</v>
      </c>
      <c r="AD149" s="192">
        <v>46268</v>
      </c>
      <c r="AE149" s="288">
        <f>PR[[#This Row],[التكلفة (المحدثه)  شاملة الضريبة]]*0.9</f>
        <v>13282673.310000001</v>
      </c>
      <c r="AF149" s="151" t="s">
        <v>562</v>
      </c>
      <c r="AG149" s="192">
        <v>46270</v>
      </c>
      <c r="AH149" s="303">
        <f>PR[[#This Row],[التكلفة (المحدثه)  شاملة الضريبة]]*0.1</f>
        <v>1475852.59</v>
      </c>
      <c r="AI149" s="191">
        <v>46273</v>
      </c>
      <c r="AJ149" s="193">
        <v>46273</v>
      </c>
      <c r="AK149" s="140"/>
      <c r="AL149" s="141"/>
      <c r="AM149" s="141"/>
      <c r="AN149" s="9"/>
      <c r="AO149" s="10"/>
      <c r="AP149" s="9"/>
      <c r="AQ149" s="10"/>
      <c r="AR149" s="142"/>
      <c r="AS149" s="9"/>
      <c r="AT149" s="29"/>
      <c r="AU149" s="9"/>
      <c r="AV149" s="9"/>
      <c r="AW149" s="9"/>
      <c r="AX149" s="9"/>
      <c r="AY149" s="9"/>
      <c r="AZ149" s="9"/>
      <c r="BA149" s="9"/>
    </row>
    <row r="150" spans="1:53">
      <c r="A150" s="64"/>
      <c r="C150" s="66"/>
    </row>
    <row r="151" spans="1:53">
      <c r="A151" s="64"/>
      <c r="C151" s="66"/>
    </row>
    <row r="152" spans="1:53">
      <c r="A152" s="64"/>
      <c r="C152" s="66"/>
    </row>
    <row r="153" spans="1:53" ht="24.6">
      <c r="A153" s="63"/>
      <c r="C153" s="66"/>
    </row>
    <row r="154" spans="1:53" ht="24.6">
      <c r="A154" s="63"/>
      <c r="C154" s="66"/>
    </row>
    <row r="155" spans="1:53" ht="24.6">
      <c r="A155" s="63"/>
      <c r="C155" s="66"/>
    </row>
    <row r="156" spans="1:53" ht="24.6">
      <c r="A156" s="67"/>
      <c r="C156" s="66"/>
    </row>
  </sheetData>
  <sheetProtection formatCells="0" formatColumns="0" formatRows="0" selectLockedCells="1" sort="0" autoFilter="0" pivotTables="0"/>
  <mergeCells count="13">
    <mergeCell ref="S3:T3"/>
    <mergeCell ref="U3:V3"/>
    <mergeCell ref="W3:X3"/>
    <mergeCell ref="AU4:BA4"/>
    <mergeCell ref="AI4:AJ4"/>
    <mergeCell ref="AA4:AB4"/>
    <mergeCell ref="Y4:Z4"/>
    <mergeCell ref="W4:X4"/>
    <mergeCell ref="U4:V4"/>
    <mergeCell ref="AN4:AQ4"/>
    <mergeCell ref="S4:T4"/>
    <mergeCell ref="AC4:AE4"/>
    <mergeCell ref="AF4:AH4"/>
  </mergeCells>
  <phoneticPr fontId="15" type="noConversion"/>
  <conditionalFormatting sqref="A1:A1048576">
    <cfRule type="duplicateValues" dxfId="221" priority="2"/>
  </conditionalFormatting>
  <conditionalFormatting sqref="A6:A149">
    <cfRule type="duplicateValues" dxfId="220" priority="77"/>
  </conditionalFormatting>
  <conditionalFormatting sqref="A6:A156">
    <cfRule type="duplicateValues" dxfId="219" priority="83"/>
  </conditionalFormatting>
  <conditionalFormatting sqref="A150:A151">
    <cfRule type="duplicateValues" dxfId="218" priority="10"/>
  </conditionalFormatting>
  <conditionalFormatting sqref="A152">
    <cfRule type="duplicateValues" dxfId="217" priority="11"/>
  </conditionalFormatting>
  <conditionalFormatting sqref="A153:A155">
    <cfRule type="duplicateValues" dxfId="216" priority="15"/>
    <cfRule type="duplicateValues" dxfId="215" priority="16"/>
    <cfRule type="duplicateValues" dxfId="214" priority="17"/>
  </conditionalFormatting>
  <conditionalFormatting sqref="A156">
    <cfRule type="duplicateValues" dxfId="213" priority="12"/>
    <cfRule type="duplicateValues" dxfId="212" priority="13"/>
    <cfRule type="duplicateValues" dxfId="211" priority="14"/>
  </conditionalFormatting>
  <pageMargins left="0.23622047244094491" right="0.23622047244094491" top="0.74803149606299213" bottom="0.74803149606299213" header="0.31496062992125984" footer="0.31496062992125984"/>
  <pageSetup paperSize="8" scale="27"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3E63-9FA7-4B0F-A1CB-AEED0A982B53}">
  <dimension ref="A1:P153"/>
  <sheetViews>
    <sheetView rightToLeft="1" workbookViewId="0">
      <selection activeCell="O3" sqref="O3"/>
    </sheetView>
  </sheetViews>
  <sheetFormatPr defaultRowHeight="14.45"/>
  <cols>
    <col min="1" max="4" width="10.140625" bestFit="1" customWidth="1"/>
    <col min="5" max="5" width="9.85546875" bestFit="1" customWidth="1"/>
    <col min="6" max="10" width="10.140625" bestFit="1" customWidth="1"/>
    <col min="11" max="11" width="11.7109375" bestFit="1" customWidth="1"/>
    <col min="12" max="16" width="10.140625" bestFit="1" customWidth="1"/>
  </cols>
  <sheetData>
    <row r="1" spans="1:16">
      <c r="A1" s="153">
        <v>45109</v>
      </c>
      <c r="B1" s="153">
        <v>45139</v>
      </c>
      <c r="C1" s="153">
        <v>45139</v>
      </c>
      <c r="D1" s="153">
        <v>45169</v>
      </c>
      <c r="E1" s="153">
        <v>45169</v>
      </c>
      <c r="F1" s="153">
        <v>45312</v>
      </c>
      <c r="G1" s="153">
        <v>45386</v>
      </c>
      <c r="H1" s="153">
        <v>45566</v>
      </c>
      <c r="I1" s="153">
        <v>45592</v>
      </c>
      <c r="J1" s="153">
        <v>45944</v>
      </c>
      <c r="K1" s="153">
        <v>46004</v>
      </c>
      <c r="L1" s="153">
        <v>46618</v>
      </c>
      <c r="M1" s="153">
        <v>46046</v>
      </c>
      <c r="N1" s="153">
        <v>46662</v>
      </c>
      <c r="O1" s="153">
        <v>46643</v>
      </c>
      <c r="P1" s="153">
        <v>46681</v>
      </c>
    </row>
    <row r="2" spans="1:16">
      <c r="A2" s="153">
        <v>45109</v>
      </c>
      <c r="B2" s="153">
        <v>45139</v>
      </c>
      <c r="C2" s="153">
        <v>45139</v>
      </c>
      <c r="D2" s="153">
        <v>45169</v>
      </c>
      <c r="E2" s="153">
        <v>45169</v>
      </c>
      <c r="F2" s="153">
        <v>45313</v>
      </c>
      <c r="G2" s="153">
        <v>45400</v>
      </c>
      <c r="H2" s="153">
        <v>45593</v>
      </c>
      <c r="I2" s="153">
        <v>45631</v>
      </c>
      <c r="J2" s="153">
        <v>45803</v>
      </c>
      <c r="K2" s="153">
        <v>45910</v>
      </c>
      <c r="L2" s="153">
        <v>46903</v>
      </c>
      <c r="M2" s="153">
        <v>45997</v>
      </c>
      <c r="N2" s="153">
        <v>46889</v>
      </c>
      <c r="O2" s="153">
        <v>46904</v>
      </c>
      <c r="P2" s="153">
        <v>46918</v>
      </c>
    </row>
    <row r="3" spans="1:16">
      <c r="A3" s="153">
        <v>45109</v>
      </c>
      <c r="B3" s="153">
        <v>45139</v>
      </c>
      <c r="C3" s="153">
        <v>45139</v>
      </c>
      <c r="D3" s="153">
        <v>45169</v>
      </c>
      <c r="E3" s="153">
        <v>45169</v>
      </c>
      <c r="F3" s="153">
        <v>45313</v>
      </c>
      <c r="G3" s="153">
        <v>45370</v>
      </c>
      <c r="H3" s="153">
        <v>45594</v>
      </c>
      <c r="I3" s="153">
        <v>45635</v>
      </c>
      <c r="J3" s="153">
        <v>45852</v>
      </c>
      <c r="K3" s="153">
        <v>45952</v>
      </c>
      <c r="L3" s="153">
        <v>46961</v>
      </c>
      <c r="M3" s="153">
        <v>46039</v>
      </c>
      <c r="N3" s="153">
        <v>46961</v>
      </c>
      <c r="O3" s="153">
        <v>46944</v>
      </c>
      <c r="P3" s="153">
        <v>46961</v>
      </c>
    </row>
    <row r="4" spans="1:16">
      <c r="A4" s="153">
        <v>45109</v>
      </c>
      <c r="B4" s="153">
        <v>45139</v>
      </c>
      <c r="C4" s="153">
        <v>45139</v>
      </c>
      <c r="D4" s="153">
        <v>45169</v>
      </c>
      <c r="E4" s="153">
        <v>45169</v>
      </c>
      <c r="F4" s="153">
        <v>45312</v>
      </c>
      <c r="G4" s="153">
        <v>45386</v>
      </c>
      <c r="H4" s="153">
        <v>45603</v>
      </c>
      <c r="I4" s="153">
        <v>45687</v>
      </c>
      <c r="J4" s="153">
        <v>45943</v>
      </c>
      <c r="K4" s="153">
        <v>46033</v>
      </c>
      <c r="L4" s="153">
        <v>46965</v>
      </c>
      <c r="M4" s="153">
        <v>46120</v>
      </c>
      <c r="N4" s="153">
        <v>46965</v>
      </c>
      <c r="O4" s="153">
        <v>47009</v>
      </c>
      <c r="P4" s="153">
        <v>47044</v>
      </c>
    </row>
    <row r="5" spans="1:16">
      <c r="A5" s="153">
        <v>45109</v>
      </c>
      <c r="B5" s="153">
        <v>45139</v>
      </c>
      <c r="C5" s="153">
        <v>45139</v>
      </c>
      <c r="D5" s="153">
        <v>45169</v>
      </c>
      <c r="E5" s="153">
        <v>45169</v>
      </c>
      <c r="F5" s="153">
        <v>45312</v>
      </c>
      <c r="G5" s="153">
        <v>45386</v>
      </c>
      <c r="H5" s="153">
        <v>45603</v>
      </c>
      <c r="I5" s="153">
        <v>45642</v>
      </c>
      <c r="J5" s="153">
        <v>45902</v>
      </c>
      <c r="K5" s="153">
        <v>45997</v>
      </c>
      <c r="L5" s="153">
        <v>46972</v>
      </c>
      <c r="M5" s="153">
        <v>46043</v>
      </c>
      <c r="N5" s="153">
        <v>46909</v>
      </c>
      <c r="O5" s="153">
        <v>46754</v>
      </c>
      <c r="P5" s="153">
        <v>47003</v>
      </c>
    </row>
    <row r="6" spans="1:16">
      <c r="A6" s="153">
        <v>45457</v>
      </c>
      <c r="B6" s="153">
        <v>45487</v>
      </c>
      <c r="C6" s="153">
        <v>45487</v>
      </c>
      <c r="D6" s="153">
        <v>45508</v>
      </c>
      <c r="E6" s="153" t="s">
        <v>527</v>
      </c>
      <c r="F6" s="153" t="s">
        <v>527</v>
      </c>
      <c r="G6" s="153">
        <v>45527</v>
      </c>
      <c r="H6" s="153">
        <v>45564</v>
      </c>
      <c r="I6" s="153">
        <v>45589</v>
      </c>
      <c r="J6" s="153">
        <v>46142</v>
      </c>
      <c r="K6" s="153">
        <v>46204</v>
      </c>
      <c r="L6" s="153">
        <v>46553</v>
      </c>
      <c r="M6" s="153">
        <v>46388</v>
      </c>
      <c r="N6" s="153">
        <v>46558</v>
      </c>
      <c r="O6" s="153">
        <v>46478</v>
      </c>
      <c r="P6" s="153">
        <v>46568</v>
      </c>
    </row>
    <row r="7" spans="1:16">
      <c r="A7" s="153">
        <v>45479</v>
      </c>
      <c r="B7" s="153">
        <v>45509</v>
      </c>
      <c r="C7" s="153">
        <v>45509</v>
      </c>
      <c r="D7" s="153">
        <v>45529</v>
      </c>
      <c r="E7" s="153" t="s">
        <v>527</v>
      </c>
      <c r="F7" s="153" t="s">
        <v>527</v>
      </c>
      <c r="G7" s="153">
        <v>45549</v>
      </c>
      <c r="H7" s="153">
        <v>45593</v>
      </c>
      <c r="I7" s="153">
        <v>45652</v>
      </c>
      <c r="J7" s="153">
        <v>45871</v>
      </c>
      <c r="K7" s="153">
        <v>45871</v>
      </c>
      <c r="L7" s="153"/>
      <c r="M7" s="153"/>
      <c r="N7" s="153"/>
      <c r="O7" s="153"/>
      <c r="P7" s="153"/>
    </row>
    <row r="8" spans="1:16">
      <c r="A8" s="153">
        <v>45479</v>
      </c>
      <c r="B8" s="153">
        <v>45509</v>
      </c>
      <c r="C8" s="153">
        <v>45509</v>
      </c>
      <c r="D8" s="153">
        <v>45529</v>
      </c>
      <c r="E8" s="153" t="s">
        <v>527</v>
      </c>
      <c r="F8" s="153" t="s">
        <v>527</v>
      </c>
      <c r="G8" s="153">
        <v>45549</v>
      </c>
      <c r="H8" s="153">
        <v>45593</v>
      </c>
      <c r="I8" s="153">
        <v>45767</v>
      </c>
      <c r="J8" s="153">
        <v>45914</v>
      </c>
      <c r="K8" s="153">
        <v>45914</v>
      </c>
      <c r="L8" s="153"/>
      <c r="M8" s="153"/>
      <c r="N8" s="153"/>
      <c r="O8" s="153"/>
      <c r="P8" s="153"/>
    </row>
    <row r="9" spans="1:16">
      <c r="A9" s="153">
        <v>45109</v>
      </c>
      <c r="B9" s="153">
        <v>45139</v>
      </c>
      <c r="C9" s="153">
        <v>45139</v>
      </c>
      <c r="D9" s="153">
        <v>45169</v>
      </c>
      <c r="E9" s="153">
        <v>45169</v>
      </c>
      <c r="F9" s="153">
        <v>45312</v>
      </c>
      <c r="G9" s="153">
        <v>45386</v>
      </c>
      <c r="H9" s="153">
        <v>45627</v>
      </c>
      <c r="I9" s="153">
        <v>45707</v>
      </c>
      <c r="J9" s="153">
        <v>46142</v>
      </c>
      <c r="K9" s="153">
        <v>46204</v>
      </c>
      <c r="L9" s="153">
        <v>46919</v>
      </c>
      <c r="M9" s="153">
        <v>47119</v>
      </c>
      <c r="N9" s="153">
        <v>47289</v>
      </c>
      <c r="O9" s="153">
        <v>47209</v>
      </c>
      <c r="P9" s="153">
        <v>47299</v>
      </c>
    </row>
    <row r="10" spans="1:16">
      <c r="A10" s="153">
        <v>45109</v>
      </c>
      <c r="B10" s="153">
        <v>45139</v>
      </c>
      <c r="C10" s="153">
        <v>45139</v>
      </c>
      <c r="D10" s="153">
        <v>45169</v>
      </c>
      <c r="E10" s="153">
        <v>45169</v>
      </c>
      <c r="F10" s="153">
        <v>45313</v>
      </c>
      <c r="G10" s="153">
        <v>45400</v>
      </c>
      <c r="H10" s="153">
        <v>45634</v>
      </c>
      <c r="I10" s="153">
        <v>45825</v>
      </c>
      <c r="J10" s="153">
        <v>46142</v>
      </c>
      <c r="K10" s="153">
        <v>46204</v>
      </c>
      <c r="L10" s="153">
        <v>47284</v>
      </c>
      <c r="M10" s="153">
        <v>47119</v>
      </c>
      <c r="N10" s="153">
        <v>47289</v>
      </c>
      <c r="O10" s="153">
        <v>47209</v>
      </c>
      <c r="P10" s="153">
        <v>47299</v>
      </c>
    </row>
    <row r="11" spans="1:16">
      <c r="A11" s="153">
        <v>45109</v>
      </c>
      <c r="B11" s="153">
        <v>45139</v>
      </c>
      <c r="C11" s="153">
        <v>45139</v>
      </c>
      <c r="D11" s="153">
        <v>45169</v>
      </c>
      <c r="E11" s="153">
        <v>45169</v>
      </c>
      <c r="F11" s="153">
        <v>45313</v>
      </c>
      <c r="G11" s="153">
        <v>45370</v>
      </c>
      <c r="H11" s="153">
        <v>45627</v>
      </c>
      <c r="I11" s="153">
        <v>46006</v>
      </c>
      <c r="J11" s="153">
        <v>46142</v>
      </c>
      <c r="K11" s="153">
        <v>46204</v>
      </c>
      <c r="L11" s="153">
        <v>47284</v>
      </c>
      <c r="M11" s="153">
        <v>47119</v>
      </c>
      <c r="N11" s="153">
        <v>47289</v>
      </c>
      <c r="O11" s="153">
        <v>47209</v>
      </c>
      <c r="P11" s="153">
        <v>47299</v>
      </c>
    </row>
    <row r="12" spans="1:16">
      <c r="A12" s="153">
        <v>45438</v>
      </c>
      <c r="B12" s="153">
        <v>45468</v>
      </c>
      <c r="C12" s="153">
        <v>45468</v>
      </c>
      <c r="D12" s="153">
        <v>45498</v>
      </c>
      <c r="E12" s="153" t="s">
        <v>527</v>
      </c>
      <c r="F12" s="153" t="s">
        <v>527</v>
      </c>
      <c r="G12" s="153">
        <v>45558</v>
      </c>
      <c r="H12" s="153">
        <v>45603</v>
      </c>
      <c r="I12" s="153">
        <v>45729</v>
      </c>
      <c r="J12" s="153">
        <v>46142</v>
      </c>
      <c r="K12" s="153">
        <v>46204</v>
      </c>
      <c r="L12" s="153">
        <v>46919</v>
      </c>
      <c r="M12" s="153">
        <v>46753</v>
      </c>
      <c r="N12" s="153">
        <v>46924</v>
      </c>
      <c r="O12" s="153">
        <v>46844</v>
      </c>
      <c r="P12" s="153">
        <v>46934</v>
      </c>
    </row>
    <row r="13" spans="1:16">
      <c r="A13" s="153">
        <v>45109</v>
      </c>
      <c r="B13" s="153">
        <v>45139</v>
      </c>
      <c r="C13" s="153">
        <v>45139</v>
      </c>
      <c r="D13" s="153">
        <v>45169</v>
      </c>
      <c r="E13" s="153">
        <v>45169</v>
      </c>
      <c r="F13" s="153">
        <v>45312</v>
      </c>
      <c r="G13" s="153">
        <v>45386</v>
      </c>
      <c r="H13" s="153">
        <v>45627</v>
      </c>
      <c r="I13" s="153">
        <v>45729</v>
      </c>
      <c r="J13" s="153">
        <v>46142</v>
      </c>
      <c r="K13" s="153">
        <v>46204</v>
      </c>
      <c r="L13" s="153">
        <v>47284</v>
      </c>
      <c r="M13" s="153">
        <v>47119</v>
      </c>
      <c r="N13" s="153">
        <v>47289</v>
      </c>
      <c r="O13" s="153">
        <v>47209</v>
      </c>
      <c r="P13" s="153">
        <v>47299</v>
      </c>
    </row>
    <row r="14" spans="1:16">
      <c r="A14" s="153">
        <v>45109</v>
      </c>
      <c r="B14" s="153">
        <v>45139</v>
      </c>
      <c r="C14" s="153">
        <v>45139</v>
      </c>
      <c r="D14" s="153">
        <v>45169</v>
      </c>
      <c r="E14" s="153">
        <v>45169</v>
      </c>
      <c r="F14" s="153">
        <v>45313</v>
      </c>
      <c r="G14" s="153">
        <v>45560</v>
      </c>
      <c r="H14" s="153">
        <v>45638</v>
      </c>
      <c r="I14" s="153">
        <v>45700</v>
      </c>
      <c r="J14" s="153">
        <v>46142</v>
      </c>
      <c r="K14" s="153">
        <v>46204</v>
      </c>
      <c r="L14" s="153">
        <v>47284</v>
      </c>
      <c r="M14" s="153">
        <v>47119</v>
      </c>
      <c r="N14" s="153">
        <v>47289</v>
      </c>
      <c r="O14" s="153">
        <v>47209</v>
      </c>
      <c r="P14" s="153">
        <v>47299</v>
      </c>
    </row>
    <row r="15" spans="1:16">
      <c r="A15" s="153">
        <v>45109</v>
      </c>
      <c r="B15" s="153">
        <v>45139</v>
      </c>
      <c r="C15" s="153">
        <v>45139</v>
      </c>
      <c r="D15" s="153">
        <v>45169</v>
      </c>
      <c r="E15" s="153">
        <v>45169</v>
      </c>
      <c r="F15" s="153">
        <v>45313</v>
      </c>
      <c r="G15" s="153">
        <v>45370</v>
      </c>
      <c r="H15" s="153">
        <v>45643</v>
      </c>
      <c r="I15" s="153">
        <v>45733</v>
      </c>
      <c r="J15" s="153">
        <v>46142</v>
      </c>
      <c r="K15" s="153">
        <v>46204</v>
      </c>
      <c r="L15" s="153">
        <v>47284</v>
      </c>
      <c r="M15" s="153">
        <v>47119</v>
      </c>
      <c r="N15" s="153">
        <v>47289</v>
      </c>
      <c r="O15" s="153">
        <v>47209</v>
      </c>
      <c r="P15" s="153">
        <v>47299</v>
      </c>
    </row>
    <row r="16" spans="1:16">
      <c r="A16" s="153">
        <v>45109</v>
      </c>
      <c r="B16" s="153">
        <v>45139</v>
      </c>
      <c r="C16" s="153">
        <v>45139</v>
      </c>
      <c r="D16" s="153">
        <v>45169</v>
      </c>
      <c r="E16" s="153">
        <v>45169</v>
      </c>
      <c r="F16" s="153">
        <v>45312</v>
      </c>
      <c r="G16" s="153">
        <v>45575</v>
      </c>
      <c r="H16" s="153">
        <v>45645</v>
      </c>
      <c r="I16" s="153">
        <v>46006</v>
      </c>
      <c r="J16" s="153">
        <v>46142</v>
      </c>
      <c r="K16" s="153">
        <v>46204</v>
      </c>
      <c r="L16" s="153">
        <v>47284</v>
      </c>
      <c r="M16" s="153">
        <v>47119</v>
      </c>
      <c r="N16" s="153">
        <v>47289</v>
      </c>
      <c r="O16" s="153">
        <v>47209</v>
      </c>
      <c r="P16" s="153">
        <v>47299</v>
      </c>
    </row>
    <row r="17" spans="1:16">
      <c r="A17" s="153">
        <v>45109</v>
      </c>
      <c r="B17" s="153">
        <v>45139</v>
      </c>
      <c r="C17" s="153">
        <v>45139</v>
      </c>
      <c r="D17" s="153">
        <v>45169</v>
      </c>
      <c r="E17" s="153">
        <v>45169</v>
      </c>
      <c r="F17" s="153">
        <v>45312</v>
      </c>
      <c r="G17" s="153">
        <v>45575</v>
      </c>
      <c r="H17" s="153">
        <v>45637</v>
      </c>
      <c r="I17" s="153">
        <v>45665</v>
      </c>
      <c r="J17" s="153">
        <v>45972</v>
      </c>
      <c r="K17" s="153">
        <v>46204</v>
      </c>
      <c r="L17" s="153"/>
      <c r="M17" s="153"/>
      <c r="N17" s="153"/>
      <c r="O17" s="153"/>
      <c r="P17" s="153"/>
    </row>
    <row r="18" spans="1:16">
      <c r="A18" s="153">
        <v>45109</v>
      </c>
      <c r="B18" s="153">
        <v>45139</v>
      </c>
      <c r="C18" s="153">
        <v>45139</v>
      </c>
      <c r="D18" s="153">
        <v>45169</v>
      </c>
      <c r="E18" s="153">
        <v>45169</v>
      </c>
      <c r="F18" s="153">
        <v>45312</v>
      </c>
      <c r="G18" s="153">
        <v>45575</v>
      </c>
      <c r="H18" s="153">
        <v>45638</v>
      </c>
      <c r="I18" s="153">
        <v>45734</v>
      </c>
      <c r="J18" s="153">
        <v>46142</v>
      </c>
      <c r="K18" s="153">
        <v>46204</v>
      </c>
      <c r="L18" s="153">
        <v>47284</v>
      </c>
      <c r="M18" s="153">
        <v>47119</v>
      </c>
      <c r="N18" s="153">
        <v>47289</v>
      </c>
      <c r="O18" s="153">
        <v>47209</v>
      </c>
      <c r="P18" s="153">
        <v>47299</v>
      </c>
    </row>
    <row r="19" spans="1:16">
      <c r="A19" s="153">
        <v>45109</v>
      </c>
      <c r="B19" s="153">
        <v>45139</v>
      </c>
      <c r="C19" s="153">
        <v>45139</v>
      </c>
      <c r="D19" s="153">
        <v>45169</v>
      </c>
      <c r="E19" s="153">
        <v>45169</v>
      </c>
      <c r="F19" s="153">
        <v>45312</v>
      </c>
      <c r="G19" s="153">
        <v>45575</v>
      </c>
      <c r="H19" s="153">
        <v>45641</v>
      </c>
      <c r="I19" s="153">
        <v>45707</v>
      </c>
      <c r="J19" s="153">
        <v>46142</v>
      </c>
      <c r="K19" s="153">
        <v>46204</v>
      </c>
      <c r="L19" s="153">
        <v>46919</v>
      </c>
      <c r="M19" s="153">
        <v>46753</v>
      </c>
      <c r="N19" s="153">
        <v>46924</v>
      </c>
      <c r="O19" s="153">
        <v>46844</v>
      </c>
      <c r="P19" s="153">
        <v>46934</v>
      </c>
    </row>
    <row r="20" spans="1:16">
      <c r="A20" s="153">
        <v>45109</v>
      </c>
      <c r="B20" s="153">
        <v>45139</v>
      </c>
      <c r="C20" s="153">
        <v>45139</v>
      </c>
      <c r="D20" s="153">
        <v>45169</v>
      </c>
      <c r="E20" s="153">
        <v>45169</v>
      </c>
      <c r="F20" s="153">
        <v>45312</v>
      </c>
      <c r="G20" s="153">
        <v>45575</v>
      </c>
      <c r="H20" s="153">
        <v>45641</v>
      </c>
      <c r="I20" s="153">
        <v>45707</v>
      </c>
      <c r="J20" s="153">
        <v>46142</v>
      </c>
      <c r="K20" s="153">
        <v>46204</v>
      </c>
      <c r="L20" s="153">
        <v>46919</v>
      </c>
      <c r="M20" s="153">
        <v>46753</v>
      </c>
      <c r="N20" s="153">
        <v>46924</v>
      </c>
      <c r="O20" s="153">
        <v>46844</v>
      </c>
      <c r="P20" s="153">
        <v>46934</v>
      </c>
    </row>
    <row r="21" spans="1:16">
      <c r="A21" s="153">
        <v>45109</v>
      </c>
      <c r="B21" s="153">
        <v>45139</v>
      </c>
      <c r="C21" s="153">
        <v>45139</v>
      </c>
      <c r="D21" s="153">
        <v>45169</v>
      </c>
      <c r="E21" s="153">
        <v>45169</v>
      </c>
      <c r="F21" s="153">
        <v>45312</v>
      </c>
      <c r="G21" s="153">
        <v>45575</v>
      </c>
      <c r="H21" s="153">
        <v>45643</v>
      </c>
      <c r="I21" s="153">
        <v>45729</v>
      </c>
      <c r="J21" s="153">
        <v>46142</v>
      </c>
      <c r="K21" s="153">
        <v>46204</v>
      </c>
      <c r="L21" s="153">
        <v>46919</v>
      </c>
      <c r="M21" s="153">
        <v>46753</v>
      </c>
      <c r="N21" s="153">
        <v>46924</v>
      </c>
      <c r="O21" s="153">
        <v>46844</v>
      </c>
      <c r="P21" s="153">
        <v>46934</v>
      </c>
    </row>
    <row r="22" spans="1:16">
      <c r="A22" s="153">
        <v>45109</v>
      </c>
      <c r="B22" s="153">
        <v>45139</v>
      </c>
      <c r="C22" s="153">
        <v>45139</v>
      </c>
      <c r="D22" s="153">
        <v>45169</v>
      </c>
      <c r="E22" s="153">
        <v>45169</v>
      </c>
      <c r="F22" s="153">
        <v>45312</v>
      </c>
      <c r="G22" s="153">
        <v>45575</v>
      </c>
      <c r="H22" s="153">
        <v>45643</v>
      </c>
      <c r="I22" s="153">
        <v>45692</v>
      </c>
      <c r="J22" s="153">
        <v>45851</v>
      </c>
      <c r="K22" s="153">
        <v>45952</v>
      </c>
      <c r="L22" s="153">
        <v>46945</v>
      </c>
      <c r="M22" s="153">
        <v>46223</v>
      </c>
      <c r="N22" s="153">
        <v>46957</v>
      </c>
      <c r="O22" s="153">
        <v>46914</v>
      </c>
      <c r="P22" s="153">
        <v>46963</v>
      </c>
    </row>
    <row r="23" spans="1:16">
      <c r="A23" s="153">
        <v>45109</v>
      </c>
      <c r="B23" s="153">
        <v>45139</v>
      </c>
      <c r="C23" s="153">
        <v>45139</v>
      </c>
      <c r="D23" s="153">
        <v>45169</v>
      </c>
      <c r="E23" s="153">
        <v>45169</v>
      </c>
      <c r="F23" s="153">
        <v>45312</v>
      </c>
      <c r="G23" s="153">
        <v>45575</v>
      </c>
      <c r="H23" s="153">
        <v>45642</v>
      </c>
      <c r="I23" s="153">
        <v>45665</v>
      </c>
      <c r="J23" s="153">
        <v>45900</v>
      </c>
      <c r="K23" s="153">
        <v>45985</v>
      </c>
      <c r="L23" s="153">
        <v>46910</v>
      </c>
      <c r="M23" s="153">
        <v>46695</v>
      </c>
      <c r="N23" s="153">
        <v>46980</v>
      </c>
      <c r="O23" s="153">
        <v>46950</v>
      </c>
      <c r="P23" s="153">
        <v>47005</v>
      </c>
    </row>
    <row r="24" spans="1:16">
      <c r="A24" s="153">
        <v>45109</v>
      </c>
      <c r="B24" s="153">
        <v>45139</v>
      </c>
      <c r="C24" s="153">
        <v>45139</v>
      </c>
      <c r="D24" s="153">
        <v>45169</v>
      </c>
      <c r="E24" s="153">
        <v>45169</v>
      </c>
      <c r="F24" s="153">
        <v>45312</v>
      </c>
      <c r="G24" s="153">
        <v>45575</v>
      </c>
      <c r="H24" s="153">
        <v>45643</v>
      </c>
      <c r="I24" s="153">
        <v>45706</v>
      </c>
      <c r="J24" s="153">
        <v>46142</v>
      </c>
      <c r="K24" s="153">
        <v>46204</v>
      </c>
      <c r="L24" s="153">
        <v>47284</v>
      </c>
      <c r="M24" s="153">
        <v>47119</v>
      </c>
      <c r="N24" s="153">
        <v>47289</v>
      </c>
      <c r="O24" s="153">
        <v>47209</v>
      </c>
      <c r="P24" s="153">
        <v>47299</v>
      </c>
    </row>
    <row r="25" spans="1:16">
      <c r="A25" s="153">
        <v>45109</v>
      </c>
      <c r="B25" s="153">
        <v>45139</v>
      </c>
      <c r="C25" s="153">
        <v>45139</v>
      </c>
      <c r="D25" s="153">
        <v>45169</v>
      </c>
      <c r="E25" s="153">
        <v>45169</v>
      </c>
      <c r="F25" s="153">
        <v>45312</v>
      </c>
      <c r="G25" s="153">
        <v>45575</v>
      </c>
      <c r="H25" s="153">
        <v>45683</v>
      </c>
      <c r="I25" s="153">
        <v>45707</v>
      </c>
      <c r="J25" s="153">
        <v>46142</v>
      </c>
      <c r="K25" s="153">
        <v>46204</v>
      </c>
      <c r="L25" s="153">
        <v>47284</v>
      </c>
      <c r="M25" s="153">
        <v>47119</v>
      </c>
      <c r="N25" s="153">
        <v>47289</v>
      </c>
      <c r="O25" s="153">
        <v>47209</v>
      </c>
      <c r="P25" s="153">
        <v>47299</v>
      </c>
    </row>
    <row r="26" spans="1:16">
      <c r="A26" s="153">
        <v>45109</v>
      </c>
      <c r="B26" s="153">
        <v>45139</v>
      </c>
      <c r="C26" s="153">
        <v>45139</v>
      </c>
      <c r="D26" s="153">
        <v>45169</v>
      </c>
      <c r="E26" s="153">
        <v>45169</v>
      </c>
      <c r="F26" s="153">
        <v>45312</v>
      </c>
      <c r="G26" s="153">
        <v>45575</v>
      </c>
      <c r="H26" s="153">
        <v>45664</v>
      </c>
      <c r="I26" s="153">
        <v>45707</v>
      </c>
      <c r="J26" s="153">
        <v>46142</v>
      </c>
      <c r="K26" s="153">
        <v>46204</v>
      </c>
      <c r="L26" s="153">
        <v>47284</v>
      </c>
      <c r="M26" s="153">
        <v>47119</v>
      </c>
      <c r="N26" s="153">
        <v>47289</v>
      </c>
      <c r="O26" s="153">
        <v>47209</v>
      </c>
      <c r="P26" s="153">
        <v>47299</v>
      </c>
    </row>
    <row r="27" spans="1:16">
      <c r="A27" s="153">
        <v>45109</v>
      </c>
      <c r="B27" s="153">
        <v>45139</v>
      </c>
      <c r="C27" s="153">
        <v>45600</v>
      </c>
      <c r="D27" s="153">
        <v>45630</v>
      </c>
      <c r="E27" s="153" t="s">
        <v>527</v>
      </c>
      <c r="F27" s="153" t="s">
        <v>527</v>
      </c>
      <c r="G27" s="153">
        <v>45661</v>
      </c>
      <c r="H27" s="153">
        <v>45690</v>
      </c>
      <c r="I27" s="153">
        <v>45810</v>
      </c>
      <c r="J27" s="153">
        <v>46142</v>
      </c>
      <c r="K27" s="153">
        <v>46204</v>
      </c>
      <c r="L27" s="153">
        <v>46919</v>
      </c>
      <c r="M27" s="153">
        <v>46753</v>
      </c>
      <c r="N27" s="153">
        <v>46924</v>
      </c>
      <c r="O27" s="153">
        <v>46844</v>
      </c>
      <c r="P27" s="153">
        <v>46934</v>
      </c>
    </row>
    <row r="28" spans="1:16">
      <c r="A28" s="153">
        <v>45109</v>
      </c>
      <c r="B28" s="153">
        <v>45139</v>
      </c>
      <c r="C28" s="153">
        <v>45139</v>
      </c>
      <c r="D28" s="153">
        <v>45169</v>
      </c>
      <c r="E28" s="153">
        <v>45169</v>
      </c>
      <c r="F28" s="153">
        <v>45312</v>
      </c>
      <c r="G28" s="153">
        <v>45575</v>
      </c>
      <c r="H28" s="153">
        <v>45700</v>
      </c>
      <c r="I28" s="153">
        <v>45789</v>
      </c>
      <c r="J28" s="153">
        <v>45966</v>
      </c>
      <c r="K28" s="153">
        <v>46204</v>
      </c>
      <c r="L28" s="153"/>
      <c r="M28" s="153"/>
      <c r="N28" s="153"/>
      <c r="O28" s="153"/>
      <c r="P28" s="153"/>
    </row>
    <row r="29" spans="1:16">
      <c r="A29" s="153">
        <v>45109</v>
      </c>
      <c r="B29" s="153">
        <v>45139</v>
      </c>
      <c r="C29" s="153">
        <v>45587</v>
      </c>
      <c r="D29" s="153">
        <v>45617</v>
      </c>
      <c r="E29" s="153" t="s">
        <v>527</v>
      </c>
      <c r="F29" s="153" t="s">
        <v>527</v>
      </c>
      <c r="G29" s="153">
        <v>45661</v>
      </c>
      <c r="H29" s="153">
        <v>45706</v>
      </c>
      <c r="I29" s="153">
        <v>45726</v>
      </c>
      <c r="J29" s="153">
        <v>45888</v>
      </c>
      <c r="K29" s="153">
        <v>45948</v>
      </c>
      <c r="L29" s="153">
        <v>46609</v>
      </c>
      <c r="M29" s="153">
        <v>45981</v>
      </c>
      <c r="N29" s="153">
        <v>46609</v>
      </c>
      <c r="O29" s="153">
        <v>46576</v>
      </c>
      <c r="P29" s="153">
        <v>46631</v>
      </c>
    </row>
    <row r="30" spans="1:16">
      <c r="A30" s="153">
        <v>45109</v>
      </c>
      <c r="B30" s="153">
        <v>45139</v>
      </c>
      <c r="C30" s="153">
        <v>45139</v>
      </c>
      <c r="D30" s="153">
        <v>45169</v>
      </c>
      <c r="E30" s="153">
        <v>45169</v>
      </c>
      <c r="F30" s="153">
        <v>45312</v>
      </c>
      <c r="G30" s="153">
        <v>45575</v>
      </c>
      <c r="H30" s="153">
        <v>45693</v>
      </c>
      <c r="I30" s="153">
        <v>45847</v>
      </c>
      <c r="J30" s="153">
        <v>46142</v>
      </c>
      <c r="K30" s="153">
        <v>46204</v>
      </c>
      <c r="L30" s="153">
        <v>47284</v>
      </c>
      <c r="M30" s="153">
        <v>47119</v>
      </c>
      <c r="N30" s="153">
        <v>47289</v>
      </c>
      <c r="O30" s="153">
        <v>47209</v>
      </c>
      <c r="P30" s="153">
        <v>47299</v>
      </c>
    </row>
    <row r="31" spans="1:16">
      <c r="A31" s="153">
        <v>45109</v>
      </c>
      <c r="B31" s="153">
        <v>45139</v>
      </c>
      <c r="C31" s="153">
        <v>45139</v>
      </c>
      <c r="D31" s="153">
        <v>45169</v>
      </c>
      <c r="E31" s="153">
        <v>45169</v>
      </c>
      <c r="F31" s="153">
        <v>45312</v>
      </c>
      <c r="G31" s="153">
        <v>45575</v>
      </c>
      <c r="H31" s="153">
        <v>45705</v>
      </c>
      <c r="I31" s="153">
        <v>45761</v>
      </c>
      <c r="J31" s="153">
        <v>46142</v>
      </c>
      <c r="K31" s="153">
        <v>46204</v>
      </c>
      <c r="L31" s="153">
        <v>46919</v>
      </c>
      <c r="M31" s="153">
        <v>46753</v>
      </c>
      <c r="N31" s="153">
        <v>46924</v>
      </c>
      <c r="O31" s="153">
        <v>46844</v>
      </c>
      <c r="P31" s="153">
        <v>46934</v>
      </c>
    </row>
    <row r="32" spans="1:16">
      <c r="A32" s="153">
        <v>45109</v>
      </c>
      <c r="B32" s="153">
        <v>45139</v>
      </c>
      <c r="C32" s="153">
        <v>45139</v>
      </c>
      <c r="D32" s="153">
        <v>45169</v>
      </c>
      <c r="E32" s="153">
        <v>45169</v>
      </c>
      <c r="F32" s="153">
        <v>45312</v>
      </c>
      <c r="G32" s="153">
        <v>45692</v>
      </c>
      <c r="H32" s="153">
        <v>45732</v>
      </c>
      <c r="I32" s="153">
        <v>45792</v>
      </c>
      <c r="J32" s="153">
        <v>46142</v>
      </c>
      <c r="K32" s="153">
        <v>46204</v>
      </c>
      <c r="L32" s="153">
        <v>46919</v>
      </c>
      <c r="M32" s="153">
        <v>46753</v>
      </c>
      <c r="N32" s="153">
        <v>46924</v>
      </c>
      <c r="O32" s="153">
        <v>46844</v>
      </c>
      <c r="P32" s="153">
        <v>46934</v>
      </c>
    </row>
    <row r="33" spans="1:16">
      <c r="A33" s="153">
        <v>45109</v>
      </c>
      <c r="B33" s="153">
        <v>45139</v>
      </c>
      <c r="C33" s="153">
        <v>45139</v>
      </c>
      <c r="D33" s="153">
        <v>45169</v>
      </c>
      <c r="E33" s="153">
        <v>45169</v>
      </c>
      <c r="F33" s="153">
        <v>45313</v>
      </c>
      <c r="G33" s="153">
        <v>45400</v>
      </c>
      <c r="H33" s="153">
        <v>45739</v>
      </c>
      <c r="I33" s="153">
        <v>45771</v>
      </c>
      <c r="J33" s="153">
        <v>46142</v>
      </c>
      <c r="K33" s="153">
        <v>46204</v>
      </c>
      <c r="L33" s="153">
        <v>47284</v>
      </c>
      <c r="M33" s="153">
        <v>47119</v>
      </c>
      <c r="N33" s="153">
        <v>47289</v>
      </c>
      <c r="O33" s="153">
        <v>47209</v>
      </c>
      <c r="P33" s="153">
        <v>47299</v>
      </c>
    </row>
    <row r="34" spans="1:16">
      <c r="A34" s="153">
        <v>45622</v>
      </c>
      <c r="B34" s="153">
        <v>45652</v>
      </c>
      <c r="C34" s="153">
        <v>45652</v>
      </c>
      <c r="D34" s="153">
        <v>45676</v>
      </c>
      <c r="E34" s="153" t="s">
        <v>527</v>
      </c>
      <c r="F34" s="153" t="s">
        <v>527</v>
      </c>
      <c r="G34" s="153">
        <v>45701</v>
      </c>
      <c r="H34" s="153">
        <v>45739</v>
      </c>
      <c r="I34" s="153">
        <v>45831</v>
      </c>
      <c r="J34" s="153"/>
      <c r="K34" s="153"/>
      <c r="L34" s="153"/>
      <c r="M34" s="153"/>
      <c r="N34" s="153"/>
      <c r="O34" s="153"/>
      <c r="P34" s="153"/>
    </row>
    <row r="35" spans="1:16">
      <c r="A35" s="153">
        <v>45109</v>
      </c>
      <c r="B35" s="153">
        <v>45139</v>
      </c>
      <c r="C35" s="153">
        <v>45139</v>
      </c>
      <c r="D35" s="153">
        <v>45169</v>
      </c>
      <c r="E35" s="153">
        <v>45169</v>
      </c>
      <c r="F35" s="153">
        <v>45313</v>
      </c>
      <c r="G35" s="153">
        <v>45648</v>
      </c>
      <c r="H35" s="153">
        <v>45739</v>
      </c>
      <c r="I35" s="153">
        <v>45771</v>
      </c>
      <c r="J35" s="153">
        <v>46142</v>
      </c>
      <c r="K35" s="153">
        <v>46204</v>
      </c>
      <c r="L35" s="153">
        <v>47284</v>
      </c>
      <c r="M35" s="153">
        <v>47119</v>
      </c>
      <c r="N35" s="153">
        <v>47289</v>
      </c>
      <c r="O35" s="153">
        <v>47209</v>
      </c>
      <c r="P35" s="153">
        <v>47299</v>
      </c>
    </row>
    <row r="36" spans="1:16">
      <c r="A36" s="153">
        <v>45691</v>
      </c>
      <c r="B36" s="153">
        <v>45721</v>
      </c>
      <c r="C36" s="153">
        <v>45721</v>
      </c>
      <c r="D36" s="153">
        <v>45741</v>
      </c>
      <c r="E36" s="153" t="s">
        <v>527</v>
      </c>
      <c r="F36" s="153" t="s">
        <v>527</v>
      </c>
      <c r="G36" s="153">
        <v>45760</v>
      </c>
      <c r="H36" s="153">
        <v>45805</v>
      </c>
      <c r="I36" s="153">
        <v>45897</v>
      </c>
      <c r="J36" s="153">
        <v>46142</v>
      </c>
      <c r="K36" s="153">
        <v>46204</v>
      </c>
      <c r="L36" s="153">
        <v>46919</v>
      </c>
      <c r="M36" s="153">
        <v>46753</v>
      </c>
      <c r="N36" s="153">
        <v>46924</v>
      </c>
      <c r="O36" s="153">
        <v>46844</v>
      </c>
      <c r="P36" s="153">
        <v>46934</v>
      </c>
    </row>
    <row r="37" spans="1:16">
      <c r="A37" s="153">
        <v>45109</v>
      </c>
      <c r="B37" s="153">
        <v>45139</v>
      </c>
      <c r="C37" s="153">
        <v>45139</v>
      </c>
      <c r="D37" s="153">
        <v>45169</v>
      </c>
      <c r="E37" s="153">
        <v>45169</v>
      </c>
      <c r="F37" s="153">
        <v>45313</v>
      </c>
      <c r="G37" s="153">
        <v>45370</v>
      </c>
      <c r="H37" s="153">
        <v>45805</v>
      </c>
      <c r="I37" s="153">
        <v>45894</v>
      </c>
      <c r="J37" s="153">
        <v>46142</v>
      </c>
      <c r="K37" s="153">
        <v>46204</v>
      </c>
      <c r="L37" s="153">
        <v>46919</v>
      </c>
      <c r="M37" s="153">
        <v>46753</v>
      </c>
      <c r="N37" s="153">
        <v>46924</v>
      </c>
      <c r="O37" s="153">
        <v>46844</v>
      </c>
      <c r="P37" s="153">
        <v>46934</v>
      </c>
    </row>
    <row r="38" spans="1:16">
      <c r="A38" s="153">
        <v>45710</v>
      </c>
      <c r="B38" s="153">
        <v>45740</v>
      </c>
      <c r="C38" s="153">
        <v>45740</v>
      </c>
      <c r="D38" s="153">
        <v>45760</v>
      </c>
      <c r="E38" s="153" t="s">
        <v>527</v>
      </c>
      <c r="F38" s="153" t="s">
        <v>527</v>
      </c>
      <c r="G38" s="153">
        <v>45788</v>
      </c>
      <c r="H38" s="153">
        <v>45804</v>
      </c>
      <c r="I38" s="153">
        <v>45875</v>
      </c>
      <c r="J38" s="153">
        <v>46142</v>
      </c>
      <c r="K38" s="153">
        <v>46204</v>
      </c>
      <c r="L38" s="153">
        <v>46919</v>
      </c>
      <c r="M38" s="153">
        <v>46753</v>
      </c>
      <c r="N38" s="153">
        <v>46924</v>
      </c>
      <c r="O38" s="153">
        <v>46844</v>
      </c>
      <c r="P38" s="153">
        <v>46934</v>
      </c>
    </row>
    <row r="39" spans="1:16">
      <c r="A39" s="153">
        <v>45109</v>
      </c>
      <c r="B39" s="153">
        <v>45139</v>
      </c>
      <c r="C39" s="153">
        <v>45139</v>
      </c>
      <c r="D39" s="153">
        <v>45169</v>
      </c>
      <c r="E39" s="153">
        <v>45169</v>
      </c>
      <c r="F39" s="153">
        <v>45313</v>
      </c>
      <c r="G39" s="153">
        <v>45848</v>
      </c>
      <c r="H39" s="153">
        <v>45916</v>
      </c>
      <c r="I39" s="153">
        <v>46006</v>
      </c>
      <c r="J39" s="153">
        <v>46142</v>
      </c>
      <c r="K39" s="153">
        <v>46204</v>
      </c>
      <c r="L39" s="153">
        <v>46553</v>
      </c>
      <c r="M39" s="153">
        <v>46388</v>
      </c>
      <c r="N39" s="153">
        <v>46558</v>
      </c>
      <c r="O39" s="153">
        <v>46478</v>
      </c>
      <c r="P39" s="153">
        <v>46568</v>
      </c>
    </row>
    <row r="40" spans="1:16">
      <c r="A40" s="153">
        <v>45710</v>
      </c>
      <c r="B40" s="153">
        <v>45740</v>
      </c>
      <c r="C40" s="153">
        <v>45740</v>
      </c>
      <c r="D40" s="153">
        <v>45760</v>
      </c>
      <c r="E40" s="153" t="s">
        <v>527</v>
      </c>
      <c r="F40" s="153" t="s">
        <v>527</v>
      </c>
      <c r="G40" s="153">
        <v>45759</v>
      </c>
      <c r="H40" s="153">
        <v>45804</v>
      </c>
      <c r="I40" s="153">
        <v>46006</v>
      </c>
      <c r="J40" s="153">
        <v>46142</v>
      </c>
      <c r="K40" s="153">
        <v>46204</v>
      </c>
      <c r="L40" s="153">
        <v>46919</v>
      </c>
      <c r="M40" s="153">
        <v>46753</v>
      </c>
      <c r="N40" s="153">
        <v>46924</v>
      </c>
      <c r="O40" s="153">
        <v>46844</v>
      </c>
      <c r="P40" s="153">
        <v>46934</v>
      </c>
    </row>
    <row r="41" spans="1:16">
      <c r="A41" s="153">
        <v>45688</v>
      </c>
      <c r="B41" s="153">
        <v>45718</v>
      </c>
      <c r="C41" s="153">
        <v>45718</v>
      </c>
      <c r="D41" s="153">
        <v>45748</v>
      </c>
      <c r="E41" s="153">
        <v>45748</v>
      </c>
      <c r="F41" s="153">
        <v>45778</v>
      </c>
      <c r="G41" s="153">
        <v>45778</v>
      </c>
      <c r="H41" s="153">
        <v>46006</v>
      </c>
      <c r="I41" s="153">
        <v>46022</v>
      </c>
      <c r="J41" s="153">
        <v>46142</v>
      </c>
      <c r="K41" s="153">
        <v>46204</v>
      </c>
      <c r="L41" s="153">
        <v>46919</v>
      </c>
      <c r="M41" s="153">
        <v>46753</v>
      </c>
      <c r="N41" s="153">
        <v>46924</v>
      </c>
      <c r="O41" s="153">
        <v>46844</v>
      </c>
      <c r="P41" s="153">
        <v>46934</v>
      </c>
    </row>
    <row r="42" spans="1:16">
      <c r="A42" s="153">
        <v>45049</v>
      </c>
      <c r="B42" s="153">
        <v>45079</v>
      </c>
      <c r="C42" s="153">
        <v>45079</v>
      </c>
      <c r="D42" s="153">
        <v>45109</v>
      </c>
      <c r="E42" s="153" t="s">
        <v>527</v>
      </c>
      <c r="F42" s="153" t="s">
        <v>527</v>
      </c>
      <c r="G42" s="153" t="s">
        <v>527</v>
      </c>
      <c r="H42" s="153" t="s">
        <v>527</v>
      </c>
      <c r="I42" s="153">
        <v>45169</v>
      </c>
      <c r="J42" s="153">
        <v>45295</v>
      </c>
      <c r="K42" s="153">
        <v>45386</v>
      </c>
      <c r="L42" s="153">
        <v>46408</v>
      </c>
      <c r="M42" s="153" t="s">
        <v>295</v>
      </c>
      <c r="N42" s="153" t="s">
        <v>295</v>
      </c>
      <c r="O42" s="153">
        <v>45529</v>
      </c>
      <c r="P42" s="153">
        <v>46408</v>
      </c>
    </row>
    <row r="43" spans="1:16">
      <c r="A43" s="153">
        <v>45049</v>
      </c>
      <c r="B43" s="153">
        <v>45079</v>
      </c>
      <c r="C43" s="153">
        <v>45079</v>
      </c>
      <c r="D43" s="153">
        <v>45109</v>
      </c>
      <c r="E43" s="153" t="s">
        <v>527</v>
      </c>
      <c r="F43" s="153" t="s">
        <v>527</v>
      </c>
      <c r="G43" s="153" t="s">
        <v>527</v>
      </c>
      <c r="H43" s="153" t="s">
        <v>527</v>
      </c>
      <c r="I43" s="153">
        <v>45169</v>
      </c>
      <c r="J43" s="153">
        <v>45295</v>
      </c>
      <c r="K43" s="153" t="s">
        <v>299</v>
      </c>
      <c r="L43" s="153">
        <v>46407</v>
      </c>
      <c r="M43" s="153" t="s">
        <v>295</v>
      </c>
      <c r="N43" s="153" t="s">
        <v>295</v>
      </c>
      <c r="O43" s="153">
        <v>45533</v>
      </c>
      <c r="P43" s="153">
        <v>46407</v>
      </c>
    </row>
    <row r="44" spans="1:16">
      <c r="A44" s="153">
        <v>45063</v>
      </c>
      <c r="B44" s="153">
        <v>45093</v>
      </c>
      <c r="C44" s="153">
        <v>45093</v>
      </c>
      <c r="D44" s="153">
        <v>45123</v>
      </c>
      <c r="E44" s="153" t="s">
        <v>527</v>
      </c>
      <c r="F44" s="153" t="s">
        <v>527</v>
      </c>
      <c r="G44" s="153" t="s">
        <v>527</v>
      </c>
      <c r="H44" s="153" t="s">
        <v>527</v>
      </c>
      <c r="I44" s="153">
        <v>45183</v>
      </c>
      <c r="J44" s="153">
        <v>45572</v>
      </c>
      <c r="K44" s="153">
        <v>45796</v>
      </c>
      <c r="L44" s="153">
        <v>47621</v>
      </c>
      <c r="M44" s="153" t="s">
        <v>295</v>
      </c>
      <c r="N44" s="153" t="s">
        <v>295</v>
      </c>
      <c r="O44" s="153">
        <v>45796</v>
      </c>
      <c r="P44" s="153">
        <v>47621</v>
      </c>
    </row>
    <row r="45" spans="1:16">
      <c r="A45" s="153">
        <v>44765</v>
      </c>
      <c r="B45" s="153">
        <v>44795</v>
      </c>
      <c r="C45" s="153">
        <v>44795</v>
      </c>
      <c r="D45" s="153">
        <v>44825</v>
      </c>
      <c r="E45" s="153" t="s">
        <v>527</v>
      </c>
      <c r="F45" s="153" t="s">
        <v>527</v>
      </c>
      <c r="G45" s="153" t="s">
        <v>527</v>
      </c>
      <c r="H45" s="153" t="s">
        <v>527</v>
      </c>
      <c r="I45" s="153">
        <v>44885</v>
      </c>
      <c r="J45" s="153">
        <v>45161</v>
      </c>
      <c r="K45" s="153">
        <v>45158</v>
      </c>
      <c r="L45" s="153">
        <v>46984</v>
      </c>
      <c r="M45" s="153" t="s">
        <v>295</v>
      </c>
      <c r="N45" s="153" t="s">
        <v>295</v>
      </c>
      <c r="O45" s="153">
        <v>45158</v>
      </c>
      <c r="P45" s="153">
        <v>46984</v>
      </c>
    </row>
    <row r="46" spans="1:16">
      <c r="A46" s="153">
        <v>44775</v>
      </c>
      <c r="B46" s="153">
        <v>44805</v>
      </c>
      <c r="C46" s="153">
        <v>44805</v>
      </c>
      <c r="D46" s="153">
        <v>44835</v>
      </c>
      <c r="E46" s="153" t="s">
        <v>527</v>
      </c>
      <c r="F46" s="153" t="s">
        <v>527</v>
      </c>
      <c r="G46" s="153">
        <v>44865</v>
      </c>
      <c r="H46" s="153">
        <v>44910</v>
      </c>
      <c r="I46" s="153">
        <v>45013</v>
      </c>
      <c r="J46" s="153">
        <v>45384</v>
      </c>
      <c r="K46" s="153">
        <v>45630</v>
      </c>
      <c r="L46" s="153">
        <v>46501</v>
      </c>
      <c r="M46" s="153">
        <v>45720</v>
      </c>
      <c r="N46" s="153">
        <v>46510</v>
      </c>
      <c r="O46" s="153">
        <v>46512</v>
      </c>
      <c r="P46" s="153">
        <v>46562</v>
      </c>
    </row>
    <row r="47" spans="1:16">
      <c r="A47" s="153">
        <v>44775</v>
      </c>
      <c r="B47" s="153">
        <v>44805</v>
      </c>
      <c r="C47" s="153">
        <v>44805</v>
      </c>
      <c r="D47" s="153">
        <v>44835</v>
      </c>
      <c r="E47" s="153" t="s">
        <v>527</v>
      </c>
      <c r="F47" s="153" t="s">
        <v>527</v>
      </c>
      <c r="G47" s="153">
        <v>44865</v>
      </c>
      <c r="H47" s="153">
        <v>44910</v>
      </c>
      <c r="I47" s="153">
        <v>44977</v>
      </c>
      <c r="J47" s="153">
        <v>45609</v>
      </c>
      <c r="K47" s="153">
        <v>45799</v>
      </c>
      <c r="L47" s="153">
        <v>46690</v>
      </c>
      <c r="M47" s="153">
        <v>46036</v>
      </c>
      <c r="N47" s="153">
        <v>46424</v>
      </c>
      <c r="O47" s="153">
        <v>46111</v>
      </c>
      <c r="P47" s="153">
        <v>46427</v>
      </c>
    </row>
    <row r="48" spans="1:16">
      <c r="A48" s="153">
        <v>44973</v>
      </c>
      <c r="B48" s="153">
        <v>45003</v>
      </c>
      <c r="C48" s="153">
        <v>45003</v>
      </c>
      <c r="D48" s="153">
        <v>45033</v>
      </c>
      <c r="E48" s="153" t="s">
        <v>527</v>
      </c>
      <c r="F48" s="153" t="s">
        <v>527</v>
      </c>
      <c r="G48" s="153">
        <v>45063</v>
      </c>
      <c r="H48" s="153">
        <v>45108</v>
      </c>
      <c r="I48" s="153">
        <v>45148</v>
      </c>
      <c r="J48" s="153">
        <v>45420</v>
      </c>
      <c r="K48" s="153"/>
      <c r="L48" s="153"/>
      <c r="M48" s="153"/>
      <c r="N48" s="153"/>
      <c r="O48" s="153"/>
      <c r="P48" s="153"/>
    </row>
    <row r="49" spans="1:16">
      <c r="A49" s="153">
        <v>44775</v>
      </c>
      <c r="B49" s="153">
        <v>44805</v>
      </c>
      <c r="C49" s="153">
        <v>44805</v>
      </c>
      <c r="D49" s="153">
        <v>44835</v>
      </c>
      <c r="E49" s="153" t="s">
        <v>527</v>
      </c>
      <c r="F49" s="153" t="s">
        <v>527</v>
      </c>
      <c r="G49" s="153">
        <v>44865</v>
      </c>
      <c r="H49" s="153">
        <v>44910</v>
      </c>
      <c r="I49" s="153">
        <v>44994</v>
      </c>
      <c r="J49" s="153">
        <v>45292</v>
      </c>
      <c r="K49" s="153" t="s">
        <v>514</v>
      </c>
      <c r="L49" s="153">
        <v>45985</v>
      </c>
      <c r="M49" s="153" t="s">
        <v>515</v>
      </c>
      <c r="N49" s="153">
        <v>45986</v>
      </c>
      <c r="O49" s="153">
        <v>45687</v>
      </c>
      <c r="P49" s="153">
        <v>45992</v>
      </c>
    </row>
    <row r="50" spans="1:16">
      <c r="A50" s="153">
        <v>44996</v>
      </c>
      <c r="B50" s="153">
        <v>45026</v>
      </c>
      <c r="C50" s="153">
        <v>45026</v>
      </c>
      <c r="D50" s="153">
        <v>45056</v>
      </c>
      <c r="E50" s="153" t="s">
        <v>527</v>
      </c>
      <c r="F50" s="153" t="s">
        <v>527</v>
      </c>
      <c r="G50" s="153">
        <v>45086</v>
      </c>
      <c r="H50" s="153">
        <v>45131</v>
      </c>
      <c r="I50" s="153">
        <v>45147</v>
      </c>
      <c r="J50" s="153">
        <v>45592</v>
      </c>
      <c r="K50" s="153" t="s">
        <v>518</v>
      </c>
      <c r="L50" s="153">
        <v>46335</v>
      </c>
      <c r="M50" s="153" t="s">
        <v>519</v>
      </c>
      <c r="N50" s="153">
        <v>46328</v>
      </c>
      <c r="O50" s="153">
        <v>46337</v>
      </c>
      <c r="P50" s="153">
        <v>46343</v>
      </c>
    </row>
    <row r="51" spans="1:16">
      <c r="A51" s="153">
        <v>45135</v>
      </c>
      <c r="B51" s="153">
        <v>45165</v>
      </c>
      <c r="C51" s="153">
        <v>45165</v>
      </c>
      <c r="D51" s="153">
        <v>45195</v>
      </c>
      <c r="E51" s="153" t="s">
        <v>527</v>
      </c>
      <c r="F51" s="153" t="s">
        <v>527</v>
      </c>
      <c r="G51" s="153">
        <v>45225</v>
      </c>
      <c r="H51" s="153">
        <v>45270</v>
      </c>
      <c r="I51" s="153">
        <v>45328</v>
      </c>
      <c r="J51" s="153">
        <v>45490</v>
      </c>
      <c r="K51" s="153" t="s">
        <v>522</v>
      </c>
      <c r="L51" s="153">
        <v>46371</v>
      </c>
      <c r="M51" s="153" t="s">
        <v>523</v>
      </c>
      <c r="N51" s="153">
        <v>46345</v>
      </c>
      <c r="O51" s="153">
        <v>46337</v>
      </c>
      <c r="P51" s="153">
        <v>46373</v>
      </c>
    </row>
    <row r="52" spans="1:16">
      <c r="A52" s="153">
        <v>45485</v>
      </c>
      <c r="B52" s="153">
        <v>45515</v>
      </c>
      <c r="C52" s="153">
        <v>45515</v>
      </c>
      <c r="D52" s="153">
        <v>45545</v>
      </c>
      <c r="E52" s="153" t="s">
        <v>527</v>
      </c>
      <c r="F52" s="153" t="s">
        <v>527</v>
      </c>
      <c r="G52" s="153">
        <v>45575</v>
      </c>
      <c r="H52" s="153">
        <v>45605</v>
      </c>
      <c r="I52" s="153">
        <v>45605</v>
      </c>
      <c r="J52" s="153">
        <v>45775</v>
      </c>
      <c r="K52" s="153"/>
      <c r="L52" s="153"/>
      <c r="M52" s="153"/>
      <c r="N52" s="153"/>
      <c r="O52" s="153"/>
      <c r="P52" s="153"/>
    </row>
    <row r="53" spans="1:16">
      <c r="A53" s="153">
        <v>44775</v>
      </c>
      <c r="B53" s="153">
        <v>44805</v>
      </c>
      <c r="C53" s="153">
        <v>44805</v>
      </c>
      <c r="D53" s="153">
        <v>44835</v>
      </c>
      <c r="E53" s="153" t="s">
        <v>527</v>
      </c>
      <c r="F53" s="153" t="s">
        <v>527</v>
      </c>
      <c r="G53" s="153">
        <v>44865</v>
      </c>
      <c r="H53" s="153">
        <v>44910</v>
      </c>
      <c r="I53" s="153">
        <v>44990</v>
      </c>
      <c r="J53" s="153">
        <v>45265</v>
      </c>
      <c r="K53" s="153">
        <v>45371</v>
      </c>
      <c r="L53" s="153">
        <v>46480</v>
      </c>
      <c r="M53" s="153">
        <v>45545</v>
      </c>
      <c r="N53" s="153">
        <v>46509</v>
      </c>
      <c r="O53" s="153">
        <v>46474</v>
      </c>
      <c r="P53" s="153">
        <v>46482</v>
      </c>
    </row>
    <row r="54" spans="1:16">
      <c r="A54" s="153">
        <v>44775</v>
      </c>
      <c r="B54" s="153">
        <v>44805</v>
      </c>
      <c r="C54" s="153">
        <v>44805</v>
      </c>
      <c r="D54" s="153">
        <v>44835</v>
      </c>
      <c r="E54" s="153" t="s">
        <v>527</v>
      </c>
      <c r="F54" s="153" t="s">
        <v>527</v>
      </c>
      <c r="G54" s="153">
        <v>44865</v>
      </c>
      <c r="H54" s="153">
        <v>44910</v>
      </c>
      <c r="I54" s="153">
        <v>44986</v>
      </c>
      <c r="J54" s="153">
        <v>45242</v>
      </c>
      <c r="K54" s="153">
        <v>45315</v>
      </c>
      <c r="L54" s="153">
        <v>46040</v>
      </c>
      <c r="M54" s="153">
        <v>45356</v>
      </c>
      <c r="N54" s="153">
        <v>46112</v>
      </c>
      <c r="O54" s="153">
        <v>46023</v>
      </c>
      <c r="P54" s="153">
        <v>46040</v>
      </c>
    </row>
    <row r="55" spans="1:16">
      <c r="A55" s="153">
        <v>44962</v>
      </c>
      <c r="B55" s="153">
        <v>44992</v>
      </c>
      <c r="C55" s="153">
        <v>44992</v>
      </c>
      <c r="D55" s="153">
        <v>45022</v>
      </c>
      <c r="E55" s="153" t="s">
        <v>527</v>
      </c>
      <c r="F55" s="153" t="s">
        <v>527</v>
      </c>
      <c r="G55" s="153">
        <v>45052</v>
      </c>
      <c r="H55" s="153">
        <v>45097</v>
      </c>
      <c r="I55" s="153">
        <v>45182</v>
      </c>
      <c r="J55" s="153">
        <v>45424</v>
      </c>
      <c r="K55" s="153">
        <v>45482</v>
      </c>
      <c r="L55" s="153">
        <v>46015</v>
      </c>
      <c r="M55" s="153">
        <v>45605</v>
      </c>
      <c r="N55" s="153">
        <v>46018</v>
      </c>
      <c r="O55" s="153">
        <v>45953</v>
      </c>
      <c r="P55" s="153">
        <v>46022</v>
      </c>
    </row>
    <row r="56" spans="1:16">
      <c r="A56" s="153">
        <v>44775</v>
      </c>
      <c r="B56" s="153">
        <v>44805</v>
      </c>
      <c r="C56" s="153">
        <v>44805</v>
      </c>
      <c r="D56" s="153">
        <v>44835</v>
      </c>
      <c r="E56" s="153" t="s">
        <v>527</v>
      </c>
      <c r="F56" s="153" t="s">
        <v>527</v>
      </c>
      <c r="G56" s="153">
        <v>44865</v>
      </c>
      <c r="H56" s="153">
        <v>44910</v>
      </c>
      <c r="I56" s="153">
        <v>44986</v>
      </c>
      <c r="J56" s="153">
        <v>45232</v>
      </c>
      <c r="K56" s="153">
        <v>45299</v>
      </c>
      <c r="L56" s="153">
        <v>46359</v>
      </c>
      <c r="M56" s="153">
        <v>45323</v>
      </c>
      <c r="N56" s="153">
        <v>46361</v>
      </c>
      <c r="O56" s="153">
        <v>46316</v>
      </c>
      <c r="P56" s="153">
        <v>46365</v>
      </c>
    </row>
    <row r="57" spans="1:16">
      <c r="A57" s="153">
        <v>44999</v>
      </c>
      <c r="B57" s="153">
        <v>45029</v>
      </c>
      <c r="C57" s="153">
        <v>45029</v>
      </c>
      <c r="D57" s="153">
        <v>45059</v>
      </c>
      <c r="E57" s="153" t="s">
        <v>527</v>
      </c>
      <c r="F57" s="153" t="s">
        <v>527</v>
      </c>
      <c r="G57" s="153">
        <v>45089</v>
      </c>
      <c r="H57" s="153">
        <v>45134</v>
      </c>
      <c r="I57" s="153">
        <v>45288</v>
      </c>
      <c r="J57" s="153">
        <v>45453</v>
      </c>
      <c r="K57" s="153">
        <v>45290</v>
      </c>
      <c r="L57" s="153">
        <v>46299</v>
      </c>
      <c r="M57" s="153">
        <v>45297</v>
      </c>
      <c r="N57" s="153">
        <v>46291</v>
      </c>
      <c r="O57" s="153">
        <v>46300</v>
      </c>
      <c r="P57" s="153">
        <v>46310</v>
      </c>
    </row>
    <row r="58" spans="1:16">
      <c r="A58" s="153">
        <v>45011</v>
      </c>
      <c r="B58" s="153">
        <v>45041</v>
      </c>
      <c r="C58" s="153">
        <v>45041</v>
      </c>
      <c r="D58" s="153">
        <v>45071</v>
      </c>
      <c r="E58" s="153" t="s">
        <v>527</v>
      </c>
      <c r="F58" s="153" t="s">
        <v>527</v>
      </c>
      <c r="G58" s="153">
        <v>45101</v>
      </c>
      <c r="H58" s="153">
        <v>45146</v>
      </c>
      <c r="I58" s="153">
        <v>45209</v>
      </c>
      <c r="J58" s="153">
        <v>45270</v>
      </c>
      <c r="K58" s="153">
        <v>45410</v>
      </c>
      <c r="L58" s="153">
        <v>46412</v>
      </c>
      <c r="M58" s="153" t="s">
        <v>295</v>
      </c>
      <c r="N58" s="153" t="s">
        <v>295</v>
      </c>
      <c r="O58" s="153">
        <v>45510</v>
      </c>
      <c r="P58" s="153">
        <v>46413</v>
      </c>
    </row>
    <row r="59" spans="1:16">
      <c r="A59" s="153">
        <v>45080</v>
      </c>
      <c r="B59" s="153">
        <v>45110</v>
      </c>
      <c r="C59" s="153">
        <v>45110</v>
      </c>
      <c r="D59" s="153">
        <v>45140</v>
      </c>
      <c r="E59" s="153" t="s">
        <v>527</v>
      </c>
      <c r="F59" s="153" t="s">
        <v>527</v>
      </c>
      <c r="G59" s="153">
        <v>45170</v>
      </c>
      <c r="H59" s="153">
        <v>45215</v>
      </c>
      <c r="I59" s="153">
        <v>45238</v>
      </c>
      <c r="J59" s="153">
        <v>45314</v>
      </c>
      <c r="K59" s="153">
        <v>45871</v>
      </c>
      <c r="L59" s="153">
        <v>46462</v>
      </c>
      <c r="M59" s="153" t="s">
        <v>527</v>
      </c>
      <c r="N59" s="153" t="s">
        <v>527</v>
      </c>
      <c r="O59" s="153">
        <v>46385</v>
      </c>
      <c r="P59" s="153">
        <v>46463</v>
      </c>
    </row>
    <row r="60" spans="1:16">
      <c r="A60" s="153">
        <v>44775</v>
      </c>
      <c r="B60" s="153">
        <v>44805</v>
      </c>
      <c r="C60" s="153">
        <v>44805</v>
      </c>
      <c r="D60" s="153">
        <v>44835</v>
      </c>
      <c r="E60" s="153" t="s">
        <v>527</v>
      </c>
      <c r="F60" s="153" t="s">
        <v>527</v>
      </c>
      <c r="G60" s="153">
        <v>44865</v>
      </c>
      <c r="H60" s="153">
        <v>44910</v>
      </c>
      <c r="I60" s="153">
        <v>45294</v>
      </c>
      <c r="J60" s="153">
        <v>45434</v>
      </c>
      <c r="K60" s="153">
        <v>45598</v>
      </c>
      <c r="L60" s="153">
        <v>46538</v>
      </c>
      <c r="M60" s="153">
        <v>45831</v>
      </c>
      <c r="N60" s="153">
        <v>46538</v>
      </c>
      <c r="O60" s="153">
        <v>45991</v>
      </c>
      <c r="P60" s="153">
        <v>46541</v>
      </c>
    </row>
    <row r="61" spans="1:16">
      <c r="A61" s="153">
        <v>44775</v>
      </c>
      <c r="B61" s="153">
        <v>44805</v>
      </c>
      <c r="C61" s="153">
        <v>44805</v>
      </c>
      <c r="D61" s="153">
        <v>44835</v>
      </c>
      <c r="E61" s="153" t="s">
        <v>527</v>
      </c>
      <c r="F61" s="153" t="s">
        <v>527</v>
      </c>
      <c r="G61" s="153">
        <v>44865</v>
      </c>
      <c r="H61" s="153">
        <v>44910</v>
      </c>
      <c r="I61" s="153">
        <v>44980</v>
      </c>
      <c r="J61" s="153">
        <v>45176</v>
      </c>
      <c r="K61" s="153">
        <v>45290</v>
      </c>
      <c r="L61" s="153">
        <v>46299</v>
      </c>
      <c r="M61" s="153">
        <v>45307</v>
      </c>
      <c r="N61" s="153">
        <v>46291</v>
      </c>
      <c r="O61" s="153">
        <v>46300</v>
      </c>
      <c r="P61" s="153">
        <v>46310</v>
      </c>
    </row>
    <row r="62" spans="1:16">
      <c r="A62" s="153">
        <v>44775</v>
      </c>
      <c r="B62" s="153">
        <v>44805</v>
      </c>
      <c r="C62" s="153">
        <v>44805</v>
      </c>
      <c r="D62" s="153">
        <v>44835</v>
      </c>
      <c r="E62" s="153" t="s">
        <v>527</v>
      </c>
      <c r="F62" s="153" t="s">
        <v>527</v>
      </c>
      <c r="G62" s="153">
        <v>44865</v>
      </c>
      <c r="H62" s="153">
        <v>44910</v>
      </c>
      <c r="I62" s="153">
        <v>44986</v>
      </c>
      <c r="J62" s="153">
        <v>45141</v>
      </c>
      <c r="K62" s="153">
        <v>45271</v>
      </c>
      <c r="L62" s="153">
        <v>46436</v>
      </c>
      <c r="M62" s="153">
        <v>45577</v>
      </c>
      <c r="N62" s="153">
        <v>46424</v>
      </c>
      <c r="O62" s="153">
        <v>46424</v>
      </c>
      <c r="P62" s="153">
        <v>46440</v>
      </c>
    </row>
    <row r="63" spans="1:16">
      <c r="A63" s="153">
        <v>44775</v>
      </c>
      <c r="B63" s="153">
        <v>44805</v>
      </c>
      <c r="C63" s="153">
        <v>44805</v>
      </c>
      <c r="D63" s="153">
        <v>44835</v>
      </c>
      <c r="E63" s="153" t="s">
        <v>527</v>
      </c>
      <c r="F63" s="153" t="s">
        <v>527</v>
      </c>
      <c r="G63" s="153">
        <v>44865</v>
      </c>
      <c r="H63" s="153">
        <v>44910</v>
      </c>
      <c r="I63" s="153">
        <v>45202</v>
      </c>
      <c r="J63" s="153">
        <v>45322</v>
      </c>
      <c r="K63" s="153">
        <v>45346</v>
      </c>
      <c r="L63" s="153">
        <v>46478</v>
      </c>
      <c r="M63" s="153">
        <v>45901</v>
      </c>
      <c r="N63" s="153">
        <v>46410</v>
      </c>
      <c r="O63" s="153">
        <v>45953</v>
      </c>
      <c r="P63" s="153">
        <v>46494</v>
      </c>
    </row>
    <row r="64" spans="1:16">
      <c r="A64" s="153">
        <v>45082</v>
      </c>
      <c r="B64" s="153">
        <v>45112</v>
      </c>
      <c r="C64" s="153">
        <v>45112</v>
      </c>
      <c r="D64" s="153">
        <v>45142</v>
      </c>
      <c r="E64" s="153" t="s">
        <v>527</v>
      </c>
      <c r="F64" s="153" t="s">
        <v>527</v>
      </c>
      <c r="G64" s="153">
        <v>45172</v>
      </c>
      <c r="H64" s="153">
        <v>45217</v>
      </c>
      <c r="I64" s="153">
        <v>45238</v>
      </c>
      <c r="J64" s="153">
        <v>45497</v>
      </c>
      <c r="K64" s="153">
        <v>45566</v>
      </c>
      <c r="L64" s="153">
        <v>46657</v>
      </c>
      <c r="M64" s="153">
        <v>45843</v>
      </c>
      <c r="N64" s="153">
        <v>46264</v>
      </c>
      <c r="O64" s="153">
        <v>46162</v>
      </c>
      <c r="P64" s="153">
        <v>46294</v>
      </c>
    </row>
    <row r="65" spans="1:16">
      <c r="A65" s="153">
        <v>45007</v>
      </c>
      <c r="B65" s="153">
        <v>45037</v>
      </c>
      <c r="C65" s="153">
        <v>45037</v>
      </c>
      <c r="D65" s="153">
        <v>45052</v>
      </c>
      <c r="E65" s="153" t="s">
        <v>527</v>
      </c>
      <c r="F65" s="153" t="s">
        <v>527</v>
      </c>
      <c r="G65" s="153">
        <v>45079</v>
      </c>
      <c r="H65" s="153">
        <v>45103</v>
      </c>
      <c r="I65" s="153">
        <v>45158</v>
      </c>
      <c r="J65" s="153">
        <v>45372</v>
      </c>
      <c r="K65" s="153">
        <v>45439</v>
      </c>
      <c r="L65" s="153">
        <v>45763</v>
      </c>
      <c r="M65" s="153">
        <v>45544</v>
      </c>
      <c r="N65" s="153">
        <v>45756</v>
      </c>
      <c r="O65" s="153">
        <v>45762</v>
      </c>
      <c r="P65" s="153">
        <v>45763</v>
      </c>
    </row>
    <row r="66" spans="1:16">
      <c r="A66" s="153">
        <v>44996</v>
      </c>
      <c r="B66" s="153">
        <v>45026</v>
      </c>
      <c r="C66" s="153">
        <v>45026</v>
      </c>
      <c r="D66" s="153">
        <v>45056</v>
      </c>
      <c r="E66" s="153" t="s">
        <v>527</v>
      </c>
      <c r="F66" s="153" t="s">
        <v>527</v>
      </c>
      <c r="G66" s="153">
        <v>45086</v>
      </c>
      <c r="H66" s="153">
        <v>45131</v>
      </c>
      <c r="I66" s="153">
        <v>45223</v>
      </c>
      <c r="J66" s="153">
        <v>45397</v>
      </c>
      <c r="K66" s="153">
        <v>45477</v>
      </c>
      <c r="L66" s="153">
        <v>46492</v>
      </c>
      <c r="M66" s="153">
        <v>45487</v>
      </c>
      <c r="N66" s="153">
        <v>46532</v>
      </c>
      <c r="O66" s="153">
        <v>46117</v>
      </c>
      <c r="P66" s="153">
        <v>46537</v>
      </c>
    </row>
    <row r="67" spans="1:16">
      <c r="A67" s="153">
        <v>45081</v>
      </c>
      <c r="B67" s="153">
        <v>45111</v>
      </c>
      <c r="C67" s="153">
        <v>45111</v>
      </c>
      <c r="D67" s="153">
        <v>45141</v>
      </c>
      <c r="E67" s="153" t="s">
        <v>527</v>
      </c>
      <c r="F67" s="153" t="s">
        <v>527</v>
      </c>
      <c r="G67" s="153">
        <v>45171</v>
      </c>
      <c r="H67" s="153">
        <v>45216</v>
      </c>
      <c r="I67" s="153">
        <v>45238</v>
      </c>
      <c r="J67" s="153">
        <v>45411</v>
      </c>
      <c r="K67" s="153">
        <v>45431</v>
      </c>
      <c r="L67" s="153">
        <v>46522</v>
      </c>
      <c r="M67" s="153">
        <v>45839</v>
      </c>
      <c r="N67" s="153">
        <v>46285</v>
      </c>
      <c r="O67" s="153">
        <v>45839</v>
      </c>
      <c r="P67" s="153">
        <v>46526</v>
      </c>
    </row>
    <row r="68" spans="1:16">
      <c r="A68" s="153">
        <v>45157</v>
      </c>
      <c r="B68" s="153">
        <v>45187</v>
      </c>
      <c r="C68" s="153">
        <v>45187</v>
      </c>
      <c r="D68" s="153">
        <v>45217</v>
      </c>
      <c r="E68" s="153" t="s">
        <v>527</v>
      </c>
      <c r="F68" s="153" t="s">
        <v>527</v>
      </c>
      <c r="G68" s="153">
        <v>45247</v>
      </c>
      <c r="H68" s="153">
        <v>45292</v>
      </c>
      <c r="I68" s="153">
        <v>45361</v>
      </c>
      <c r="J68" s="153">
        <v>45524</v>
      </c>
      <c r="K68" s="153">
        <v>45677</v>
      </c>
      <c r="L68" s="153">
        <v>46663</v>
      </c>
      <c r="M68" s="153">
        <v>45962</v>
      </c>
      <c r="N68" s="153">
        <v>46663</v>
      </c>
      <c r="O68" s="153">
        <v>46664</v>
      </c>
      <c r="P68" s="153">
        <v>46686</v>
      </c>
    </row>
    <row r="69" spans="1:16">
      <c r="A69" s="153">
        <v>44996</v>
      </c>
      <c r="B69" s="153">
        <v>45026</v>
      </c>
      <c r="C69" s="153">
        <v>45026</v>
      </c>
      <c r="D69" s="153">
        <v>45056</v>
      </c>
      <c r="E69" s="153" t="s">
        <v>527</v>
      </c>
      <c r="F69" s="153" t="s">
        <v>527</v>
      </c>
      <c r="G69" s="153">
        <v>45086</v>
      </c>
      <c r="H69" s="153">
        <v>45131</v>
      </c>
      <c r="I69" s="153">
        <v>45147</v>
      </c>
      <c r="J69" s="153">
        <v>45322</v>
      </c>
      <c r="K69" s="153">
        <v>45397</v>
      </c>
      <c r="L69" s="153">
        <v>46138</v>
      </c>
      <c r="M69" s="153">
        <v>45871</v>
      </c>
      <c r="N69" s="153">
        <v>46148</v>
      </c>
      <c r="O69" s="153">
        <v>46149</v>
      </c>
      <c r="P69" s="153">
        <v>46154</v>
      </c>
    </row>
    <row r="70" spans="1:16">
      <c r="A70" s="153">
        <v>45240</v>
      </c>
      <c r="B70" s="153">
        <v>45270</v>
      </c>
      <c r="C70" s="153">
        <v>45270</v>
      </c>
      <c r="D70" s="153">
        <v>45300</v>
      </c>
      <c r="E70" s="153" t="s">
        <v>527</v>
      </c>
      <c r="F70" s="153" t="s">
        <v>527</v>
      </c>
      <c r="G70" s="153">
        <v>45330</v>
      </c>
      <c r="H70" s="153">
        <v>45375</v>
      </c>
      <c r="I70" s="153">
        <v>45386</v>
      </c>
      <c r="J70" s="153">
        <v>45540</v>
      </c>
      <c r="K70" s="153">
        <v>45664</v>
      </c>
      <c r="L70" s="153">
        <v>46373</v>
      </c>
      <c r="M70" s="153">
        <v>45820</v>
      </c>
      <c r="N70" s="153">
        <v>46328</v>
      </c>
      <c r="O70" s="153">
        <v>46099</v>
      </c>
      <c r="P70" s="153">
        <v>46385</v>
      </c>
    </row>
    <row r="71" spans="1:16">
      <c r="A71" s="153">
        <v>45229</v>
      </c>
      <c r="B71" s="153">
        <v>45259</v>
      </c>
      <c r="C71" s="153">
        <v>45259</v>
      </c>
      <c r="D71" s="153">
        <v>45289</v>
      </c>
      <c r="E71" s="153" t="s">
        <v>527</v>
      </c>
      <c r="F71" s="153" t="s">
        <v>527</v>
      </c>
      <c r="G71" s="153">
        <v>45319</v>
      </c>
      <c r="H71" s="153">
        <v>45364</v>
      </c>
      <c r="I71" s="153">
        <v>45396</v>
      </c>
      <c r="J71" s="153">
        <v>45564</v>
      </c>
      <c r="K71" s="153">
        <v>45638</v>
      </c>
      <c r="L71" s="153">
        <v>46366</v>
      </c>
      <c r="M71" s="153">
        <v>45839</v>
      </c>
      <c r="N71" s="153">
        <v>46369</v>
      </c>
      <c r="O71" s="153">
        <v>46106</v>
      </c>
      <c r="P71" s="153">
        <v>46372</v>
      </c>
    </row>
    <row r="72" spans="1:16">
      <c r="A72" s="153">
        <v>45229</v>
      </c>
      <c r="B72" s="153">
        <v>45259</v>
      </c>
      <c r="C72" s="153">
        <v>45259</v>
      </c>
      <c r="D72" s="153">
        <v>45289</v>
      </c>
      <c r="E72" s="153" t="s">
        <v>527</v>
      </c>
      <c r="F72" s="153" t="s">
        <v>527</v>
      </c>
      <c r="G72" s="153">
        <v>45319</v>
      </c>
      <c r="H72" s="153">
        <v>45364</v>
      </c>
      <c r="I72" s="153">
        <v>45398</v>
      </c>
      <c r="J72" s="153">
        <v>45705</v>
      </c>
      <c r="K72" s="153">
        <v>45808</v>
      </c>
      <c r="L72" s="153">
        <v>46572</v>
      </c>
      <c r="M72" s="153">
        <v>45883</v>
      </c>
      <c r="N72" s="153">
        <v>46455</v>
      </c>
      <c r="O72" s="153">
        <v>46114</v>
      </c>
      <c r="P72" s="153">
        <v>46482</v>
      </c>
    </row>
    <row r="73" spans="1:16">
      <c r="A73" s="153">
        <v>45229</v>
      </c>
      <c r="B73" s="153">
        <v>45259</v>
      </c>
      <c r="C73" s="153">
        <v>45259</v>
      </c>
      <c r="D73" s="153">
        <v>45289</v>
      </c>
      <c r="E73" s="153" t="s">
        <v>527</v>
      </c>
      <c r="F73" s="153" t="s">
        <v>527</v>
      </c>
      <c r="G73" s="153">
        <v>45319</v>
      </c>
      <c r="H73" s="153">
        <v>45364</v>
      </c>
      <c r="I73" s="153">
        <v>45370</v>
      </c>
      <c r="J73" s="153">
        <v>45515</v>
      </c>
      <c r="K73" s="153">
        <v>45647</v>
      </c>
      <c r="L73" s="153">
        <v>46655</v>
      </c>
      <c r="M73" s="153">
        <v>45705</v>
      </c>
      <c r="N73" s="153">
        <v>46641</v>
      </c>
      <c r="O73" s="153">
        <v>45799</v>
      </c>
      <c r="P73" s="153">
        <v>46660</v>
      </c>
    </row>
    <row r="74" spans="1:16">
      <c r="A74" s="153">
        <v>45020</v>
      </c>
      <c r="B74" s="153">
        <v>45050</v>
      </c>
      <c r="C74" s="153">
        <v>45050</v>
      </c>
      <c r="D74" s="153">
        <v>45080</v>
      </c>
      <c r="E74" s="153" t="s">
        <v>527</v>
      </c>
      <c r="F74" s="153" t="s">
        <v>527</v>
      </c>
      <c r="G74" s="153">
        <v>45110</v>
      </c>
      <c r="H74" s="153">
        <v>45155</v>
      </c>
      <c r="I74" s="153">
        <v>45396</v>
      </c>
      <c r="J74" s="153">
        <v>45552</v>
      </c>
      <c r="K74" s="153" t="s">
        <v>531</v>
      </c>
      <c r="L74" s="153">
        <v>46390</v>
      </c>
      <c r="M74" s="153" t="s">
        <v>532</v>
      </c>
      <c r="N74" s="153">
        <v>46356</v>
      </c>
      <c r="O74" s="153">
        <v>46393</v>
      </c>
      <c r="P74" s="153">
        <v>46394</v>
      </c>
    </row>
    <row r="75" spans="1:16">
      <c r="A75" s="153">
        <v>45080</v>
      </c>
      <c r="B75" s="153">
        <v>45110</v>
      </c>
      <c r="C75" s="153">
        <v>45110</v>
      </c>
      <c r="D75" s="153">
        <v>45140</v>
      </c>
      <c r="E75" s="153" t="s">
        <v>527</v>
      </c>
      <c r="F75" s="153" t="s">
        <v>527</v>
      </c>
      <c r="G75" s="153">
        <v>45170</v>
      </c>
      <c r="H75" s="153">
        <v>45215</v>
      </c>
      <c r="I75" s="153">
        <v>45251</v>
      </c>
      <c r="J75" s="153">
        <v>45550</v>
      </c>
      <c r="K75" s="153">
        <v>45634</v>
      </c>
      <c r="L75" s="153">
        <v>46300</v>
      </c>
      <c r="M75" s="153">
        <v>45839</v>
      </c>
      <c r="N75" s="153">
        <v>46294</v>
      </c>
      <c r="O75" s="153">
        <v>45886</v>
      </c>
      <c r="P75" s="153">
        <v>46308</v>
      </c>
    </row>
    <row r="76" spans="1:16">
      <c r="A76" s="153">
        <v>45296</v>
      </c>
      <c r="B76" s="153">
        <v>45326</v>
      </c>
      <c r="C76" s="153">
        <v>45326</v>
      </c>
      <c r="D76" s="153">
        <v>45356</v>
      </c>
      <c r="E76" s="153" t="s">
        <v>527</v>
      </c>
      <c r="F76" s="153" t="s">
        <v>527</v>
      </c>
      <c r="G76" s="153">
        <v>45386</v>
      </c>
      <c r="H76" s="153">
        <v>45431</v>
      </c>
      <c r="I76" s="153">
        <v>45439</v>
      </c>
      <c r="J76" s="153">
        <v>45564</v>
      </c>
      <c r="K76" s="153" t="s">
        <v>536</v>
      </c>
      <c r="L76" s="153">
        <v>46721</v>
      </c>
      <c r="M76" s="153" t="s">
        <v>537</v>
      </c>
      <c r="N76" s="153">
        <v>46739</v>
      </c>
      <c r="O76" s="153">
        <v>46748</v>
      </c>
      <c r="P76" s="153">
        <v>46762</v>
      </c>
    </row>
    <row r="77" spans="1:16">
      <c r="A77" s="153">
        <v>45268</v>
      </c>
      <c r="B77" s="153">
        <v>45298</v>
      </c>
      <c r="C77" s="153">
        <v>45298</v>
      </c>
      <c r="D77" s="153">
        <v>45328</v>
      </c>
      <c r="E77" s="153" t="s">
        <v>527</v>
      </c>
      <c r="F77" s="153" t="s">
        <v>527</v>
      </c>
      <c r="G77" s="153">
        <v>45358</v>
      </c>
      <c r="H77" s="153">
        <v>45403</v>
      </c>
      <c r="I77" s="153">
        <v>45411</v>
      </c>
      <c r="J77" s="153">
        <v>45501</v>
      </c>
      <c r="K77" s="153" t="s">
        <v>541</v>
      </c>
      <c r="L77" s="153">
        <v>46162</v>
      </c>
      <c r="M77" s="153">
        <v>45962</v>
      </c>
      <c r="N77" s="153">
        <v>46165</v>
      </c>
      <c r="O77" s="153">
        <v>46166</v>
      </c>
      <c r="P77" s="153">
        <v>46167</v>
      </c>
    </row>
    <row r="78" spans="1:16">
      <c r="A78" s="153">
        <v>45312</v>
      </c>
      <c r="B78" s="153">
        <v>45342</v>
      </c>
      <c r="C78" s="153">
        <v>45342</v>
      </c>
      <c r="D78" s="153">
        <v>45357</v>
      </c>
      <c r="E78" s="153" t="s">
        <v>527</v>
      </c>
      <c r="F78" s="153" t="s">
        <v>527</v>
      </c>
      <c r="G78" s="153">
        <v>45513</v>
      </c>
      <c r="H78" s="153">
        <v>45558</v>
      </c>
      <c r="I78" s="153">
        <v>45589</v>
      </c>
      <c r="J78" s="153">
        <v>46142</v>
      </c>
      <c r="K78" s="153">
        <v>46204</v>
      </c>
      <c r="L78" s="153">
        <v>46736</v>
      </c>
      <c r="M78" s="153">
        <v>46393</v>
      </c>
      <c r="N78" s="153">
        <v>46741</v>
      </c>
      <c r="O78" s="153">
        <v>46661</v>
      </c>
      <c r="P78" s="153">
        <v>46752</v>
      </c>
    </row>
    <row r="79" spans="1:16">
      <c r="A79" s="153">
        <v>45297</v>
      </c>
      <c r="B79" s="153">
        <v>45327</v>
      </c>
      <c r="C79" s="153">
        <v>45327</v>
      </c>
      <c r="D79" s="153">
        <v>45342</v>
      </c>
      <c r="E79" s="153" t="s">
        <v>527</v>
      </c>
      <c r="F79" s="153" t="s">
        <v>527</v>
      </c>
      <c r="G79" s="153">
        <v>45460</v>
      </c>
      <c r="H79" s="153">
        <v>45505</v>
      </c>
      <c r="I79" s="153">
        <v>45561</v>
      </c>
      <c r="J79" s="153">
        <v>45705</v>
      </c>
      <c r="K79" s="153">
        <v>45781</v>
      </c>
      <c r="L79" s="153">
        <v>46442</v>
      </c>
      <c r="M79" s="153">
        <v>45956</v>
      </c>
      <c r="N79" s="153">
        <v>46450</v>
      </c>
      <c r="O79" s="153">
        <v>46418</v>
      </c>
      <c r="P79" s="153">
        <v>46453</v>
      </c>
    </row>
    <row r="80" spans="1:16">
      <c r="A80" s="153">
        <v>45302</v>
      </c>
      <c r="B80" s="153">
        <v>45332</v>
      </c>
      <c r="C80" s="153">
        <v>45332</v>
      </c>
      <c r="D80" s="153">
        <v>45347</v>
      </c>
      <c r="E80" s="153" t="s">
        <v>527</v>
      </c>
      <c r="F80" s="153" t="s">
        <v>527</v>
      </c>
      <c r="G80" s="153">
        <v>45491</v>
      </c>
      <c r="H80" s="153">
        <v>45536</v>
      </c>
      <c r="I80" s="153">
        <v>45545</v>
      </c>
      <c r="J80" s="153">
        <v>45664</v>
      </c>
      <c r="K80" s="153">
        <v>45750</v>
      </c>
      <c r="L80" s="153">
        <v>46753</v>
      </c>
      <c r="M80" s="153">
        <v>45878</v>
      </c>
      <c r="N80" s="153">
        <v>46757</v>
      </c>
      <c r="O80" s="153">
        <v>46736</v>
      </c>
      <c r="P80" s="153">
        <v>46779</v>
      </c>
    </row>
    <row r="81" spans="1:16">
      <c r="A81" s="153">
        <v>45109</v>
      </c>
      <c r="B81" s="153">
        <v>45139</v>
      </c>
      <c r="C81" s="153">
        <v>45139</v>
      </c>
      <c r="D81" s="153">
        <v>45169</v>
      </c>
      <c r="E81" s="153">
        <v>45169</v>
      </c>
      <c r="F81" s="153">
        <v>45313</v>
      </c>
      <c r="G81" s="153">
        <v>45370</v>
      </c>
      <c r="H81" s="153">
        <v>45564</v>
      </c>
      <c r="I81" s="153">
        <v>45665</v>
      </c>
      <c r="J81" s="153">
        <v>46142</v>
      </c>
      <c r="K81" s="153">
        <v>46204</v>
      </c>
      <c r="L81" s="153">
        <v>46919</v>
      </c>
      <c r="M81" s="153">
        <v>46753</v>
      </c>
      <c r="N81" s="153">
        <v>46924</v>
      </c>
      <c r="O81" s="153">
        <v>46844</v>
      </c>
      <c r="P81" s="153">
        <v>46934</v>
      </c>
    </row>
    <row r="82" spans="1:16">
      <c r="A82" s="153">
        <v>45109</v>
      </c>
      <c r="B82" s="153">
        <v>45139</v>
      </c>
      <c r="C82" s="153">
        <v>45139</v>
      </c>
      <c r="D82" s="153">
        <v>45169</v>
      </c>
      <c r="E82" s="153">
        <v>45169</v>
      </c>
      <c r="F82" s="153">
        <v>45313</v>
      </c>
      <c r="G82" s="153">
        <v>45400</v>
      </c>
      <c r="H82" s="153">
        <v>45543</v>
      </c>
      <c r="I82" s="153">
        <v>45566</v>
      </c>
      <c r="J82" s="153">
        <v>46142</v>
      </c>
      <c r="K82" s="153">
        <v>46204</v>
      </c>
      <c r="L82" s="153">
        <v>46553</v>
      </c>
      <c r="M82" s="153">
        <v>46388</v>
      </c>
      <c r="N82" s="153">
        <v>46558</v>
      </c>
      <c r="O82" s="153">
        <v>46478</v>
      </c>
      <c r="P82" s="153">
        <v>46568</v>
      </c>
    </row>
    <row r="83" spans="1:16">
      <c r="A83" s="153">
        <v>45297</v>
      </c>
      <c r="B83" s="153">
        <v>45327</v>
      </c>
      <c r="C83" s="153">
        <v>45327</v>
      </c>
      <c r="D83" s="153">
        <v>45342</v>
      </c>
      <c r="E83" s="153" t="s">
        <v>527</v>
      </c>
      <c r="F83" s="153" t="s">
        <v>527</v>
      </c>
      <c r="G83" s="153">
        <v>45499</v>
      </c>
      <c r="H83" s="153">
        <v>45544</v>
      </c>
      <c r="I83" s="153">
        <v>45564</v>
      </c>
      <c r="J83" s="153">
        <v>46142</v>
      </c>
      <c r="K83" s="153">
        <v>46204</v>
      </c>
      <c r="L83" s="153">
        <v>46919</v>
      </c>
      <c r="M83" s="153">
        <v>46753</v>
      </c>
      <c r="N83" s="153">
        <v>46924</v>
      </c>
      <c r="O83" s="153">
        <v>46844</v>
      </c>
      <c r="P83" s="153">
        <v>46934</v>
      </c>
    </row>
    <row r="84" spans="1:16">
      <c r="A84" s="153">
        <v>45109</v>
      </c>
      <c r="B84" s="153">
        <v>45139</v>
      </c>
      <c r="C84" s="153">
        <v>45139</v>
      </c>
      <c r="D84" s="153">
        <v>45169</v>
      </c>
      <c r="E84" s="153">
        <v>45169</v>
      </c>
      <c r="F84" s="153">
        <v>45313</v>
      </c>
      <c r="G84" s="153">
        <v>45370</v>
      </c>
      <c r="H84" s="153">
        <v>45551</v>
      </c>
      <c r="I84" s="153">
        <v>45581</v>
      </c>
      <c r="J84" s="153">
        <v>45914</v>
      </c>
      <c r="K84" s="153">
        <v>45995</v>
      </c>
      <c r="L84" s="153">
        <v>46649</v>
      </c>
      <c r="M84" s="153">
        <v>46095</v>
      </c>
      <c r="N84" s="153">
        <v>46623</v>
      </c>
      <c r="O84" s="153">
        <v>46658</v>
      </c>
      <c r="P84" s="153">
        <v>46666</v>
      </c>
    </row>
    <row r="85" spans="1:16">
      <c r="A85" s="153">
        <v>45109</v>
      </c>
      <c r="B85" s="153">
        <v>45139</v>
      </c>
      <c r="C85" s="153">
        <v>45139</v>
      </c>
      <c r="D85" s="153">
        <v>45169</v>
      </c>
      <c r="E85" s="153">
        <v>45169</v>
      </c>
      <c r="F85" s="153">
        <v>45313</v>
      </c>
      <c r="G85" s="153">
        <v>45370</v>
      </c>
      <c r="H85" s="153">
        <v>45564</v>
      </c>
      <c r="I85" s="153">
        <v>45761</v>
      </c>
      <c r="J85" s="153">
        <v>46142</v>
      </c>
      <c r="K85" s="153">
        <v>46204</v>
      </c>
      <c r="L85" s="153">
        <v>46919</v>
      </c>
      <c r="M85" s="153">
        <v>46753</v>
      </c>
      <c r="N85" s="153">
        <v>46924</v>
      </c>
      <c r="O85" s="153">
        <v>46844</v>
      </c>
      <c r="P85" s="153">
        <v>46934</v>
      </c>
    </row>
    <row r="86" spans="1:16">
      <c r="A86" s="153">
        <v>45297</v>
      </c>
      <c r="B86" s="153">
        <v>45327</v>
      </c>
      <c r="C86" s="153">
        <v>45327</v>
      </c>
      <c r="D86" s="153">
        <v>45347</v>
      </c>
      <c r="E86" s="153" t="s">
        <v>527</v>
      </c>
      <c r="F86" s="153" t="s">
        <v>527</v>
      </c>
      <c r="G86" s="153">
        <v>45491</v>
      </c>
      <c r="H86" s="153">
        <v>45536</v>
      </c>
      <c r="I86" s="153">
        <v>45565</v>
      </c>
      <c r="J86" s="153">
        <v>45742</v>
      </c>
      <c r="K86" s="153">
        <v>45822</v>
      </c>
      <c r="L86" s="153">
        <v>46478</v>
      </c>
      <c r="M86" s="153">
        <v>46354</v>
      </c>
      <c r="N86" s="153">
        <v>46482</v>
      </c>
      <c r="O86" s="153">
        <v>46373</v>
      </c>
      <c r="P86" s="153">
        <v>46492</v>
      </c>
    </row>
    <row r="87" spans="1:16">
      <c r="A87" s="153">
        <v>45109</v>
      </c>
      <c r="B87" s="153">
        <v>45139</v>
      </c>
      <c r="C87" s="153">
        <v>45139</v>
      </c>
      <c r="D87" s="153">
        <v>45169</v>
      </c>
      <c r="E87" s="153">
        <v>45169</v>
      </c>
      <c r="F87" s="153">
        <v>45312</v>
      </c>
      <c r="G87" s="153">
        <v>45386</v>
      </c>
      <c r="H87" s="153">
        <v>45550</v>
      </c>
      <c r="I87" s="153">
        <v>45581</v>
      </c>
      <c r="J87" s="153">
        <v>45932</v>
      </c>
      <c r="K87" s="153">
        <v>46022</v>
      </c>
      <c r="L87" s="153">
        <v>46942</v>
      </c>
      <c r="M87" s="153">
        <v>46106</v>
      </c>
      <c r="N87" s="153">
        <v>46951</v>
      </c>
      <c r="O87" s="153">
        <v>46952</v>
      </c>
      <c r="P87" s="153">
        <v>47034</v>
      </c>
    </row>
    <row r="88" spans="1:16">
      <c r="A88" s="153">
        <v>45109</v>
      </c>
      <c r="B88" s="153">
        <v>45139</v>
      </c>
      <c r="C88" s="153">
        <v>45139</v>
      </c>
      <c r="D88" s="153">
        <v>45169</v>
      </c>
      <c r="E88" s="153">
        <v>45169</v>
      </c>
      <c r="F88" s="153">
        <v>45312</v>
      </c>
      <c r="G88" s="153">
        <v>45386</v>
      </c>
      <c r="H88" s="153">
        <v>45552</v>
      </c>
      <c r="I88" s="153">
        <v>45578</v>
      </c>
      <c r="J88" s="153">
        <v>46142</v>
      </c>
      <c r="K88" s="153">
        <v>46204</v>
      </c>
      <c r="L88" s="153">
        <v>46919</v>
      </c>
      <c r="M88" s="153">
        <v>46753</v>
      </c>
      <c r="N88" s="153">
        <v>46924</v>
      </c>
      <c r="O88" s="153">
        <v>46844</v>
      </c>
      <c r="P88" s="153">
        <v>46934</v>
      </c>
    </row>
    <row r="89" spans="1:16">
      <c r="A89" s="153">
        <v>45109</v>
      </c>
      <c r="B89" s="153">
        <v>45139</v>
      </c>
      <c r="C89" s="153">
        <v>45139</v>
      </c>
      <c r="D89" s="153">
        <v>45169</v>
      </c>
      <c r="E89" s="153">
        <v>45169</v>
      </c>
      <c r="F89" s="153">
        <v>45312</v>
      </c>
      <c r="G89" s="153">
        <v>45386</v>
      </c>
      <c r="H89" s="153">
        <v>45559</v>
      </c>
      <c r="I89" s="153">
        <v>45578</v>
      </c>
      <c r="J89" s="153">
        <v>45937</v>
      </c>
      <c r="K89" s="153">
        <v>46006</v>
      </c>
      <c r="L89" s="153">
        <v>47002</v>
      </c>
      <c r="M89" s="153">
        <v>46340</v>
      </c>
      <c r="N89" s="153">
        <v>47014</v>
      </c>
      <c r="O89" s="153">
        <v>46737</v>
      </c>
      <c r="P89" s="153">
        <v>47037</v>
      </c>
    </row>
    <row r="90" spans="1:16">
      <c r="A90" s="153">
        <v>45109</v>
      </c>
      <c r="B90" s="153">
        <v>45139</v>
      </c>
      <c r="C90" s="153">
        <v>45139</v>
      </c>
      <c r="D90" s="153">
        <v>45169</v>
      </c>
      <c r="E90" s="153">
        <v>45169</v>
      </c>
      <c r="F90" s="153">
        <v>45312</v>
      </c>
      <c r="G90" s="153">
        <v>45386</v>
      </c>
      <c r="H90" s="153">
        <v>45562</v>
      </c>
      <c r="I90" s="153">
        <v>45840</v>
      </c>
      <c r="J90" s="153">
        <v>45840</v>
      </c>
      <c r="K90" s="153">
        <v>45956</v>
      </c>
      <c r="L90" s="153">
        <v>46949</v>
      </c>
      <c r="M90" s="153">
        <v>46202</v>
      </c>
      <c r="N90" s="153">
        <v>46953</v>
      </c>
      <c r="O90" s="153" t="s">
        <v>372</v>
      </c>
      <c r="P90" s="153">
        <v>46963</v>
      </c>
    </row>
    <row r="91" spans="1:16">
      <c r="A91" s="153">
        <v>45109</v>
      </c>
      <c r="B91" s="153">
        <v>45139</v>
      </c>
      <c r="C91" s="153">
        <v>45139</v>
      </c>
      <c r="D91" s="153">
        <v>45169</v>
      </c>
      <c r="E91" s="153">
        <v>45169</v>
      </c>
      <c r="F91" s="153">
        <v>45312</v>
      </c>
      <c r="G91" s="153">
        <v>45386</v>
      </c>
      <c r="H91" s="153">
        <v>45543</v>
      </c>
      <c r="I91" s="153">
        <v>45578</v>
      </c>
      <c r="J91" s="153">
        <v>45700</v>
      </c>
      <c r="K91" s="153">
        <v>45809</v>
      </c>
      <c r="L91" s="153">
        <v>46057</v>
      </c>
      <c r="M91" s="153">
        <v>45853</v>
      </c>
      <c r="N91" s="153">
        <v>46065</v>
      </c>
      <c r="O91" s="153">
        <v>45983</v>
      </c>
      <c r="P91" s="153">
        <v>46072</v>
      </c>
    </row>
    <row r="92" spans="1:16">
      <c r="A92" s="153">
        <v>45109</v>
      </c>
      <c r="B92" s="153">
        <v>45139</v>
      </c>
      <c r="C92" s="153">
        <v>45139</v>
      </c>
      <c r="D92" s="153">
        <v>45169</v>
      </c>
      <c r="E92" s="153">
        <v>45169</v>
      </c>
      <c r="F92" s="153">
        <v>45312</v>
      </c>
      <c r="G92" s="153">
        <v>45386</v>
      </c>
      <c r="H92" s="153">
        <v>45560</v>
      </c>
      <c r="I92" s="153">
        <v>45589</v>
      </c>
      <c r="J92" s="153">
        <v>46142</v>
      </c>
      <c r="K92" s="153">
        <v>46204</v>
      </c>
      <c r="L92" s="153">
        <v>46919</v>
      </c>
      <c r="M92" s="153">
        <v>46753</v>
      </c>
      <c r="N92" s="153">
        <v>46924</v>
      </c>
      <c r="O92" s="153">
        <v>46844</v>
      </c>
      <c r="P92" s="153">
        <v>46934</v>
      </c>
    </row>
    <row r="93" spans="1:16">
      <c r="A93" s="153">
        <v>45109</v>
      </c>
      <c r="B93" s="153">
        <v>45139</v>
      </c>
      <c r="C93" s="153">
        <v>45139</v>
      </c>
      <c r="D93" s="153">
        <v>45169</v>
      </c>
      <c r="E93" s="153">
        <v>45169</v>
      </c>
      <c r="F93" s="153">
        <v>45312</v>
      </c>
      <c r="G93" s="153">
        <v>45386</v>
      </c>
      <c r="H93" s="153">
        <v>45544</v>
      </c>
      <c r="I93" s="153">
        <v>45561</v>
      </c>
      <c r="J93" s="153">
        <v>45705</v>
      </c>
      <c r="K93" s="153">
        <v>45789</v>
      </c>
      <c r="L93" s="153">
        <v>46436</v>
      </c>
      <c r="M93" s="153">
        <v>45829</v>
      </c>
      <c r="N93" s="153">
        <v>46432</v>
      </c>
      <c r="O93" s="153">
        <v>46436</v>
      </c>
      <c r="P93" s="153">
        <v>46461</v>
      </c>
    </row>
    <row r="94" spans="1:16">
      <c r="A94" s="153">
        <v>45109</v>
      </c>
      <c r="B94" s="153">
        <v>45139</v>
      </c>
      <c r="C94" s="153">
        <v>45139</v>
      </c>
      <c r="D94" s="153">
        <v>45169</v>
      </c>
      <c r="E94" s="153">
        <v>45169</v>
      </c>
      <c r="F94" s="153">
        <v>45312</v>
      </c>
      <c r="G94" s="153">
        <v>45386</v>
      </c>
      <c r="H94" s="153">
        <v>45559</v>
      </c>
      <c r="I94" s="153">
        <v>45603</v>
      </c>
      <c r="J94" s="153">
        <v>46142</v>
      </c>
      <c r="K94" s="153">
        <v>46204</v>
      </c>
      <c r="L94" s="153">
        <v>47284</v>
      </c>
      <c r="M94" s="153">
        <v>47119</v>
      </c>
      <c r="N94" s="153">
        <v>47289</v>
      </c>
      <c r="O94" s="153">
        <v>47209</v>
      </c>
      <c r="P94" s="153">
        <v>47299</v>
      </c>
    </row>
    <row r="95" spans="1:16">
      <c r="A95" s="153">
        <v>45109</v>
      </c>
      <c r="B95" s="153">
        <v>45139</v>
      </c>
      <c r="C95" s="153">
        <v>45139</v>
      </c>
      <c r="D95" s="153">
        <v>45169</v>
      </c>
      <c r="E95" s="153">
        <v>45169</v>
      </c>
      <c r="F95" s="153">
        <v>45312</v>
      </c>
      <c r="G95" s="153">
        <v>45386</v>
      </c>
      <c r="H95" s="153">
        <v>45550</v>
      </c>
      <c r="I95" s="153">
        <v>45581</v>
      </c>
      <c r="J95" s="153">
        <v>45896</v>
      </c>
      <c r="K95" s="153" t="s">
        <v>382</v>
      </c>
      <c r="L95" s="153">
        <v>46935</v>
      </c>
      <c r="M95" s="153">
        <v>46438</v>
      </c>
      <c r="N95" s="153">
        <v>46975</v>
      </c>
      <c r="O95" s="153">
        <v>46971</v>
      </c>
      <c r="P95" s="153">
        <v>46996</v>
      </c>
    </row>
    <row r="96" spans="1:16">
      <c r="A96" s="153">
        <v>45109</v>
      </c>
      <c r="B96" s="153">
        <v>45139</v>
      </c>
      <c r="C96" s="153">
        <v>45139</v>
      </c>
      <c r="D96" s="153">
        <v>45169</v>
      </c>
      <c r="E96" s="153">
        <v>45169</v>
      </c>
      <c r="F96" s="153">
        <v>45312</v>
      </c>
      <c r="G96" s="153">
        <v>45386</v>
      </c>
      <c r="H96" s="153">
        <v>45564</v>
      </c>
      <c r="I96" s="153">
        <v>45589</v>
      </c>
      <c r="J96" s="153">
        <v>46142</v>
      </c>
      <c r="K96" s="153">
        <v>46204</v>
      </c>
      <c r="L96" s="153">
        <v>47284</v>
      </c>
      <c r="M96" s="153">
        <v>47119</v>
      </c>
      <c r="N96" s="153">
        <v>47289</v>
      </c>
      <c r="O96" s="153">
        <v>47209</v>
      </c>
      <c r="P96" s="153">
        <v>47299</v>
      </c>
    </row>
    <row r="97" spans="1:16">
      <c r="A97" s="153">
        <v>45297</v>
      </c>
      <c r="B97" s="153">
        <v>45327</v>
      </c>
      <c r="C97" s="153">
        <v>45327</v>
      </c>
      <c r="D97" s="153">
        <v>45342</v>
      </c>
      <c r="E97" s="153" t="s">
        <v>527</v>
      </c>
      <c r="F97" s="153" t="s">
        <v>527</v>
      </c>
      <c r="G97" s="153">
        <v>45464</v>
      </c>
      <c r="H97" s="153">
        <v>45509</v>
      </c>
      <c r="I97" s="153">
        <v>45567</v>
      </c>
      <c r="J97" s="153">
        <v>46142</v>
      </c>
      <c r="K97" s="153">
        <v>46204</v>
      </c>
      <c r="L97" s="153">
        <v>46919</v>
      </c>
      <c r="M97" s="153">
        <v>46753</v>
      </c>
      <c r="N97" s="153">
        <v>46924</v>
      </c>
      <c r="O97" s="153">
        <v>46844</v>
      </c>
      <c r="P97" s="153">
        <v>46934</v>
      </c>
    </row>
    <row r="98" spans="1:16">
      <c r="A98" s="153">
        <v>45109</v>
      </c>
      <c r="B98" s="153">
        <v>45139</v>
      </c>
      <c r="C98" s="153">
        <v>45139</v>
      </c>
      <c r="D98" s="153">
        <v>45169</v>
      </c>
      <c r="E98" s="153">
        <v>45169</v>
      </c>
      <c r="F98" s="153">
        <v>45313</v>
      </c>
      <c r="G98" s="153">
        <v>45370</v>
      </c>
      <c r="H98" s="153">
        <v>45545</v>
      </c>
      <c r="I98" s="153">
        <v>45585</v>
      </c>
      <c r="J98" s="153">
        <v>45722</v>
      </c>
      <c r="K98" s="153">
        <v>45798</v>
      </c>
      <c r="L98" s="153">
        <v>46473</v>
      </c>
      <c r="M98" s="153">
        <v>45857</v>
      </c>
      <c r="N98" s="153">
        <v>46471</v>
      </c>
      <c r="O98" s="153">
        <v>46481</v>
      </c>
      <c r="P98" s="153">
        <v>46482</v>
      </c>
    </row>
    <row r="99" spans="1:16">
      <c r="A99" s="153">
        <v>45297</v>
      </c>
      <c r="B99" s="153">
        <v>45327</v>
      </c>
      <c r="C99" s="153">
        <v>45327</v>
      </c>
      <c r="D99" s="153">
        <v>45342</v>
      </c>
      <c r="E99" s="153" t="s">
        <v>527</v>
      </c>
      <c r="F99" s="153" t="s">
        <v>527</v>
      </c>
      <c r="G99" s="153">
        <v>45464</v>
      </c>
      <c r="H99" s="153">
        <v>45509</v>
      </c>
      <c r="I99" s="153">
        <v>45585</v>
      </c>
      <c r="J99" s="153">
        <v>45742</v>
      </c>
      <c r="K99" s="153">
        <v>45847</v>
      </c>
      <c r="L99" s="153">
        <v>46852</v>
      </c>
      <c r="M99" s="153">
        <v>45894</v>
      </c>
      <c r="N99" s="153">
        <v>46839</v>
      </c>
      <c r="O99" s="153">
        <v>46846</v>
      </c>
      <c r="P99" s="153">
        <v>46856</v>
      </c>
    </row>
    <row r="100" spans="1:16">
      <c r="A100" s="153">
        <v>45109</v>
      </c>
      <c r="B100" s="153">
        <v>45139</v>
      </c>
      <c r="C100" s="153">
        <v>45139</v>
      </c>
      <c r="D100" s="153">
        <v>45169</v>
      </c>
      <c r="E100" s="153">
        <v>45169</v>
      </c>
      <c r="F100" s="153">
        <v>45312</v>
      </c>
      <c r="G100" s="153">
        <v>45386</v>
      </c>
      <c r="H100" s="153">
        <v>45540</v>
      </c>
      <c r="I100" s="153">
        <v>45560</v>
      </c>
      <c r="J100" s="153">
        <v>46142</v>
      </c>
      <c r="K100" s="153">
        <v>46204</v>
      </c>
      <c r="L100" s="153">
        <v>47284</v>
      </c>
      <c r="M100" s="153">
        <v>47119</v>
      </c>
      <c r="N100" s="153">
        <v>47289</v>
      </c>
      <c r="O100" s="153">
        <v>47209</v>
      </c>
      <c r="P100" s="153">
        <v>47299</v>
      </c>
    </row>
    <row r="101" spans="1:16">
      <c r="A101" s="153">
        <v>45109</v>
      </c>
      <c r="B101" s="153">
        <v>45139</v>
      </c>
      <c r="C101" s="153">
        <v>45139</v>
      </c>
      <c r="D101" s="153">
        <v>45169</v>
      </c>
      <c r="E101" s="153">
        <v>45169</v>
      </c>
      <c r="F101" s="153">
        <v>45312</v>
      </c>
      <c r="G101" s="153">
        <v>45386</v>
      </c>
      <c r="H101" s="153">
        <v>45539</v>
      </c>
      <c r="I101" s="153">
        <v>45561</v>
      </c>
      <c r="J101" s="153">
        <v>46142</v>
      </c>
      <c r="K101" s="153">
        <v>46204</v>
      </c>
      <c r="L101" s="153">
        <v>47284</v>
      </c>
      <c r="M101" s="153">
        <v>47119</v>
      </c>
      <c r="N101" s="153">
        <v>47289</v>
      </c>
      <c r="O101" s="153">
        <v>47209</v>
      </c>
      <c r="P101" s="153">
        <v>47299</v>
      </c>
    </row>
    <row r="102" spans="1:16">
      <c r="A102" s="153">
        <v>45302</v>
      </c>
      <c r="B102" s="153">
        <v>45332</v>
      </c>
      <c r="C102" s="153">
        <v>45332</v>
      </c>
      <c r="D102" s="153">
        <v>45347</v>
      </c>
      <c r="E102" s="153" t="s">
        <v>527</v>
      </c>
      <c r="F102" s="153" t="s">
        <v>527</v>
      </c>
      <c r="G102" s="153">
        <v>45491</v>
      </c>
      <c r="H102" s="153">
        <v>45536</v>
      </c>
      <c r="I102" s="153">
        <v>45533</v>
      </c>
      <c r="J102" s="153">
        <v>45629</v>
      </c>
      <c r="K102" s="153">
        <v>45739</v>
      </c>
      <c r="L102" s="153">
        <v>46741</v>
      </c>
      <c r="M102" s="153">
        <v>45770</v>
      </c>
      <c r="N102" s="153">
        <v>46707</v>
      </c>
      <c r="O102" s="153">
        <v>45794</v>
      </c>
      <c r="P102" s="153">
        <v>46743</v>
      </c>
    </row>
    <row r="103" spans="1:16">
      <c r="A103" s="153">
        <v>45749</v>
      </c>
      <c r="B103" s="153">
        <v>45779</v>
      </c>
      <c r="C103" s="153">
        <v>45779</v>
      </c>
      <c r="D103" s="153">
        <v>45809</v>
      </c>
      <c r="E103" s="153">
        <v>45809</v>
      </c>
      <c r="F103" s="153">
        <v>45869</v>
      </c>
      <c r="G103" s="153">
        <v>45871</v>
      </c>
      <c r="H103" s="153">
        <v>46006</v>
      </c>
      <c r="I103" s="153">
        <v>46023</v>
      </c>
      <c r="J103" s="153">
        <v>46142</v>
      </c>
      <c r="K103" s="153">
        <v>46204</v>
      </c>
      <c r="L103" s="153">
        <v>47284</v>
      </c>
      <c r="M103" s="153">
        <v>46753</v>
      </c>
      <c r="N103" s="153">
        <v>46924</v>
      </c>
      <c r="O103" s="153">
        <v>46844</v>
      </c>
      <c r="P103" s="153">
        <v>46934</v>
      </c>
    </row>
    <row r="104" spans="1:16">
      <c r="A104" s="153">
        <v>45633</v>
      </c>
      <c r="B104" s="153">
        <v>45663</v>
      </c>
      <c r="C104" s="153">
        <v>45663</v>
      </c>
      <c r="D104" s="153">
        <v>45693</v>
      </c>
      <c r="E104" s="153">
        <v>45809</v>
      </c>
      <c r="F104" s="153">
        <v>45869</v>
      </c>
      <c r="G104" s="153">
        <v>45871</v>
      </c>
      <c r="H104" s="153">
        <v>46006</v>
      </c>
      <c r="I104" s="153">
        <v>46023</v>
      </c>
      <c r="J104" s="153">
        <v>46142</v>
      </c>
      <c r="K104" s="153">
        <v>46204</v>
      </c>
      <c r="L104" s="153">
        <v>46371</v>
      </c>
      <c r="M104" s="153">
        <v>46234</v>
      </c>
      <c r="N104" s="153">
        <v>46376</v>
      </c>
      <c r="O104" s="153">
        <v>46296</v>
      </c>
      <c r="P104" s="153">
        <v>46387</v>
      </c>
    </row>
    <row r="105" spans="1:16">
      <c r="A105" s="153">
        <v>45640</v>
      </c>
      <c r="B105" s="153">
        <v>45670</v>
      </c>
      <c r="C105" s="153">
        <v>45670</v>
      </c>
      <c r="D105" s="153">
        <v>45700</v>
      </c>
      <c r="E105" s="153">
        <v>45809</v>
      </c>
      <c r="F105" s="153">
        <v>45869</v>
      </c>
      <c r="G105" s="153">
        <v>45871</v>
      </c>
      <c r="H105" s="153">
        <v>46006</v>
      </c>
      <c r="I105" s="153">
        <v>46023</v>
      </c>
      <c r="J105" s="153">
        <v>46142</v>
      </c>
      <c r="K105" s="153">
        <v>46204</v>
      </c>
      <c r="L105" s="153">
        <v>46553</v>
      </c>
      <c r="M105" s="153">
        <v>46388</v>
      </c>
      <c r="N105" s="153">
        <v>46558</v>
      </c>
      <c r="O105" s="153">
        <v>46478</v>
      </c>
      <c r="P105" s="153">
        <v>46568</v>
      </c>
    </row>
    <row r="106" spans="1:16">
      <c r="A106" s="153">
        <v>45125</v>
      </c>
      <c r="B106" s="153">
        <v>45155</v>
      </c>
      <c r="C106" s="153">
        <v>45155</v>
      </c>
      <c r="D106" s="153">
        <v>45185</v>
      </c>
      <c r="E106" s="153" t="s">
        <v>527</v>
      </c>
      <c r="F106" s="153" t="s">
        <v>527</v>
      </c>
      <c r="G106" s="153">
        <v>45215</v>
      </c>
      <c r="H106" s="153">
        <v>45260</v>
      </c>
      <c r="I106" s="153">
        <v>45963</v>
      </c>
      <c r="J106" s="153">
        <v>46142</v>
      </c>
      <c r="K106" s="153">
        <v>46204</v>
      </c>
      <c r="L106" s="153">
        <v>46919</v>
      </c>
      <c r="M106" s="153">
        <v>46753</v>
      </c>
      <c r="N106" s="153">
        <v>46924</v>
      </c>
      <c r="O106" s="153">
        <v>46844</v>
      </c>
      <c r="P106" s="153">
        <v>46934</v>
      </c>
    </row>
    <row r="107" spans="1:16">
      <c r="A107" s="153">
        <v>44633</v>
      </c>
      <c r="B107" s="153">
        <v>44663</v>
      </c>
      <c r="C107" s="153">
        <v>44663</v>
      </c>
      <c r="D107" s="153">
        <v>44693</v>
      </c>
      <c r="E107" s="153" t="s">
        <v>527</v>
      </c>
      <c r="F107" s="153" t="s">
        <v>527</v>
      </c>
      <c r="G107" s="153">
        <v>44723</v>
      </c>
      <c r="H107" s="153">
        <v>44768</v>
      </c>
      <c r="I107" s="153">
        <v>44874</v>
      </c>
      <c r="J107" s="153">
        <v>45211</v>
      </c>
      <c r="K107" s="153">
        <v>45333</v>
      </c>
      <c r="L107" s="153">
        <v>46331</v>
      </c>
      <c r="M107" s="153">
        <v>45413</v>
      </c>
      <c r="N107" s="153">
        <v>46155</v>
      </c>
      <c r="O107" s="153">
        <v>46319</v>
      </c>
      <c r="P107" s="153">
        <v>46333</v>
      </c>
    </row>
    <row r="108" spans="1:16">
      <c r="A108" s="153">
        <v>45125</v>
      </c>
      <c r="B108" s="153">
        <v>45155</v>
      </c>
      <c r="C108" s="153">
        <v>45155</v>
      </c>
      <c r="D108" s="153">
        <v>45185</v>
      </c>
      <c r="E108" s="153" t="s">
        <v>527</v>
      </c>
      <c r="F108" s="153" t="s">
        <v>527</v>
      </c>
      <c r="G108" s="153">
        <v>45215</v>
      </c>
      <c r="H108" s="153">
        <v>45260</v>
      </c>
      <c r="I108" s="153">
        <v>45271</v>
      </c>
      <c r="J108" s="153">
        <v>45454</v>
      </c>
      <c r="K108" s="153">
        <v>45657</v>
      </c>
      <c r="L108" s="153">
        <v>46250</v>
      </c>
      <c r="M108" s="153">
        <v>45873</v>
      </c>
      <c r="N108" s="153">
        <v>46240</v>
      </c>
      <c r="O108" s="153">
        <v>46251</v>
      </c>
      <c r="P108" s="153">
        <v>46263</v>
      </c>
    </row>
    <row r="109" spans="1:16">
      <c r="A109" s="153">
        <v>44633</v>
      </c>
      <c r="B109" s="153">
        <v>44663</v>
      </c>
      <c r="C109" s="153">
        <v>44663</v>
      </c>
      <c r="D109" s="153">
        <v>44693</v>
      </c>
      <c r="E109" s="153" t="s">
        <v>527</v>
      </c>
      <c r="F109" s="153" t="s">
        <v>527</v>
      </c>
      <c r="G109" s="153">
        <v>44723</v>
      </c>
      <c r="H109" s="153">
        <v>44768</v>
      </c>
      <c r="I109" s="153">
        <v>44660</v>
      </c>
      <c r="J109" s="153">
        <v>45298</v>
      </c>
      <c r="K109" s="153">
        <v>45426</v>
      </c>
      <c r="L109" s="153">
        <v>46293</v>
      </c>
      <c r="M109" s="153">
        <v>45503</v>
      </c>
      <c r="N109" s="153">
        <v>46264</v>
      </c>
      <c r="O109" s="153">
        <v>46265</v>
      </c>
      <c r="P109" s="153">
        <v>46295</v>
      </c>
    </row>
    <row r="110" spans="1:16">
      <c r="A110" s="153">
        <v>44563</v>
      </c>
      <c r="B110" s="153">
        <v>44593</v>
      </c>
      <c r="C110" s="153">
        <v>44593</v>
      </c>
      <c r="D110" s="153">
        <v>44623</v>
      </c>
      <c r="E110" s="153" t="s">
        <v>527</v>
      </c>
      <c r="F110" s="153" t="s">
        <v>527</v>
      </c>
      <c r="G110" s="153">
        <v>44653</v>
      </c>
      <c r="H110" s="153">
        <v>44698</v>
      </c>
      <c r="I110" s="153">
        <v>44773</v>
      </c>
      <c r="J110" s="153">
        <v>44999</v>
      </c>
      <c r="K110" s="153"/>
      <c r="L110" s="153"/>
      <c r="M110" s="153"/>
      <c r="N110" s="153"/>
      <c r="O110" s="153"/>
      <c r="P110" s="153"/>
    </row>
    <row r="111" spans="1:16">
      <c r="A111" s="153">
        <v>44545</v>
      </c>
      <c r="B111" s="153">
        <v>44575</v>
      </c>
      <c r="C111" s="153">
        <v>44575</v>
      </c>
      <c r="D111" s="153">
        <v>44605</v>
      </c>
      <c r="E111" s="153" t="s">
        <v>527</v>
      </c>
      <c r="F111" s="153" t="s">
        <v>527</v>
      </c>
      <c r="G111" s="153">
        <v>44635</v>
      </c>
      <c r="H111" s="153">
        <v>44665</v>
      </c>
      <c r="I111" s="153">
        <v>44665</v>
      </c>
      <c r="J111" s="153">
        <v>44923</v>
      </c>
      <c r="K111" s="153"/>
      <c r="L111" s="153"/>
      <c r="M111" s="153"/>
      <c r="N111" s="153"/>
      <c r="O111" s="153"/>
      <c r="P111" s="153"/>
    </row>
    <row r="112" spans="1:16">
      <c r="A112" s="153" t="e">
        <v>#N/A</v>
      </c>
      <c r="B112" s="153" t="e">
        <v>#N/A</v>
      </c>
      <c r="C112" s="153" t="e">
        <v>#N/A</v>
      </c>
      <c r="D112" s="153" t="e">
        <v>#N/A</v>
      </c>
      <c r="E112" s="153"/>
      <c r="F112" s="153"/>
      <c r="G112" s="153"/>
      <c r="H112" s="153"/>
      <c r="I112" s="153"/>
      <c r="J112" s="153"/>
      <c r="K112" s="153"/>
      <c r="L112" s="153"/>
      <c r="M112" s="153"/>
      <c r="N112" s="153"/>
      <c r="O112" s="153"/>
      <c r="P112" s="153"/>
    </row>
    <row r="113" spans="1:16">
      <c r="A113" s="153" t="e">
        <v>#N/A</v>
      </c>
      <c r="B113" s="153" t="e">
        <v>#N/A</v>
      </c>
      <c r="C113" s="153" t="e">
        <v>#N/A</v>
      </c>
      <c r="D113" s="153" t="e">
        <v>#N/A</v>
      </c>
      <c r="E113" s="153"/>
      <c r="F113" s="153"/>
      <c r="G113" s="153"/>
      <c r="H113" s="153"/>
      <c r="I113" s="153"/>
      <c r="J113" s="153"/>
      <c r="K113" s="153"/>
      <c r="L113" s="153"/>
      <c r="M113" s="153"/>
      <c r="N113" s="153"/>
      <c r="O113" s="153"/>
      <c r="P113" s="153"/>
    </row>
    <row r="114" spans="1:16">
      <c r="A114" s="153" t="e">
        <v>#N/A</v>
      </c>
      <c r="B114" s="153" t="e">
        <v>#N/A</v>
      </c>
      <c r="C114" s="153" t="e">
        <v>#N/A</v>
      </c>
      <c r="D114" s="153" t="e">
        <v>#N/A</v>
      </c>
      <c r="E114" s="153"/>
      <c r="F114" s="153"/>
      <c r="G114" s="153"/>
      <c r="H114" s="153"/>
      <c r="I114" s="153"/>
      <c r="J114" s="153"/>
      <c r="K114" s="153"/>
      <c r="L114" s="153"/>
      <c r="M114" s="153"/>
      <c r="N114" s="153"/>
      <c r="O114" s="153"/>
      <c r="P114" s="153"/>
    </row>
    <row r="115" spans="1:16">
      <c r="A115" s="153" t="e">
        <v>#N/A</v>
      </c>
      <c r="B115" s="153" t="e">
        <v>#N/A</v>
      </c>
      <c r="C115" s="153" t="e">
        <v>#N/A</v>
      </c>
      <c r="D115" s="153" t="e">
        <v>#N/A</v>
      </c>
      <c r="E115" s="153"/>
      <c r="F115" s="153"/>
      <c r="G115" s="153"/>
      <c r="H115" s="153"/>
      <c r="I115" s="153"/>
      <c r="J115" s="153"/>
      <c r="K115" s="153"/>
      <c r="L115" s="153"/>
      <c r="M115" s="153"/>
      <c r="N115" s="153"/>
      <c r="O115" s="153"/>
      <c r="P115" s="153"/>
    </row>
    <row r="116" spans="1:16">
      <c r="A116" s="153" t="e">
        <v>#N/A</v>
      </c>
      <c r="B116" s="153" t="e">
        <v>#N/A</v>
      </c>
      <c r="C116" s="153" t="e">
        <v>#N/A</v>
      </c>
      <c r="D116" s="153" t="e">
        <v>#N/A</v>
      </c>
      <c r="E116" s="153"/>
      <c r="F116" s="153"/>
      <c r="G116" s="153"/>
      <c r="H116" s="153"/>
      <c r="I116" s="153"/>
      <c r="J116" s="153"/>
      <c r="K116" s="153"/>
      <c r="L116" s="153"/>
      <c r="M116" s="153"/>
      <c r="N116" s="153"/>
      <c r="O116" s="153"/>
      <c r="P116" s="153"/>
    </row>
    <row r="117" spans="1:16">
      <c r="A117" s="153" t="e">
        <v>#N/A</v>
      </c>
      <c r="B117" s="153" t="e">
        <v>#N/A</v>
      </c>
      <c r="C117" s="153" t="e">
        <v>#N/A</v>
      </c>
      <c r="D117" s="153" t="e">
        <v>#N/A</v>
      </c>
      <c r="E117" s="153"/>
      <c r="F117" s="153"/>
      <c r="G117" s="153"/>
      <c r="H117" s="153"/>
      <c r="I117" s="153"/>
      <c r="J117" s="153"/>
      <c r="K117" s="153"/>
      <c r="L117" s="153"/>
      <c r="M117" s="153"/>
      <c r="N117" s="153"/>
      <c r="O117" s="153"/>
      <c r="P117" s="153"/>
    </row>
    <row r="118" spans="1:16">
      <c r="A118" s="153" t="e">
        <v>#N/A</v>
      </c>
      <c r="B118" s="153" t="e">
        <v>#N/A</v>
      </c>
      <c r="C118" s="153" t="e">
        <v>#N/A</v>
      </c>
      <c r="D118" s="153" t="e">
        <v>#N/A</v>
      </c>
      <c r="E118" s="153"/>
      <c r="F118" s="153"/>
      <c r="G118" s="153"/>
      <c r="H118" s="153"/>
      <c r="I118" s="153"/>
      <c r="J118" s="153"/>
      <c r="K118" s="153"/>
      <c r="L118" s="153"/>
      <c r="M118" s="153"/>
      <c r="N118" s="153"/>
      <c r="O118" s="153"/>
      <c r="P118" s="153"/>
    </row>
    <row r="119" spans="1:16">
      <c r="A119" s="153" t="e">
        <v>#N/A</v>
      </c>
      <c r="B119" s="153" t="e">
        <v>#N/A</v>
      </c>
      <c r="C119" s="153" t="e">
        <v>#N/A</v>
      </c>
      <c r="D119" s="153" t="e">
        <v>#N/A</v>
      </c>
      <c r="E119" s="153"/>
      <c r="F119" s="153"/>
      <c r="G119" s="153"/>
      <c r="H119" s="153"/>
      <c r="I119" s="153"/>
      <c r="J119" s="153"/>
      <c r="K119" s="153"/>
      <c r="L119" s="153"/>
      <c r="M119" s="153"/>
      <c r="N119" s="153"/>
      <c r="O119" s="153"/>
      <c r="P119" s="153"/>
    </row>
    <row r="120" spans="1:16">
      <c r="A120" s="153" t="e">
        <v>#N/A</v>
      </c>
      <c r="B120" s="153" t="e">
        <v>#N/A</v>
      </c>
      <c r="C120" s="153" t="e">
        <v>#N/A</v>
      </c>
      <c r="D120" s="153" t="e">
        <v>#N/A</v>
      </c>
      <c r="E120" s="153"/>
      <c r="F120" s="153"/>
      <c r="G120" s="153"/>
      <c r="H120" s="153"/>
      <c r="I120" s="153"/>
      <c r="J120" s="153"/>
      <c r="K120" s="153"/>
      <c r="L120" s="153"/>
      <c r="M120" s="153"/>
      <c r="N120" s="153"/>
      <c r="O120" s="153"/>
      <c r="P120" s="153"/>
    </row>
    <row r="121" spans="1:16">
      <c r="A121" s="153" t="e">
        <v>#N/A</v>
      </c>
      <c r="B121" s="153" t="e">
        <v>#N/A</v>
      </c>
      <c r="C121" s="153" t="e">
        <v>#N/A</v>
      </c>
      <c r="D121" s="153" t="e">
        <v>#N/A</v>
      </c>
      <c r="E121" s="153"/>
      <c r="F121" s="153"/>
      <c r="G121" s="153"/>
      <c r="H121" s="153"/>
      <c r="I121" s="153"/>
      <c r="J121" s="153"/>
      <c r="K121" s="153"/>
      <c r="L121" s="153"/>
      <c r="M121" s="153"/>
      <c r="N121" s="153"/>
      <c r="O121" s="153"/>
      <c r="P121" s="153"/>
    </row>
    <row r="122" spans="1:16">
      <c r="A122" s="153">
        <v>45109</v>
      </c>
      <c r="B122" s="153">
        <v>45139</v>
      </c>
      <c r="C122" s="153">
        <v>45139</v>
      </c>
      <c r="D122" s="153">
        <v>45169</v>
      </c>
      <c r="E122" s="153">
        <v>45169</v>
      </c>
      <c r="F122" s="153">
        <v>45312</v>
      </c>
      <c r="G122" s="153">
        <v>45386</v>
      </c>
      <c r="H122" s="153">
        <v>45552</v>
      </c>
      <c r="I122" s="153">
        <v>45578</v>
      </c>
      <c r="J122" s="153"/>
      <c r="K122" s="153"/>
      <c r="L122" s="153"/>
      <c r="M122" s="153"/>
      <c r="N122" s="153"/>
      <c r="O122" s="153"/>
      <c r="P122" s="153"/>
    </row>
    <row r="123" spans="1:16">
      <c r="A123" s="153">
        <v>45109</v>
      </c>
      <c r="B123" s="153">
        <v>45139</v>
      </c>
      <c r="C123" s="153">
        <v>45139</v>
      </c>
      <c r="D123" s="153">
        <v>45169</v>
      </c>
      <c r="E123" s="153">
        <v>45169</v>
      </c>
      <c r="F123" s="153">
        <v>45312</v>
      </c>
      <c r="G123" s="153">
        <v>45386</v>
      </c>
      <c r="H123" s="153">
        <v>45559</v>
      </c>
      <c r="I123" s="153">
        <v>45603</v>
      </c>
      <c r="J123" s="153"/>
      <c r="K123" s="153"/>
      <c r="L123" s="153"/>
      <c r="M123" s="153"/>
      <c r="N123" s="153"/>
      <c r="O123" s="153"/>
      <c r="P123" s="153"/>
    </row>
    <row r="124" spans="1:16">
      <c r="A124" s="153" t="e">
        <v>#N/A</v>
      </c>
      <c r="B124" s="153" t="e">
        <v>#N/A</v>
      </c>
      <c r="C124" s="153" t="e">
        <v>#N/A</v>
      </c>
      <c r="D124" s="153" t="e">
        <v>#N/A</v>
      </c>
      <c r="E124" s="153"/>
      <c r="F124" s="153"/>
      <c r="G124" s="153"/>
      <c r="H124" s="153"/>
      <c r="I124" s="153"/>
      <c r="J124" s="153"/>
      <c r="K124" s="153"/>
      <c r="L124" s="153"/>
      <c r="M124" s="153"/>
      <c r="N124" s="153"/>
      <c r="O124" s="153"/>
      <c r="P124" s="153"/>
    </row>
    <row r="125" spans="1:16">
      <c r="A125" s="153" t="e">
        <v>#N/A</v>
      </c>
      <c r="B125" s="153" t="e">
        <v>#N/A</v>
      </c>
      <c r="C125" s="153" t="e">
        <v>#N/A</v>
      </c>
      <c r="D125" s="153" t="e">
        <v>#N/A</v>
      </c>
      <c r="E125" s="153"/>
      <c r="F125" s="153"/>
      <c r="G125" s="153"/>
      <c r="H125" s="153"/>
      <c r="I125" s="153"/>
      <c r="J125" s="153"/>
      <c r="K125" s="153"/>
      <c r="L125" s="153"/>
      <c r="M125" s="153"/>
      <c r="N125" s="153"/>
      <c r="O125" s="153"/>
      <c r="P125" s="153"/>
    </row>
    <row r="126" spans="1:16">
      <c r="A126" s="153" t="e">
        <v>#N/A</v>
      </c>
      <c r="B126" s="153" t="e">
        <v>#N/A</v>
      </c>
      <c r="C126" s="153" t="e">
        <v>#N/A</v>
      </c>
      <c r="D126" s="153" t="e">
        <v>#N/A</v>
      </c>
      <c r="E126" s="153"/>
      <c r="F126" s="153"/>
      <c r="G126" s="153"/>
      <c r="H126" s="153"/>
      <c r="I126" s="153"/>
      <c r="J126" s="153"/>
      <c r="K126" s="153"/>
      <c r="L126" s="153"/>
      <c r="M126" s="153"/>
      <c r="N126" s="153"/>
      <c r="O126" s="153"/>
      <c r="P126" s="153"/>
    </row>
    <row r="127" spans="1:16">
      <c r="A127" s="153" t="e">
        <v>#N/A</v>
      </c>
      <c r="B127" s="153" t="e">
        <v>#N/A</v>
      </c>
      <c r="C127" s="153" t="e">
        <v>#N/A</v>
      </c>
      <c r="D127" s="153" t="e">
        <v>#N/A</v>
      </c>
      <c r="E127" s="153"/>
      <c r="F127" s="153"/>
      <c r="G127" s="153"/>
      <c r="H127" s="153"/>
      <c r="I127" s="153"/>
      <c r="J127" s="153"/>
      <c r="K127" s="153"/>
      <c r="L127" s="153"/>
      <c r="M127" s="153"/>
      <c r="N127" s="153"/>
      <c r="O127" s="153"/>
      <c r="P127" s="153"/>
    </row>
    <row r="128" spans="1:16">
      <c r="A128" s="153" t="e">
        <v>#N/A</v>
      </c>
      <c r="B128" s="153" t="e">
        <v>#N/A</v>
      </c>
      <c r="C128" s="153" t="e">
        <v>#N/A</v>
      </c>
      <c r="D128" s="153" t="e">
        <v>#N/A</v>
      </c>
      <c r="E128" s="153"/>
      <c r="F128" s="153"/>
      <c r="G128" s="153"/>
      <c r="H128" s="153"/>
      <c r="I128" s="153"/>
      <c r="J128" s="153"/>
      <c r="K128" s="153"/>
      <c r="L128" s="153"/>
      <c r="M128" s="153"/>
      <c r="N128" s="153"/>
      <c r="O128" s="153"/>
      <c r="P128" s="153"/>
    </row>
    <row r="129" spans="1:16">
      <c r="A129" s="153" t="e">
        <v>#N/A</v>
      </c>
      <c r="B129" s="153" t="e">
        <v>#N/A</v>
      </c>
      <c r="C129" s="153" t="e">
        <v>#N/A</v>
      </c>
      <c r="D129" s="153" t="e">
        <v>#N/A</v>
      </c>
      <c r="E129" s="153"/>
      <c r="F129" s="153"/>
      <c r="G129" s="153"/>
      <c r="H129" s="153"/>
      <c r="I129" s="153"/>
      <c r="J129" s="153"/>
      <c r="K129" s="153"/>
      <c r="L129" s="153"/>
      <c r="M129" s="153"/>
      <c r="N129" s="153"/>
      <c r="O129" s="153"/>
      <c r="P129" s="153"/>
    </row>
    <row r="130" spans="1:16">
      <c r="A130" s="153" t="e">
        <v>#N/A</v>
      </c>
      <c r="B130" s="153" t="e">
        <v>#N/A</v>
      </c>
      <c r="C130" s="153" t="e">
        <v>#N/A</v>
      </c>
      <c r="D130" s="153" t="e">
        <v>#N/A</v>
      </c>
      <c r="E130" s="153"/>
      <c r="F130" s="153"/>
      <c r="G130" s="153"/>
      <c r="H130" s="153"/>
      <c r="I130" s="153"/>
      <c r="J130" s="153"/>
      <c r="K130" s="153"/>
      <c r="L130" s="153"/>
      <c r="M130" s="153"/>
      <c r="N130" s="153"/>
      <c r="O130" s="153"/>
      <c r="P130" s="153"/>
    </row>
    <row r="131" spans="1:16">
      <c r="A131" s="153" t="e">
        <v>#N/A</v>
      </c>
      <c r="B131" s="153" t="e">
        <v>#N/A</v>
      </c>
      <c r="C131" s="153" t="e">
        <v>#N/A</v>
      </c>
      <c r="D131" s="153" t="e">
        <v>#N/A</v>
      </c>
      <c r="E131" s="153"/>
      <c r="F131" s="153"/>
      <c r="G131" s="153"/>
      <c r="H131" s="153"/>
      <c r="I131" s="153"/>
      <c r="J131" s="153"/>
      <c r="K131" s="153"/>
      <c r="L131" s="153"/>
      <c r="M131" s="153"/>
      <c r="N131" s="153"/>
      <c r="O131" s="153"/>
      <c r="P131" s="153"/>
    </row>
    <row r="132" spans="1:16">
      <c r="A132" s="153">
        <v>45109</v>
      </c>
      <c r="B132" s="153">
        <v>45139</v>
      </c>
      <c r="C132" s="153">
        <v>45139</v>
      </c>
      <c r="D132" s="153">
        <v>45169</v>
      </c>
      <c r="E132" s="153">
        <v>45169</v>
      </c>
      <c r="F132" s="153">
        <v>45313</v>
      </c>
      <c r="G132" s="153">
        <v>45648</v>
      </c>
      <c r="H132" s="153">
        <v>45739</v>
      </c>
      <c r="I132" s="153">
        <v>45771</v>
      </c>
      <c r="J132" s="153"/>
      <c r="K132" s="153"/>
      <c r="L132" s="153"/>
      <c r="M132" s="153"/>
      <c r="N132" s="153"/>
      <c r="O132" s="153"/>
      <c r="P132" s="153"/>
    </row>
    <row r="133" spans="1:16">
      <c r="A133" s="153" t="e">
        <v>#N/A</v>
      </c>
      <c r="B133" s="153" t="e">
        <v>#N/A</v>
      </c>
      <c r="C133" s="153" t="e">
        <v>#N/A</v>
      </c>
      <c r="D133" s="153" t="e">
        <v>#N/A</v>
      </c>
      <c r="E133" s="153"/>
      <c r="F133" s="153"/>
      <c r="G133" s="153"/>
      <c r="H133" s="153"/>
      <c r="I133" s="153"/>
      <c r="J133" s="153"/>
      <c r="K133" s="153"/>
      <c r="L133" s="153"/>
      <c r="M133" s="153"/>
      <c r="N133" s="153"/>
      <c r="O133" s="153"/>
      <c r="P133" s="153"/>
    </row>
    <row r="134" spans="1:16">
      <c r="A134" s="153" t="e">
        <v>#N/A</v>
      </c>
      <c r="B134" s="153" t="e">
        <v>#N/A</v>
      </c>
      <c r="C134" s="153" t="e">
        <v>#N/A</v>
      </c>
      <c r="D134" s="153" t="e">
        <v>#N/A</v>
      </c>
      <c r="E134" s="153"/>
      <c r="F134" s="153"/>
      <c r="G134" s="153"/>
      <c r="H134" s="153"/>
      <c r="I134" s="153"/>
      <c r="J134" s="153"/>
      <c r="K134" s="153"/>
      <c r="L134" s="153"/>
      <c r="M134" s="153"/>
      <c r="N134" s="153"/>
      <c r="O134" s="153"/>
      <c r="P134" s="153"/>
    </row>
    <row r="135" spans="1:16">
      <c r="A135" s="153" t="e">
        <v>#N/A</v>
      </c>
      <c r="B135" s="153" t="e">
        <v>#N/A</v>
      </c>
      <c r="C135" s="153" t="e">
        <v>#N/A</v>
      </c>
      <c r="D135" s="153" t="e">
        <v>#N/A</v>
      </c>
      <c r="E135" s="153"/>
      <c r="F135" s="153"/>
      <c r="G135" s="153"/>
      <c r="H135" s="153"/>
      <c r="I135" s="153"/>
      <c r="J135" s="153"/>
      <c r="K135" s="153"/>
      <c r="L135" s="153"/>
      <c r="M135" s="153"/>
      <c r="N135" s="153"/>
      <c r="O135" s="153"/>
      <c r="P135" s="153"/>
    </row>
    <row r="136" spans="1:16">
      <c r="A136" s="153" t="e">
        <v>#N/A</v>
      </c>
      <c r="B136" s="153" t="e">
        <v>#N/A</v>
      </c>
      <c r="C136" s="153" t="e">
        <v>#N/A</v>
      </c>
      <c r="D136" s="153" t="e">
        <v>#N/A</v>
      </c>
      <c r="E136" s="153"/>
      <c r="F136" s="153"/>
      <c r="G136" s="153"/>
      <c r="H136" s="153"/>
      <c r="I136" s="153"/>
      <c r="J136" s="153"/>
      <c r="K136" s="153"/>
      <c r="L136" s="153"/>
      <c r="M136" s="153"/>
      <c r="N136" s="153"/>
      <c r="O136" s="153"/>
      <c r="P136" s="153"/>
    </row>
    <row r="137" spans="1:16">
      <c r="A137" s="153" t="e">
        <v>#N/A</v>
      </c>
      <c r="B137" s="153" t="e">
        <v>#N/A</v>
      </c>
      <c r="C137" s="153" t="e">
        <v>#N/A</v>
      </c>
      <c r="D137" s="153" t="e">
        <v>#N/A</v>
      </c>
      <c r="E137" s="153"/>
      <c r="F137" s="153"/>
      <c r="G137" s="153"/>
      <c r="H137" s="153"/>
      <c r="I137" s="153"/>
      <c r="J137" s="153"/>
      <c r="K137" s="153"/>
      <c r="L137" s="153"/>
      <c r="M137" s="153"/>
      <c r="N137" s="153"/>
      <c r="O137" s="153"/>
      <c r="P137" s="153"/>
    </row>
    <row r="138" spans="1:16">
      <c r="A138" s="153" t="e">
        <v>#N/A</v>
      </c>
      <c r="B138" s="153" t="e">
        <v>#N/A</v>
      </c>
      <c r="C138" s="153" t="e">
        <v>#N/A</v>
      </c>
      <c r="D138" s="153" t="e">
        <v>#N/A</v>
      </c>
      <c r="E138" s="153"/>
      <c r="F138" s="153"/>
      <c r="G138" s="153"/>
      <c r="H138" s="153"/>
      <c r="I138" s="153"/>
      <c r="J138" s="153"/>
      <c r="K138" s="153"/>
      <c r="L138" s="153"/>
      <c r="M138" s="153"/>
      <c r="N138" s="153"/>
      <c r="O138" s="153"/>
      <c r="P138" s="153"/>
    </row>
    <row r="139" spans="1:16">
      <c r="A139" s="153" t="e">
        <v>#N/A</v>
      </c>
      <c r="B139" s="153" t="e">
        <v>#N/A</v>
      </c>
      <c r="C139" s="153" t="e">
        <v>#N/A</v>
      </c>
      <c r="D139" s="153" t="e">
        <v>#N/A</v>
      </c>
      <c r="E139" s="153"/>
      <c r="F139" s="153"/>
      <c r="G139" s="153"/>
      <c r="H139" s="153"/>
      <c r="I139" s="153"/>
      <c r="J139" s="153"/>
      <c r="K139" s="153"/>
      <c r="L139" s="153"/>
      <c r="M139" s="153"/>
      <c r="N139" s="153"/>
      <c r="O139" s="153"/>
      <c r="P139" s="153"/>
    </row>
    <row r="140" spans="1:16">
      <c r="A140" s="153" t="e">
        <v>#N/A</v>
      </c>
      <c r="B140" s="153" t="e">
        <v>#N/A</v>
      </c>
      <c r="C140" s="153" t="e">
        <v>#N/A</v>
      </c>
      <c r="D140" s="153" t="e">
        <v>#N/A</v>
      </c>
      <c r="E140" s="153"/>
      <c r="F140" s="153"/>
      <c r="G140" s="153"/>
      <c r="H140" s="153"/>
      <c r="I140" s="153"/>
      <c r="J140" s="153"/>
      <c r="K140" s="153"/>
      <c r="L140" s="153"/>
      <c r="M140" s="153"/>
      <c r="N140" s="153"/>
      <c r="O140" s="153"/>
      <c r="P140" s="153"/>
    </row>
    <row r="141" spans="1:16">
      <c r="A141" s="153" t="e">
        <v>#N/A</v>
      </c>
      <c r="B141" s="153" t="e">
        <v>#N/A</v>
      </c>
      <c r="C141" s="153" t="e">
        <v>#N/A</v>
      </c>
      <c r="D141" s="153" t="e">
        <v>#N/A</v>
      </c>
      <c r="E141" s="153"/>
      <c r="F141" s="153"/>
      <c r="G141" s="153"/>
      <c r="H141" s="153"/>
      <c r="I141" s="153"/>
      <c r="J141" s="153"/>
      <c r="K141" s="153"/>
      <c r="L141" s="153"/>
      <c r="M141" s="153"/>
      <c r="N141" s="153"/>
      <c r="O141" s="153"/>
      <c r="P141" s="153"/>
    </row>
    <row r="142" spans="1:16">
      <c r="A142" s="153" t="e">
        <v>#N/A</v>
      </c>
      <c r="B142" s="153" t="e">
        <v>#N/A</v>
      </c>
      <c r="C142" s="153" t="e">
        <v>#N/A</v>
      </c>
      <c r="D142" s="153" t="e">
        <v>#N/A</v>
      </c>
      <c r="E142" s="153"/>
      <c r="F142" s="153"/>
      <c r="G142" s="153"/>
      <c r="H142" s="153"/>
      <c r="I142" s="153"/>
      <c r="J142" s="153"/>
      <c r="K142" s="153"/>
      <c r="L142" s="153"/>
      <c r="M142" s="153"/>
      <c r="N142" s="153"/>
      <c r="O142" s="153"/>
      <c r="P142" s="153"/>
    </row>
    <row r="143" spans="1:16">
      <c r="A143" s="153" t="e">
        <v>#N/A</v>
      </c>
      <c r="B143" s="153" t="e">
        <v>#N/A</v>
      </c>
      <c r="C143" s="153" t="e">
        <v>#N/A</v>
      </c>
      <c r="D143" s="153" t="e">
        <v>#N/A</v>
      </c>
      <c r="E143" s="153"/>
      <c r="F143" s="153"/>
      <c r="G143" s="153"/>
      <c r="H143" s="153"/>
      <c r="I143" s="153"/>
      <c r="J143" s="153"/>
      <c r="K143" s="153"/>
      <c r="L143" s="153"/>
      <c r="M143" s="153"/>
      <c r="N143" s="153"/>
      <c r="O143" s="153"/>
      <c r="P143" s="153"/>
    </row>
    <row r="144" spans="1:16">
      <c r="A144" s="153" t="e">
        <v>#N/A</v>
      </c>
      <c r="B144" s="153" t="e">
        <v>#N/A</v>
      </c>
      <c r="C144" s="153" t="e">
        <v>#N/A</v>
      </c>
      <c r="D144" s="153" t="e">
        <v>#N/A</v>
      </c>
      <c r="E144" s="153"/>
      <c r="F144" s="153"/>
      <c r="G144" s="153"/>
      <c r="H144" s="153"/>
      <c r="I144" s="153"/>
      <c r="J144" s="153"/>
      <c r="K144" s="153"/>
      <c r="L144" s="153"/>
      <c r="M144" s="153"/>
      <c r="N144" s="153"/>
      <c r="O144" s="153"/>
      <c r="P144" s="153"/>
    </row>
    <row r="145" spans="1:16">
      <c r="A145" s="153" t="e">
        <v>#N/A</v>
      </c>
      <c r="B145" s="153" t="e">
        <v>#N/A</v>
      </c>
      <c r="C145" s="153" t="e">
        <v>#N/A</v>
      </c>
      <c r="D145" s="153" t="e">
        <v>#N/A</v>
      </c>
      <c r="E145" s="153"/>
      <c r="F145" s="153"/>
      <c r="G145" s="153"/>
      <c r="H145" s="153"/>
      <c r="I145" s="153"/>
      <c r="J145" s="153"/>
      <c r="K145" s="153"/>
      <c r="L145" s="153"/>
      <c r="M145" s="153"/>
      <c r="N145" s="153"/>
      <c r="O145" s="153"/>
      <c r="P145" s="153"/>
    </row>
    <row r="146" spans="1:16">
      <c r="A146" s="153" t="e">
        <v>#N/A</v>
      </c>
      <c r="B146" s="153" t="e">
        <v>#N/A</v>
      </c>
      <c r="C146" s="153" t="e">
        <v>#N/A</v>
      </c>
      <c r="D146" s="153" t="e">
        <v>#N/A</v>
      </c>
      <c r="E146" s="153"/>
      <c r="F146" s="153"/>
      <c r="G146" s="153"/>
      <c r="H146" s="153"/>
      <c r="I146" s="153"/>
      <c r="J146" s="153"/>
      <c r="K146" s="153"/>
      <c r="L146" s="153"/>
      <c r="M146" s="153"/>
      <c r="N146" s="153"/>
      <c r="O146" s="153"/>
      <c r="P146" s="153"/>
    </row>
    <row r="147" spans="1:16">
      <c r="A147" s="153" t="e">
        <v>#N/A</v>
      </c>
      <c r="B147" s="153" t="e">
        <v>#N/A</v>
      </c>
      <c r="C147" s="153" t="e">
        <v>#N/A</v>
      </c>
      <c r="D147" s="153" t="e">
        <v>#N/A</v>
      </c>
      <c r="E147" s="153"/>
      <c r="F147" s="153"/>
      <c r="G147" s="153"/>
      <c r="H147" s="153"/>
      <c r="I147" s="153"/>
      <c r="J147" s="153"/>
      <c r="K147" s="153"/>
      <c r="L147" s="153"/>
      <c r="M147" s="153"/>
      <c r="N147" s="153"/>
      <c r="O147" s="153"/>
      <c r="P147" s="153"/>
    </row>
    <row r="148" spans="1:16">
      <c r="A148" s="153" t="e">
        <v>#N/A</v>
      </c>
      <c r="B148" s="153" t="e">
        <v>#N/A</v>
      </c>
      <c r="C148" s="153" t="e">
        <v>#N/A</v>
      </c>
      <c r="D148" s="153" t="e">
        <v>#N/A</v>
      </c>
      <c r="E148" s="153"/>
      <c r="F148" s="153"/>
      <c r="G148" s="153"/>
      <c r="H148" s="153"/>
      <c r="I148" s="153"/>
      <c r="J148" s="153"/>
      <c r="K148" s="153"/>
      <c r="L148" s="153"/>
      <c r="M148" s="153"/>
      <c r="N148" s="153"/>
      <c r="O148" s="153"/>
      <c r="P148" s="153"/>
    </row>
    <row r="149" spans="1:16">
      <c r="A149" s="153" t="e">
        <v>#N/A</v>
      </c>
      <c r="B149" s="153" t="e">
        <v>#N/A</v>
      </c>
      <c r="C149" s="153" t="e">
        <v>#N/A</v>
      </c>
      <c r="D149" s="153" t="e">
        <v>#N/A</v>
      </c>
      <c r="E149" s="153"/>
      <c r="F149" s="153"/>
      <c r="G149" s="153"/>
      <c r="H149" s="153"/>
      <c r="I149" s="153"/>
      <c r="J149" s="153"/>
      <c r="K149" s="153"/>
      <c r="L149" s="153"/>
      <c r="M149" s="153"/>
      <c r="N149" s="153"/>
      <c r="O149" s="153"/>
      <c r="P149" s="153"/>
    </row>
    <row r="150" spans="1:16">
      <c r="A150" s="153">
        <v>45109</v>
      </c>
      <c r="B150" s="153">
        <v>45139</v>
      </c>
      <c r="C150" s="153">
        <v>45139</v>
      </c>
      <c r="D150" s="153">
        <v>45169</v>
      </c>
      <c r="E150" s="153">
        <v>45169</v>
      </c>
      <c r="F150" s="153">
        <v>45312</v>
      </c>
      <c r="G150" s="153">
        <v>45386</v>
      </c>
      <c r="H150" s="153">
        <v>46006</v>
      </c>
      <c r="I150" s="153">
        <v>46023</v>
      </c>
      <c r="J150" s="153">
        <v>46142</v>
      </c>
      <c r="K150" s="153">
        <v>46204</v>
      </c>
      <c r="L150" s="153">
        <v>47284</v>
      </c>
      <c r="M150" s="153">
        <v>46753</v>
      </c>
      <c r="N150" s="153">
        <v>46924</v>
      </c>
      <c r="O150" s="153">
        <v>46844</v>
      </c>
      <c r="P150" s="153">
        <v>46934</v>
      </c>
    </row>
    <row r="151" spans="1:16">
      <c r="A151" s="153"/>
      <c r="B151" s="153"/>
      <c r="C151" s="153"/>
      <c r="D151" s="153"/>
      <c r="E151" s="153"/>
      <c r="F151" s="153"/>
      <c r="G151" s="153"/>
      <c r="H151" s="153"/>
      <c r="I151" s="153"/>
      <c r="J151" s="153"/>
      <c r="K151" s="153">
        <v>45522</v>
      </c>
      <c r="L151" s="153">
        <v>45979</v>
      </c>
      <c r="M151" s="153">
        <v>45958</v>
      </c>
      <c r="N151" s="153">
        <v>45974</v>
      </c>
      <c r="O151" s="153">
        <v>45976</v>
      </c>
      <c r="P151" s="153">
        <v>45981</v>
      </c>
    </row>
    <row r="152" spans="1:16">
      <c r="A152" s="153"/>
      <c r="B152" s="153"/>
      <c r="C152" s="153"/>
      <c r="D152" s="153"/>
      <c r="E152" s="153"/>
      <c r="F152" s="153"/>
      <c r="G152" s="153"/>
      <c r="H152" s="153"/>
      <c r="I152" s="153"/>
      <c r="J152" s="153"/>
      <c r="K152" s="153" t="s">
        <v>557</v>
      </c>
      <c r="L152" s="153">
        <v>46037</v>
      </c>
      <c r="M152" s="153" t="s">
        <v>558</v>
      </c>
      <c r="N152" s="153">
        <v>46047</v>
      </c>
      <c r="O152" s="153">
        <v>46051</v>
      </c>
      <c r="P152" s="153">
        <v>46056</v>
      </c>
    </row>
    <row r="153" spans="1:16">
      <c r="A153" s="153"/>
      <c r="B153" s="153"/>
      <c r="C153" s="153"/>
      <c r="D153" s="153"/>
      <c r="E153" s="153"/>
      <c r="F153" s="153"/>
      <c r="G153" s="153"/>
      <c r="H153" s="153"/>
      <c r="I153" s="153"/>
      <c r="J153" s="153"/>
      <c r="K153" s="153" t="s">
        <v>561</v>
      </c>
      <c r="L153" s="153">
        <v>46268</v>
      </c>
      <c r="M153" s="153" t="s">
        <v>562</v>
      </c>
      <c r="N153" s="153">
        <v>46270</v>
      </c>
      <c r="O153" s="153">
        <v>46273</v>
      </c>
      <c r="P153" s="153">
        <v>46273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2E910-4A3D-4703-9823-61986E6ABDB9}">
  <dimension ref="A1:K61"/>
  <sheetViews>
    <sheetView rightToLeft="1" workbookViewId="0">
      <selection activeCell="I14" sqref="I14"/>
    </sheetView>
  </sheetViews>
  <sheetFormatPr defaultRowHeight="14.45"/>
  <cols>
    <col min="1" max="5" width="6" bestFit="1" customWidth="1"/>
    <col min="6" max="6" width="11.5703125" bestFit="1" customWidth="1"/>
    <col min="7" max="7" width="10.140625" bestFit="1" customWidth="1"/>
    <col min="8" max="8" width="11.85546875" bestFit="1" customWidth="1"/>
    <col min="9" max="9" width="10.140625" bestFit="1" customWidth="1"/>
    <col min="10" max="10" width="10.7109375" bestFit="1" customWidth="1"/>
    <col min="11" max="11" width="10.140625" bestFit="1" customWidth="1"/>
  </cols>
  <sheetData>
    <row r="1" spans="1:11">
      <c r="A1">
        <v>45312</v>
      </c>
      <c r="B1">
        <v>45386</v>
      </c>
      <c r="C1">
        <v>45566</v>
      </c>
      <c r="D1">
        <v>45592</v>
      </c>
      <c r="E1">
        <v>45944</v>
      </c>
      <c r="F1" s="152">
        <v>46004</v>
      </c>
      <c r="G1" s="152">
        <v>46618</v>
      </c>
      <c r="H1" s="152">
        <v>46046</v>
      </c>
      <c r="I1" s="152">
        <v>46662</v>
      </c>
      <c r="J1" s="152">
        <v>46643</v>
      </c>
      <c r="K1" s="152">
        <v>46681</v>
      </c>
    </row>
    <row r="2" spans="1:11">
      <c r="A2">
        <v>45313</v>
      </c>
      <c r="B2">
        <v>45400</v>
      </c>
      <c r="C2">
        <v>45593</v>
      </c>
      <c r="D2">
        <v>45631</v>
      </c>
      <c r="E2">
        <v>45803</v>
      </c>
      <c r="F2">
        <v>45910</v>
      </c>
      <c r="G2">
        <v>46903</v>
      </c>
      <c r="H2">
        <v>45997</v>
      </c>
      <c r="I2">
        <v>46889</v>
      </c>
      <c r="J2">
        <v>46904</v>
      </c>
      <c r="K2">
        <v>46918</v>
      </c>
    </row>
    <row r="3" spans="1:11">
      <c r="A3">
        <v>45313</v>
      </c>
      <c r="B3">
        <v>45370</v>
      </c>
      <c r="C3">
        <v>45594</v>
      </c>
      <c r="D3">
        <v>45635</v>
      </c>
      <c r="E3">
        <v>45852</v>
      </c>
      <c r="F3">
        <v>45952</v>
      </c>
      <c r="G3">
        <v>46961</v>
      </c>
      <c r="H3">
        <v>46039</v>
      </c>
      <c r="I3">
        <v>46961</v>
      </c>
      <c r="J3">
        <v>46944</v>
      </c>
      <c r="K3">
        <v>46961</v>
      </c>
    </row>
    <row r="4" spans="1:11">
      <c r="A4">
        <v>45312</v>
      </c>
      <c r="B4">
        <v>45386</v>
      </c>
      <c r="C4">
        <v>45603</v>
      </c>
      <c r="D4">
        <v>45687</v>
      </c>
      <c r="E4">
        <v>45943</v>
      </c>
      <c r="F4" s="152">
        <v>46033</v>
      </c>
      <c r="G4" s="152">
        <v>46965</v>
      </c>
      <c r="H4" s="152">
        <v>46120</v>
      </c>
      <c r="I4" s="152">
        <v>46965</v>
      </c>
      <c r="J4" s="152">
        <v>47009</v>
      </c>
      <c r="K4" s="152">
        <v>47044</v>
      </c>
    </row>
    <row r="5" spans="1:11">
      <c r="A5">
        <v>45312</v>
      </c>
      <c r="B5">
        <v>45386</v>
      </c>
      <c r="C5">
        <v>45603</v>
      </c>
      <c r="D5">
        <v>45642</v>
      </c>
      <c r="E5">
        <v>45902</v>
      </c>
      <c r="F5" s="152">
        <v>45997</v>
      </c>
      <c r="G5" s="152">
        <v>46972</v>
      </c>
      <c r="H5" s="152">
        <v>46043</v>
      </c>
      <c r="I5" s="152">
        <v>46909</v>
      </c>
      <c r="J5" s="152">
        <v>46754</v>
      </c>
      <c r="K5" s="152">
        <v>47003</v>
      </c>
    </row>
    <row r="6" spans="1:11">
      <c r="A6" t="s">
        <v>527</v>
      </c>
      <c r="B6">
        <v>45549</v>
      </c>
      <c r="C6">
        <v>45593</v>
      </c>
      <c r="D6">
        <v>45652</v>
      </c>
      <c r="E6">
        <v>45871</v>
      </c>
      <c r="F6">
        <v>45871</v>
      </c>
    </row>
    <row r="7" spans="1:11">
      <c r="A7">
        <v>45312</v>
      </c>
      <c r="B7">
        <v>45575</v>
      </c>
      <c r="C7">
        <v>45643</v>
      </c>
      <c r="D7">
        <v>45692</v>
      </c>
      <c r="E7">
        <v>45851</v>
      </c>
      <c r="F7" s="152">
        <v>45952</v>
      </c>
      <c r="G7" s="152">
        <v>46945</v>
      </c>
      <c r="H7" s="152">
        <v>46223</v>
      </c>
      <c r="I7" s="152">
        <v>46957</v>
      </c>
      <c r="J7" s="152">
        <v>46914</v>
      </c>
      <c r="K7" s="152">
        <v>46963</v>
      </c>
    </row>
    <row r="8" spans="1:11">
      <c r="A8">
        <v>45312</v>
      </c>
      <c r="B8">
        <v>45575</v>
      </c>
      <c r="C8">
        <v>45642</v>
      </c>
      <c r="D8">
        <v>45665</v>
      </c>
      <c r="E8">
        <v>45900</v>
      </c>
      <c r="F8" s="152">
        <v>45985</v>
      </c>
      <c r="G8" s="152">
        <v>46910</v>
      </c>
      <c r="H8" s="152">
        <v>46695</v>
      </c>
      <c r="I8" s="152">
        <v>46980</v>
      </c>
      <c r="J8" s="152">
        <v>46950</v>
      </c>
      <c r="K8" s="152">
        <v>47005</v>
      </c>
    </row>
    <row r="9" spans="1:11">
      <c r="A9" t="s">
        <v>527</v>
      </c>
      <c r="B9">
        <v>45661</v>
      </c>
      <c r="C9">
        <v>45706</v>
      </c>
      <c r="D9">
        <v>45726</v>
      </c>
      <c r="E9">
        <v>45888</v>
      </c>
      <c r="F9" s="152">
        <v>45948</v>
      </c>
      <c r="G9" s="152">
        <v>46609</v>
      </c>
      <c r="H9" s="152">
        <v>45981</v>
      </c>
      <c r="I9" s="152">
        <v>46609</v>
      </c>
      <c r="J9" s="152">
        <v>46576</v>
      </c>
      <c r="K9" s="152">
        <v>46631</v>
      </c>
    </row>
    <row r="10" spans="1:11">
      <c r="A10" t="s">
        <v>527</v>
      </c>
      <c r="B10" t="s">
        <v>527</v>
      </c>
      <c r="C10" t="s">
        <v>527</v>
      </c>
      <c r="D10">
        <v>45169</v>
      </c>
      <c r="E10">
        <v>45295</v>
      </c>
      <c r="F10" s="152">
        <v>45386</v>
      </c>
      <c r="G10" s="152">
        <v>46408</v>
      </c>
      <c r="H10" t="s">
        <v>295</v>
      </c>
      <c r="I10" t="s">
        <v>295</v>
      </c>
      <c r="J10" s="152">
        <v>45529</v>
      </c>
      <c r="K10" s="152">
        <v>46408</v>
      </c>
    </row>
    <row r="11" spans="1:11">
      <c r="A11" t="s">
        <v>527</v>
      </c>
      <c r="B11" t="s">
        <v>527</v>
      </c>
      <c r="C11" t="s">
        <v>527</v>
      </c>
      <c r="D11">
        <v>45169</v>
      </c>
      <c r="E11">
        <v>45295</v>
      </c>
      <c r="F11" t="s">
        <v>299</v>
      </c>
      <c r="G11" s="152">
        <v>46407</v>
      </c>
      <c r="H11" t="s">
        <v>295</v>
      </c>
      <c r="I11" t="s">
        <v>295</v>
      </c>
      <c r="J11" s="152">
        <v>45533</v>
      </c>
      <c r="K11" s="152">
        <v>46407</v>
      </c>
    </row>
    <row r="12" spans="1:11">
      <c r="A12" t="s">
        <v>527</v>
      </c>
      <c r="B12" t="s">
        <v>527</v>
      </c>
      <c r="C12" t="s">
        <v>527</v>
      </c>
      <c r="D12">
        <v>45183</v>
      </c>
      <c r="E12">
        <v>45572</v>
      </c>
      <c r="F12" s="152">
        <v>45796</v>
      </c>
      <c r="G12" s="152">
        <v>47621</v>
      </c>
      <c r="H12" t="s">
        <v>295</v>
      </c>
      <c r="I12" t="s">
        <v>295</v>
      </c>
      <c r="J12" s="152">
        <v>45796</v>
      </c>
      <c r="K12" s="152">
        <v>47621</v>
      </c>
    </row>
    <row r="13" spans="1:11">
      <c r="A13" t="s">
        <v>527</v>
      </c>
      <c r="B13" t="s">
        <v>527</v>
      </c>
      <c r="C13" t="s">
        <v>527</v>
      </c>
      <c r="D13">
        <v>44885</v>
      </c>
      <c r="E13">
        <v>45161</v>
      </c>
      <c r="F13" s="152">
        <v>45158</v>
      </c>
      <c r="G13" s="152">
        <v>46984</v>
      </c>
      <c r="H13" t="s">
        <v>295</v>
      </c>
      <c r="I13" t="s">
        <v>295</v>
      </c>
      <c r="J13" s="152">
        <v>45158</v>
      </c>
      <c r="K13" s="152">
        <v>46984</v>
      </c>
    </row>
    <row r="14" spans="1:11">
      <c r="A14" t="s">
        <v>527</v>
      </c>
      <c r="B14">
        <v>44865</v>
      </c>
      <c r="C14">
        <v>44910</v>
      </c>
      <c r="D14">
        <v>45013</v>
      </c>
      <c r="E14">
        <v>45384</v>
      </c>
      <c r="F14" s="152">
        <v>45630</v>
      </c>
      <c r="G14" s="152">
        <v>46501</v>
      </c>
      <c r="H14" s="152">
        <v>45720</v>
      </c>
      <c r="I14" s="152">
        <v>46510</v>
      </c>
      <c r="J14" s="152">
        <v>46512</v>
      </c>
      <c r="K14" s="152">
        <v>46562</v>
      </c>
    </row>
    <row r="15" spans="1:11">
      <c r="A15" t="s">
        <v>527</v>
      </c>
      <c r="B15">
        <v>44865</v>
      </c>
      <c r="C15">
        <v>44910</v>
      </c>
      <c r="D15">
        <v>44977</v>
      </c>
      <c r="E15">
        <v>45609</v>
      </c>
      <c r="F15" s="152">
        <v>45799</v>
      </c>
      <c r="G15" s="152">
        <v>46690</v>
      </c>
      <c r="H15" s="152">
        <v>46036</v>
      </c>
      <c r="I15" s="152">
        <v>46424</v>
      </c>
      <c r="J15" s="152">
        <v>46111</v>
      </c>
      <c r="K15" s="152">
        <v>46427</v>
      </c>
    </row>
    <row r="16" spans="1:11">
      <c r="A16" t="s">
        <v>527</v>
      </c>
      <c r="B16">
        <v>45063</v>
      </c>
      <c r="C16">
        <v>45108</v>
      </c>
      <c r="D16">
        <v>45148</v>
      </c>
      <c r="E16">
        <v>45420</v>
      </c>
    </row>
    <row r="17" spans="1:11">
      <c r="A17" t="s">
        <v>527</v>
      </c>
      <c r="B17">
        <v>44865</v>
      </c>
      <c r="C17">
        <v>44910</v>
      </c>
      <c r="D17">
        <v>44994</v>
      </c>
      <c r="E17">
        <v>45292</v>
      </c>
      <c r="F17" t="s">
        <v>514</v>
      </c>
      <c r="G17">
        <v>45985</v>
      </c>
      <c r="H17" t="s">
        <v>515</v>
      </c>
      <c r="I17">
        <v>45986</v>
      </c>
      <c r="J17">
        <v>45687</v>
      </c>
      <c r="K17">
        <v>45992</v>
      </c>
    </row>
    <row r="18" spans="1:11">
      <c r="A18" t="s">
        <v>527</v>
      </c>
      <c r="B18">
        <v>45086</v>
      </c>
      <c r="C18">
        <v>45131</v>
      </c>
      <c r="D18">
        <v>45147</v>
      </c>
      <c r="E18">
        <v>45592</v>
      </c>
      <c r="F18" t="s">
        <v>518</v>
      </c>
      <c r="G18">
        <v>46335</v>
      </c>
      <c r="H18" t="s">
        <v>519</v>
      </c>
      <c r="I18">
        <v>46328</v>
      </c>
      <c r="J18">
        <v>46337</v>
      </c>
      <c r="K18">
        <v>46343</v>
      </c>
    </row>
    <row r="19" spans="1:11">
      <c r="A19" t="s">
        <v>527</v>
      </c>
      <c r="B19">
        <v>45225</v>
      </c>
      <c r="C19">
        <v>45270</v>
      </c>
      <c r="D19">
        <v>45328</v>
      </c>
      <c r="E19">
        <v>45490</v>
      </c>
      <c r="F19" t="s">
        <v>522</v>
      </c>
      <c r="G19">
        <v>46371</v>
      </c>
      <c r="H19" t="s">
        <v>523</v>
      </c>
      <c r="I19">
        <v>46345</v>
      </c>
      <c r="J19">
        <v>46337</v>
      </c>
      <c r="K19">
        <v>46373</v>
      </c>
    </row>
    <row r="20" spans="1:11">
      <c r="A20" t="s">
        <v>527</v>
      </c>
      <c r="B20">
        <v>45575</v>
      </c>
      <c r="C20">
        <v>45605</v>
      </c>
      <c r="D20">
        <v>45605</v>
      </c>
      <c r="E20">
        <v>45775</v>
      </c>
    </row>
    <row r="21" spans="1:11">
      <c r="A21" t="s">
        <v>527</v>
      </c>
      <c r="B21">
        <v>44865</v>
      </c>
      <c r="C21">
        <v>44910</v>
      </c>
      <c r="D21">
        <v>44990</v>
      </c>
      <c r="E21">
        <v>45265</v>
      </c>
      <c r="F21" s="152">
        <v>45371</v>
      </c>
      <c r="G21" s="152">
        <v>46480</v>
      </c>
      <c r="H21" s="152">
        <v>45545</v>
      </c>
      <c r="I21" s="152">
        <v>46509</v>
      </c>
      <c r="J21" s="152">
        <v>46474</v>
      </c>
      <c r="K21" s="152">
        <v>46482</v>
      </c>
    </row>
    <row r="22" spans="1:11">
      <c r="A22" t="s">
        <v>527</v>
      </c>
      <c r="B22">
        <v>44865</v>
      </c>
      <c r="C22">
        <v>44910</v>
      </c>
      <c r="D22">
        <v>44986</v>
      </c>
      <c r="E22">
        <v>45242</v>
      </c>
      <c r="F22" s="152">
        <v>45315</v>
      </c>
      <c r="G22" s="152">
        <v>46040</v>
      </c>
      <c r="H22" s="152">
        <v>45356</v>
      </c>
      <c r="I22" s="152">
        <v>46112</v>
      </c>
      <c r="J22" s="152">
        <v>46023</v>
      </c>
      <c r="K22" s="152">
        <v>46040</v>
      </c>
    </row>
    <row r="23" spans="1:11">
      <c r="A23" t="s">
        <v>527</v>
      </c>
      <c r="B23">
        <v>45052</v>
      </c>
      <c r="C23">
        <v>45097</v>
      </c>
      <c r="D23">
        <v>45182</v>
      </c>
      <c r="E23">
        <v>45424</v>
      </c>
      <c r="F23" s="152">
        <v>45482</v>
      </c>
      <c r="G23" s="152">
        <v>46015</v>
      </c>
      <c r="H23" s="152">
        <v>45605</v>
      </c>
      <c r="I23" s="152">
        <v>46018</v>
      </c>
      <c r="J23" s="152">
        <v>45953</v>
      </c>
      <c r="K23" s="152">
        <v>46022</v>
      </c>
    </row>
    <row r="24" spans="1:11">
      <c r="A24" t="s">
        <v>527</v>
      </c>
      <c r="B24">
        <v>44865</v>
      </c>
      <c r="C24">
        <v>44910</v>
      </c>
      <c r="D24">
        <v>44986</v>
      </c>
      <c r="E24">
        <v>45232</v>
      </c>
      <c r="F24" s="152">
        <v>45299</v>
      </c>
      <c r="G24" s="152">
        <v>46359</v>
      </c>
      <c r="H24" s="152">
        <v>45323</v>
      </c>
      <c r="I24" s="152">
        <v>46361</v>
      </c>
      <c r="J24" s="152">
        <v>46316</v>
      </c>
      <c r="K24" s="152">
        <v>46365</v>
      </c>
    </row>
    <row r="25" spans="1:11">
      <c r="A25" t="s">
        <v>527</v>
      </c>
      <c r="B25">
        <v>45089</v>
      </c>
      <c r="C25">
        <v>45134</v>
      </c>
      <c r="D25">
        <v>45288</v>
      </c>
      <c r="E25">
        <v>45453</v>
      </c>
      <c r="F25" s="152">
        <v>45290</v>
      </c>
      <c r="G25" s="152">
        <v>46299</v>
      </c>
      <c r="H25" s="152">
        <v>45297</v>
      </c>
      <c r="I25" s="152">
        <v>46291</v>
      </c>
      <c r="J25" s="152">
        <v>46300</v>
      </c>
      <c r="K25" s="152">
        <v>46310</v>
      </c>
    </row>
    <row r="26" spans="1:11">
      <c r="A26" t="s">
        <v>527</v>
      </c>
      <c r="B26">
        <v>45101</v>
      </c>
      <c r="C26">
        <v>45146</v>
      </c>
      <c r="D26">
        <v>45209</v>
      </c>
      <c r="E26">
        <v>45270</v>
      </c>
      <c r="F26" s="152">
        <v>45410</v>
      </c>
      <c r="G26" s="152">
        <v>46412</v>
      </c>
      <c r="H26" t="s">
        <v>295</v>
      </c>
      <c r="I26" t="s">
        <v>295</v>
      </c>
      <c r="J26" s="152">
        <v>45510</v>
      </c>
      <c r="K26" s="152">
        <v>46413</v>
      </c>
    </row>
    <row r="27" spans="1:11">
      <c r="A27" t="s">
        <v>527</v>
      </c>
      <c r="B27">
        <v>45170</v>
      </c>
      <c r="C27">
        <v>45215</v>
      </c>
      <c r="D27">
        <v>45238</v>
      </c>
      <c r="E27">
        <v>45314</v>
      </c>
      <c r="F27">
        <v>45871</v>
      </c>
      <c r="G27">
        <v>46462</v>
      </c>
      <c r="H27" t="s">
        <v>527</v>
      </c>
      <c r="I27" t="s">
        <v>527</v>
      </c>
      <c r="J27">
        <v>46385</v>
      </c>
      <c r="K27">
        <v>46463</v>
      </c>
    </row>
    <row r="28" spans="1:11">
      <c r="A28" t="s">
        <v>527</v>
      </c>
      <c r="B28">
        <v>44865</v>
      </c>
      <c r="C28">
        <v>44910</v>
      </c>
      <c r="D28">
        <v>45294</v>
      </c>
      <c r="E28">
        <v>45434</v>
      </c>
      <c r="F28" s="152">
        <v>45598</v>
      </c>
      <c r="G28" s="152">
        <v>46538</v>
      </c>
      <c r="H28" s="152">
        <v>45831</v>
      </c>
      <c r="I28" s="152">
        <v>46538</v>
      </c>
      <c r="J28" s="152">
        <v>45991</v>
      </c>
      <c r="K28" s="152">
        <v>46541</v>
      </c>
    </row>
    <row r="29" spans="1:11">
      <c r="A29" t="s">
        <v>527</v>
      </c>
      <c r="B29">
        <v>44865</v>
      </c>
      <c r="C29">
        <v>44910</v>
      </c>
      <c r="D29">
        <v>44980</v>
      </c>
      <c r="E29">
        <v>45176</v>
      </c>
      <c r="F29" s="152">
        <v>45290</v>
      </c>
      <c r="G29" s="152">
        <v>46299</v>
      </c>
      <c r="H29" s="152">
        <v>45307</v>
      </c>
      <c r="I29" s="152">
        <v>46291</v>
      </c>
      <c r="J29" s="152">
        <v>46300</v>
      </c>
      <c r="K29" s="152">
        <v>46310</v>
      </c>
    </row>
    <row r="30" spans="1:11">
      <c r="A30" t="s">
        <v>527</v>
      </c>
      <c r="B30">
        <v>44865</v>
      </c>
      <c r="C30">
        <v>44910</v>
      </c>
      <c r="D30">
        <v>44986</v>
      </c>
      <c r="E30">
        <v>45141</v>
      </c>
      <c r="F30" s="152">
        <v>45271</v>
      </c>
      <c r="G30" s="152">
        <v>46436</v>
      </c>
      <c r="H30" s="152">
        <v>45577</v>
      </c>
      <c r="I30" s="152">
        <v>46424</v>
      </c>
      <c r="J30" s="152">
        <v>46424</v>
      </c>
      <c r="K30" s="152">
        <v>46440</v>
      </c>
    </row>
    <row r="31" spans="1:11">
      <c r="A31" t="s">
        <v>527</v>
      </c>
      <c r="B31">
        <v>44865</v>
      </c>
      <c r="C31">
        <v>44910</v>
      </c>
      <c r="D31">
        <v>45202</v>
      </c>
      <c r="E31">
        <v>45322</v>
      </c>
      <c r="F31" s="152">
        <v>45346</v>
      </c>
      <c r="G31" s="152">
        <v>46478</v>
      </c>
      <c r="H31" s="152">
        <v>45901</v>
      </c>
      <c r="I31" s="152">
        <v>46410</v>
      </c>
      <c r="J31" s="152">
        <v>45953</v>
      </c>
      <c r="K31" s="152">
        <v>46494</v>
      </c>
    </row>
    <row r="32" spans="1:11">
      <c r="A32" t="s">
        <v>527</v>
      </c>
      <c r="B32">
        <v>45172</v>
      </c>
      <c r="C32">
        <v>45217</v>
      </c>
      <c r="D32">
        <v>45238</v>
      </c>
      <c r="E32">
        <v>45497</v>
      </c>
      <c r="F32" s="152">
        <v>45566</v>
      </c>
      <c r="G32" s="152">
        <v>46657</v>
      </c>
      <c r="H32" s="152">
        <v>45843</v>
      </c>
      <c r="I32" s="152">
        <v>46264</v>
      </c>
      <c r="J32" s="152">
        <v>46162</v>
      </c>
      <c r="K32" s="152">
        <v>46294</v>
      </c>
    </row>
    <row r="33" spans="1:11">
      <c r="A33" t="s">
        <v>527</v>
      </c>
      <c r="B33">
        <v>45079</v>
      </c>
      <c r="C33">
        <v>45103</v>
      </c>
      <c r="D33">
        <v>45158</v>
      </c>
      <c r="E33">
        <v>45372</v>
      </c>
      <c r="F33" s="152">
        <v>45439</v>
      </c>
      <c r="G33" s="152">
        <v>45763</v>
      </c>
      <c r="H33" s="152">
        <v>45544</v>
      </c>
      <c r="I33" s="152">
        <v>45756</v>
      </c>
      <c r="J33" s="152">
        <v>45762</v>
      </c>
      <c r="K33" s="152">
        <v>45763</v>
      </c>
    </row>
    <row r="34" spans="1:11">
      <c r="A34" t="s">
        <v>527</v>
      </c>
      <c r="B34">
        <v>45086</v>
      </c>
      <c r="C34">
        <v>45131</v>
      </c>
      <c r="D34">
        <v>45223</v>
      </c>
      <c r="E34">
        <v>45397</v>
      </c>
      <c r="F34" s="152">
        <v>45477</v>
      </c>
      <c r="G34" s="152">
        <v>46492</v>
      </c>
      <c r="H34" s="152">
        <v>45487</v>
      </c>
      <c r="I34" s="152">
        <v>46532</v>
      </c>
      <c r="J34" s="152">
        <v>46117</v>
      </c>
      <c r="K34" s="152">
        <v>46537</v>
      </c>
    </row>
    <row r="35" spans="1:11">
      <c r="A35" t="s">
        <v>527</v>
      </c>
      <c r="B35">
        <v>45171</v>
      </c>
      <c r="C35">
        <v>45216</v>
      </c>
      <c r="D35">
        <v>45238</v>
      </c>
      <c r="E35">
        <v>45411</v>
      </c>
      <c r="F35" s="152">
        <v>45431</v>
      </c>
      <c r="G35" s="152">
        <v>46522</v>
      </c>
      <c r="H35" s="152">
        <v>45839</v>
      </c>
      <c r="I35" s="152">
        <v>46285</v>
      </c>
      <c r="J35" s="152">
        <v>45839</v>
      </c>
      <c r="K35" s="152">
        <v>46526</v>
      </c>
    </row>
    <row r="36" spans="1:11">
      <c r="A36" t="s">
        <v>527</v>
      </c>
      <c r="B36">
        <v>45247</v>
      </c>
      <c r="C36">
        <v>45292</v>
      </c>
      <c r="D36">
        <v>45361</v>
      </c>
      <c r="E36">
        <v>45524</v>
      </c>
      <c r="F36" s="152">
        <v>45677</v>
      </c>
      <c r="G36" s="152">
        <v>46663</v>
      </c>
      <c r="H36" s="152">
        <v>45962</v>
      </c>
      <c r="I36" s="152">
        <v>46663</v>
      </c>
      <c r="J36" s="152">
        <v>46664</v>
      </c>
      <c r="K36" s="152">
        <v>46686</v>
      </c>
    </row>
    <row r="37" spans="1:11">
      <c r="A37" t="s">
        <v>527</v>
      </c>
      <c r="B37">
        <v>45086</v>
      </c>
      <c r="C37">
        <v>45131</v>
      </c>
      <c r="D37">
        <v>45147</v>
      </c>
      <c r="E37">
        <v>45322</v>
      </c>
      <c r="F37" s="152">
        <v>45397</v>
      </c>
      <c r="G37" s="152">
        <v>46138</v>
      </c>
      <c r="H37" s="152">
        <v>45871</v>
      </c>
      <c r="I37" s="152">
        <v>46148</v>
      </c>
      <c r="J37" s="152">
        <v>46149</v>
      </c>
      <c r="K37" s="152">
        <v>46154</v>
      </c>
    </row>
    <row r="38" spans="1:11">
      <c r="A38" t="s">
        <v>527</v>
      </c>
      <c r="B38">
        <v>45330</v>
      </c>
      <c r="C38">
        <v>45375</v>
      </c>
      <c r="D38">
        <v>45386</v>
      </c>
      <c r="E38">
        <v>45540</v>
      </c>
      <c r="F38" s="152">
        <v>45664</v>
      </c>
      <c r="G38" s="152">
        <v>46373</v>
      </c>
      <c r="H38" s="152">
        <v>45820</v>
      </c>
      <c r="I38" s="152">
        <v>46328</v>
      </c>
      <c r="J38" s="152">
        <v>46099</v>
      </c>
      <c r="K38" s="152">
        <v>46385</v>
      </c>
    </row>
    <row r="39" spans="1:11">
      <c r="A39" t="s">
        <v>527</v>
      </c>
      <c r="B39">
        <v>45319</v>
      </c>
      <c r="C39">
        <v>45364</v>
      </c>
      <c r="D39">
        <v>45396</v>
      </c>
      <c r="E39">
        <v>45564</v>
      </c>
      <c r="F39" s="152">
        <v>45638</v>
      </c>
      <c r="G39" s="152">
        <v>46366</v>
      </c>
      <c r="H39" s="152">
        <v>45839</v>
      </c>
      <c r="I39" s="152">
        <v>46369</v>
      </c>
      <c r="J39" s="152">
        <v>46106</v>
      </c>
      <c r="K39" s="152">
        <v>46372</v>
      </c>
    </row>
    <row r="40" spans="1:11">
      <c r="A40" t="s">
        <v>527</v>
      </c>
      <c r="B40">
        <v>45319</v>
      </c>
      <c r="C40">
        <v>45364</v>
      </c>
      <c r="D40">
        <v>45398</v>
      </c>
      <c r="E40">
        <v>45705</v>
      </c>
      <c r="F40" s="152">
        <v>45808</v>
      </c>
      <c r="G40" s="152">
        <v>46572</v>
      </c>
      <c r="H40" s="152">
        <v>45883</v>
      </c>
      <c r="I40" s="152">
        <v>46455</v>
      </c>
      <c r="J40" s="152">
        <v>46114</v>
      </c>
      <c r="K40" s="152">
        <v>46482</v>
      </c>
    </row>
    <row r="41" spans="1:11">
      <c r="A41" t="s">
        <v>527</v>
      </c>
      <c r="B41">
        <v>45319</v>
      </c>
      <c r="C41">
        <v>45364</v>
      </c>
      <c r="D41">
        <v>45370</v>
      </c>
      <c r="E41">
        <v>45515</v>
      </c>
      <c r="F41" s="152">
        <v>45647</v>
      </c>
      <c r="G41" s="152">
        <v>46655</v>
      </c>
      <c r="H41" s="152">
        <v>45705</v>
      </c>
      <c r="I41" s="152">
        <v>46641</v>
      </c>
      <c r="J41" s="152">
        <v>45799</v>
      </c>
      <c r="K41" s="152">
        <v>46660</v>
      </c>
    </row>
    <row r="42" spans="1:11">
      <c r="A42" t="s">
        <v>527</v>
      </c>
      <c r="B42">
        <v>45110</v>
      </c>
      <c r="C42">
        <v>45155</v>
      </c>
      <c r="D42">
        <v>45396</v>
      </c>
      <c r="E42">
        <v>45552</v>
      </c>
      <c r="F42" t="s">
        <v>531</v>
      </c>
      <c r="G42">
        <v>46390</v>
      </c>
      <c r="H42" t="s">
        <v>532</v>
      </c>
      <c r="I42">
        <v>46356</v>
      </c>
      <c r="J42">
        <v>46393</v>
      </c>
      <c r="K42">
        <v>46394</v>
      </c>
    </row>
    <row r="43" spans="1:11">
      <c r="A43" t="s">
        <v>527</v>
      </c>
      <c r="B43">
        <v>45170</v>
      </c>
      <c r="C43">
        <v>45215</v>
      </c>
      <c r="D43">
        <v>45251</v>
      </c>
      <c r="E43">
        <v>45550</v>
      </c>
      <c r="F43" s="152">
        <v>45634</v>
      </c>
      <c r="G43" s="152">
        <v>46300</v>
      </c>
      <c r="H43" s="152">
        <v>45839</v>
      </c>
      <c r="I43" s="152">
        <v>46294</v>
      </c>
      <c r="J43" s="152">
        <v>45886</v>
      </c>
      <c r="K43" s="152">
        <v>46308</v>
      </c>
    </row>
    <row r="44" spans="1:11">
      <c r="A44" t="s">
        <v>527</v>
      </c>
      <c r="B44">
        <v>45386</v>
      </c>
      <c r="C44">
        <v>45431</v>
      </c>
      <c r="D44">
        <v>45439</v>
      </c>
      <c r="E44">
        <v>45564</v>
      </c>
      <c r="F44" t="s">
        <v>536</v>
      </c>
      <c r="G44">
        <v>46721</v>
      </c>
      <c r="H44" t="s">
        <v>537</v>
      </c>
      <c r="I44">
        <v>46739</v>
      </c>
      <c r="J44">
        <v>46748</v>
      </c>
      <c r="K44">
        <v>46762</v>
      </c>
    </row>
    <row r="45" spans="1:11">
      <c r="A45" t="s">
        <v>527</v>
      </c>
      <c r="B45">
        <v>45358</v>
      </c>
      <c r="C45">
        <v>45403</v>
      </c>
      <c r="D45">
        <v>45411</v>
      </c>
      <c r="E45">
        <v>45501</v>
      </c>
      <c r="F45" t="s">
        <v>541</v>
      </c>
      <c r="G45">
        <v>46162</v>
      </c>
      <c r="H45">
        <v>45962</v>
      </c>
      <c r="I45">
        <v>46165</v>
      </c>
      <c r="J45">
        <v>46166</v>
      </c>
      <c r="K45">
        <v>46167</v>
      </c>
    </row>
    <row r="46" spans="1:11">
      <c r="A46" t="s">
        <v>527</v>
      </c>
      <c r="B46">
        <v>45460</v>
      </c>
      <c r="C46">
        <v>45505</v>
      </c>
      <c r="D46">
        <v>45561</v>
      </c>
      <c r="E46">
        <v>45705</v>
      </c>
      <c r="F46">
        <v>45781</v>
      </c>
      <c r="G46">
        <v>46442</v>
      </c>
      <c r="H46">
        <v>45956</v>
      </c>
      <c r="I46">
        <v>46450</v>
      </c>
      <c r="J46">
        <v>46418</v>
      </c>
      <c r="K46">
        <v>46453</v>
      </c>
    </row>
    <row r="47" spans="1:11">
      <c r="A47" t="s">
        <v>527</v>
      </c>
      <c r="B47">
        <v>45491</v>
      </c>
      <c r="C47">
        <v>45536</v>
      </c>
      <c r="D47">
        <v>45545</v>
      </c>
      <c r="E47">
        <v>45664</v>
      </c>
      <c r="F47" s="152">
        <v>45750</v>
      </c>
      <c r="G47" s="152">
        <v>46753</v>
      </c>
      <c r="H47" s="152">
        <v>45878</v>
      </c>
      <c r="I47" s="152">
        <v>46757</v>
      </c>
      <c r="J47" s="152">
        <v>46736</v>
      </c>
      <c r="K47" s="152">
        <v>46779</v>
      </c>
    </row>
    <row r="48" spans="1:11">
      <c r="A48">
        <v>45313</v>
      </c>
      <c r="B48">
        <v>45370</v>
      </c>
      <c r="C48">
        <v>45551</v>
      </c>
      <c r="D48">
        <v>45581</v>
      </c>
      <c r="E48">
        <v>45914</v>
      </c>
      <c r="F48">
        <v>45995</v>
      </c>
      <c r="G48">
        <v>46649</v>
      </c>
      <c r="H48">
        <v>46095</v>
      </c>
      <c r="I48">
        <v>46623</v>
      </c>
      <c r="J48">
        <v>46658</v>
      </c>
      <c r="K48">
        <v>46666</v>
      </c>
    </row>
    <row r="49" spans="1:11">
      <c r="A49" t="s">
        <v>527</v>
      </c>
      <c r="B49">
        <v>45491</v>
      </c>
      <c r="C49">
        <v>45536</v>
      </c>
      <c r="D49">
        <v>45565</v>
      </c>
      <c r="E49">
        <v>45742</v>
      </c>
      <c r="F49" s="152">
        <v>45822</v>
      </c>
      <c r="G49" s="152">
        <v>46478</v>
      </c>
      <c r="H49" s="152">
        <v>46354</v>
      </c>
      <c r="I49" s="152">
        <v>46482</v>
      </c>
      <c r="J49" s="152">
        <v>46373</v>
      </c>
      <c r="K49" s="152">
        <v>46492</v>
      </c>
    </row>
    <row r="50" spans="1:11">
      <c r="A50">
        <v>45312</v>
      </c>
      <c r="B50">
        <v>45386</v>
      </c>
      <c r="C50">
        <v>45550</v>
      </c>
      <c r="D50">
        <v>45581</v>
      </c>
      <c r="E50">
        <v>45932</v>
      </c>
      <c r="F50" s="152">
        <v>46022</v>
      </c>
      <c r="G50" s="152">
        <v>46942</v>
      </c>
      <c r="H50" s="152">
        <v>46106</v>
      </c>
      <c r="I50" s="152">
        <v>46951</v>
      </c>
      <c r="J50" s="152">
        <v>46952</v>
      </c>
      <c r="K50" s="152">
        <v>47034</v>
      </c>
    </row>
    <row r="51" spans="1:11">
      <c r="A51">
        <v>45312</v>
      </c>
      <c r="B51">
        <v>45386</v>
      </c>
      <c r="C51">
        <v>45559</v>
      </c>
      <c r="D51">
        <v>45578</v>
      </c>
      <c r="E51">
        <v>45937</v>
      </c>
      <c r="F51" s="152">
        <v>46006</v>
      </c>
      <c r="G51" s="152">
        <v>47002</v>
      </c>
      <c r="H51" s="152">
        <v>46340</v>
      </c>
      <c r="I51" s="152">
        <v>47014</v>
      </c>
      <c r="J51" s="152">
        <v>46737</v>
      </c>
      <c r="K51" s="152">
        <v>47037</v>
      </c>
    </row>
    <row r="52" spans="1:11">
      <c r="A52">
        <v>45312</v>
      </c>
      <c r="B52">
        <v>45386</v>
      </c>
      <c r="C52">
        <v>45562</v>
      </c>
      <c r="D52">
        <v>45840</v>
      </c>
      <c r="E52">
        <v>45840</v>
      </c>
      <c r="F52" s="152">
        <v>45956</v>
      </c>
      <c r="G52" s="152">
        <v>46949</v>
      </c>
      <c r="H52" s="152">
        <v>46202</v>
      </c>
      <c r="I52" s="152">
        <v>46953</v>
      </c>
      <c r="J52" t="s">
        <v>372</v>
      </c>
      <c r="K52" s="152">
        <v>46963</v>
      </c>
    </row>
    <row r="53" spans="1:11">
      <c r="A53">
        <v>45312</v>
      </c>
      <c r="B53">
        <v>45386</v>
      </c>
      <c r="C53">
        <v>45543</v>
      </c>
      <c r="D53">
        <v>45578</v>
      </c>
      <c r="E53">
        <v>45700</v>
      </c>
      <c r="F53" s="152">
        <v>45809</v>
      </c>
      <c r="G53" s="152">
        <v>46057</v>
      </c>
      <c r="H53" s="152">
        <v>45853</v>
      </c>
      <c r="I53" s="152">
        <v>46065</v>
      </c>
      <c r="J53" s="152">
        <v>45983</v>
      </c>
      <c r="K53" s="152">
        <v>46072</v>
      </c>
    </row>
    <row r="54" spans="1:11">
      <c r="A54">
        <v>45312</v>
      </c>
      <c r="B54">
        <v>45386</v>
      </c>
      <c r="C54">
        <v>45544</v>
      </c>
      <c r="D54">
        <v>45561</v>
      </c>
      <c r="E54">
        <v>45705</v>
      </c>
      <c r="F54" s="152">
        <v>45789</v>
      </c>
      <c r="G54" s="152">
        <v>46436</v>
      </c>
      <c r="H54" s="152">
        <v>45829</v>
      </c>
      <c r="I54" s="152">
        <v>46432</v>
      </c>
      <c r="J54" s="152">
        <v>46436</v>
      </c>
      <c r="K54" s="152">
        <v>46461</v>
      </c>
    </row>
    <row r="55" spans="1:11">
      <c r="A55">
        <v>45312</v>
      </c>
      <c r="B55">
        <v>45386</v>
      </c>
      <c r="C55">
        <v>45550</v>
      </c>
      <c r="D55">
        <v>45581</v>
      </c>
      <c r="E55">
        <v>45896</v>
      </c>
      <c r="F55" t="s">
        <v>382</v>
      </c>
      <c r="G55" s="152">
        <v>46935</v>
      </c>
      <c r="H55" s="152">
        <v>46438</v>
      </c>
      <c r="I55" s="152">
        <v>46975</v>
      </c>
      <c r="J55" s="152">
        <v>46971</v>
      </c>
      <c r="K55" s="152">
        <v>46996</v>
      </c>
    </row>
    <row r="56" spans="1:11">
      <c r="A56">
        <v>45313</v>
      </c>
      <c r="B56">
        <v>45370</v>
      </c>
      <c r="C56">
        <v>45545</v>
      </c>
      <c r="D56">
        <v>45585</v>
      </c>
      <c r="E56">
        <v>45722</v>
      </c>
      <c r="F56">
        <v>45798</v>
      </c>
      <c r="G56">
        <v>46473</v>
      </c>
      <c r="H56">
        <v>45857</v>
      </c>
      <c r="I56">
        <v>46471</v>
      </c>
      <c r="J56">
        <v>46481</v>
      </c>
      <c r="K56">
        <v>46482</v>
      </c>
    </row>
    <row r="57" spans="1:11">
      <c r="A57" t="s">
        <v>527</v>
      </c>
      <c r="B57">
        <v>45464</v>
      </c>
      <c r="C57">
        <v>45509</v>
      </c>
      <c r="D57">
        <v>45585</v>
      </c>
      <c r="E57">
        <v>45742</v>
      </c>
      <c r="F57">
        <v>45847</v>
      </c>
      <c r="G57">
        <v>46852</v>
      </c>
      <c r="H57">
        <v>45894</v>
      </c>
      <c r="I57">
        <v>46839</v>
      </c>
      <c r="J57">
        <v>46846</v>
      </c>
      <c r="K57">
        <v>46856</v>
      </c>
    </row>
    <row r="58" spans="1:11">
      <c r="A58" t="s">
        <v>527</v>
      </c>
      <c r="B58">
        <v>45491</v>
      </c>
      <c r="C58">
        <v>45536</v>
      </c>
      <c r="D58">
        <v>45533</v>
      </c>
      <c r="E58">
        <v>45629</v>
      </c>
      <c r="F58" s="152">
        <v>45739</v>
      </c>
      <c r="G58" s="152">
        <v>46741</v>
      </c>
      <c r="H58" s="152">
        <v>45770</v>
      </c>
      <c r="I58" s="152">
        <v>46707</v>
      </c>
      <c r="J58" s="152">
        <v>45794</v>
      </c>
      <c r="K58" s="152">
        <v>46743</v>
      </c>
    </row>
    <row r="59" spans="1:11">
      <c r="A59" t="s">
        <v>527</v>
      </c>
      <c r="B59">
        <v>44723</v>
      </c>
      <c r="C59">
        <v>44768</v>
      </c>
      <c r="D59">
        <v>44874</v>
      </c>
      <c r="E59">
        <v>45211</v>
      </c>
      <c r="F59" s="152">
        <v>45333</v>
      </c>
      <c r="G59" s="152">
        <v>46331</v>
      </c>
      <c r="H59" s="152">
        <v>45413</v>
      </c>
      <c r="I59" s="152">
        <v>46155</v>
      </c>
      <c r="J59" s="152">
        <v>46319</v>
      </c>
      <c r="K59" s="152">
        <v>46333</v>
      </c>
    </row>
    <row r="60" spans="1:11">
      <c r="A60" t="s">
        <v>527</v>
      </c>
      <c r="B60">
        <v>45215</v>
      </c>
      <c r="C60">
        <v>45260</v>
      </c>
      <c r="D60">
        <v>45271</v>
      </c>
      <c r="E60">
        <v>45454</v>
      </c>
      <c r="F60" s="152">
        <v>45657</v>
      </c>
      <c r="G60" s="152">
        <v>46250</v>
      </c>
      <c r="H60" s="152">
        <v>45873</v>
      </c>
      <c r="I60" s="152">
        <v>46240</v>
      </c>
      <c r="J60" s="152">
        <v>46251</v>
      </c>
      <c r="K60" s="152">
        <v>46263</v>
      </c>
    </row>
    <row r="61" spans="1:11">
      <c r="A61" t="s">
        <v>527</v>
      </c>
      <c r="B61">
        <v>44723</v>
      </c>
      <c r="C61">
        <v>44768</v>
      </c>
      <c r="D61">
        <v>44660</v>
      </c>
      <c r="E61">
        <v>45298</v>
      </c>
      <c r="F61" s="152">
        <v>45426</v>
      </c>
      <c r="G61" s="152">
        <v>46293</v>
      </c>
      <c r="H61" s="152">
        <v>45503</v>
      </c>
      <c r="I61" s="152">
        <v>46264</v>
      </c>
      <c r="J61" s="152">
        <v>46265</v>
      </c>
      <c r="K61" s="152">
        <v>46295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32F9-255D-45C7-B0EA-5BEB9929AE70}">
  <sheetPr filterMode="1"/>
  <dimension ref="J6:P802"/>
  <sheetViews>
    <sheetView topLeftCell="A274" workbookViewId="0">
      <selection activeCell="O328" sqref="O328:O799"/>
    </sheetView>
  </sheetViews>
  <sheetFormatPr defaultRowHeight="14.45"/>
  <cols>
    <col min="10" max="10" width="80" bestFit="1" customWidth="1"/>
    <col min="11" max="11" width="42.28515625" bestFit="1" customWidth="1"/>
    <col min="15" max="15" width="18.42578125" bestFit="1" customWidth="1"/>
  </cols>
  <sheetData>
    <row r="6" spans="10:16">
      <c r="J6" t="s">
        <v>563</v>
      </c>
      <c r="K6" t="s">
        <v>564</v>
      </c>
      <c r="L6" t="s">
        <v>565</v>
      </c>
      <c r="M6" t="s">
        <v>566</v>
      </c>
      <c r="N6" t="s">
        <v>567</v>
      </c>
      <c r="O6" t="s">
        <v>568</v>
      </c>
      <c r="P6" t="s">
        <v>569</v>
      </c>
    </row>
    <row r="7" spans="10:16">
      <c r="J7" t="s">
        <v>570</v>
      </c>
      <c r="L7">
        <v>3571</v>
      </c>
      <c r="M7" s="314">
        <v>44052</v>
      </c>
      <c r="N7" s="314">
        <v>11097</v>
      </c>
      <c r="O7" s="315">
        <v>8852112650.5300007</v>
      </c>
      <c r="P7">
        <v>650</v>
      </c>
    </row>
    <row r="8" spans="10:16">
      <c r="J8" t="s">
        <v>571</v>
      </c>
      <c r="L8">
        <v>3571</v>
      </c>
      <c r="M8" s="314">
        <v>44052</v>
      </c>
      <c r="N8" s="314">
        <v>11097</v>
      </c>
      <c r="O8" s="315">
        <v>8852112650.5300007</v>
      </c>
      <c r="P8">
        <v>650</v>
      </c>
    </row>
    <row r="9" spans="10:16">
      <c r="J9" t="s">
        <v>572</v>
      </c>
      <c r="L9">
        <v>3057</v>
      </c>
      <c r="M9" s="314">
        <v>44052</v>
      </c>
      <c r="N9" s="314">
        <v>47108</v>
      </c>
      <c r="O9" s="315">
        <v>2341765347.9099998</v>
      </c>
      <c r="P9">
        <v>263</v>
      </c>
    </row>
    <row r="10" spans="10:16" hidden="1">
      <c r="J10" t="s">
        <v>573</v>
      </c>
      <c r="K10" t="s">
        <v>574</v>
      </c>
      <c r="L10">
        <v>0</v>
      </c>
      <c r="M10" s="314">
        <v>44052</v>
      </c>
      <c r="O10" s="315">
        <v>0</v>
      </c>
      <c r="P10">
        <v>1</v>
      </c>
    </row>
    <row r="11" spans="10:16" hidden="1">
      <c r="J11" t="s">
        <v>575</v>
      </c>
      <c r="K11" t="s">
        <v>576</v>
      </c>
      <c r="L11">
        <v>0</v>
      </c>
      <c r="N11" s="314">
        <v>46575</v>
      </c>
      <c r="O11" s="315">
        <v>0</v>
      </c>
      <c r="P11">
        <v>1</v>
      </c>
    </row>
    <row r="12" spans="10:16">
      <c r="J12" t="s">
        <v>577</v>
      </c>
      <c r="L12">
        <v>1193</v>
      </c>
      <c r="M12" s="314">
        <v>45383</v>
      </c>
      <c r="N12" s="314">
        <v>46575</v>
      </c>
      <c r="O12" s="315">
        <v>17250000</v>
      </c>
      <c r="P12">
        <v>8</v>
      </c>
    </row>
    <row r="13" spans="10:16" hidden="1">
      <c r="J13" t="s">
        <v>578</v>
      </c>
      <c r="K13" t="s">
        <v>579</v>
      </c>
      <c r="L13">
        <v>30</v>
      </c>
      <c r="M13" s="314">
        <v>45383</v>
      </c>
      <c r="N13" s="314">
        <v>45412</v>
      </c>
      <c r="O13" s="315">
        <v>0</v>
      </c>
      <c r="P13">
        <v>1</v>
      </c>
    </row>
    <row r="14" spans="10:16" hidden="1">
      <c r="J14" t="s">
        <v>580</v>
      </c>
      <c r="K14" t="s">
        <v>581</v>
      </c>
      <c r="L14">
        <v>31</v>
      </c>
      <c r="M14" s="314">
        <v>45413</v>
      </c>
      <c r="N14" s="314">
        <v>45443</v>
      </c>
      <c r="O14" s="315">
        <v>0</v>
      </c>
      <c r="P14">
        <v>1</v>
      </c>
    </row>
    <row r="15" spans="10:16" hidden="1">
      <c r="J15" t="s">
        <v>582</v>
      </c>
      <c r="K15" t="s">
        <v>583</v>
      </c>
      <c r="L15">
        <v>122</v>
      </c>
      <c r="M15" s="314">
        <v>45444</v>
      </c>
      <c r="N15" s="314">
        <v>45565</v>
      </c>
      <c r="O15" s="315">
        <v>0</v>
      </c>
      <c r="P15">
        <v>1</v>
      </c>
    </row>
    <row r="16" spans="10:16" hidden="1">
      <c r="J16" t="s">
        <v>584</v>
      </c>
      <c r="K16" t="s">
        <v>585</v>
      </c>
      <c r="L16">
        <v>92</v>
      </c>
      <c r="M16" s="314">
        <v>45566</v>
      </c>
      <c r="N16" s="314">
        <v>45657</v>
      </c>
      <c r="O16" s="315">
        <v>0</v>
      </c>
      <c r="P16">
        <v>1</v>
      </c>
    </row>
    <row r="17" spans="10:16" hidden="1">
      <c r="J17" t="s">
        <v>586</v>
      </c>
      <c r="K17" t="s">
        <v>587</v>
      </c>
      <c r="L17">
        <v>188</v>
      </c>
      <c r="M17" s="314">
        <v>45658</v>
      </c>
      <c r="N17" s="314">
        <v>45845</v>
      </c>
      <c r="O17" s="315">
        <v>0</v>
      </c>
      <c r="P17">
        <v>1</v>
      </c>
    </row>
    <row r="18" spans="10:16" hidden="1">
      <c r="J18" t="s">
        <v>588</v>
      </c>
      <c r="K18" t="s">
        <v>589</v>
      </c>
      <c r="L18">
        <v>610</v>
      </c>
      <c r="M18" s="314">
        <v>45846</v>
      </c>
      <c r="N18" s="314">
        <v>46455</v>
      </c>
      <c r="O18" s="315">
        <v>15525000</v>
      </c>
      <c r="P18">
        <v>1</v>
      </c>
    </row>
    <row r="19" spans="10:16" hidden="1">
      <c r="J19" t="s">
        <v>590</v>
      </c>
      <c r="K19" t="s">
        <v>591</v>
      </c>
      <c r="L19">
        <v>60</v>
      </c>
      <c r="M19" s="314">
        <v>46456</v>
      </c>
      <c r="N19" s="314">
        <v>46515</v>
      </c>
      <c r="O19" s="315">
        <v>1725000</v>
      </c>
      <c r="P19">
        <v>1</v>
      </c>
    </row>
    <row r="20" spans="10:16" hidden="1">
      <c r="J20" t="s">
        <v>592</v>
      </c>
      <c r="K20" t="s">
        <v>593</v>
      </c>
      <c r="L20">
        <v>60</v>
      </c>
      <c r="M20" s="314">
        <v>46516</v>
      </c>
      <c r="N20" s="314">
        <v>46575</v>
      </c>
      <c r="O20" s="315">
        <v>0</v>
      </c>
      <c r="P20">
        <v>1</v>
      </c>
    </row>
    <row r="21" spans="10:16">
      <c r="J21" t="s">
        <v>594</v>
      </c>
      <c r="L21">
        <v>1193</v>
      </c>
      <c r="M21" s="314">
        <v>45383</v>
      </c>
      <c r="N21" s="314">
        <v>46575</v>
      </c>
      <c r="O21" s="315">
        <v>6346792.5</v>
      </c>
      <c r="P21">
        <v>8</v>
      </c>
    </row>
    <row r="22" spans="10:16" hidden="1">
      <c r="J22" t="s">
        <v>595</v>
      </c>
      <c r="K22" t="s">
        <v>579</v>
      </c>
      <c r="L22">
        <v>30</v>
      </c>
      <c r="M22" s="314">
        <v>45383</v>
      </c>
      <c r="N22" s="314">
        <v>45412</v>
      </c>
      <c r="O22" s="315">
        <v>0</v>
      </c>
      <c r="P22">
        <v>1</v>
      </c>
    </row>
    <row r="23" spans="10:16" hidden="1">
      <c r="J23" t="s">
        <v>596</v>
      </c>
      <c r="K23" t="s">
        <v>581</v>
      </c>
      <c r="L23">
        <v>31</v>
      </c>
      <c r="M23" s="314">
        <v>45413</v>
      </c>
      <c r="N23" s="314">
        <v>45443</v>
      </c>
      <c r="O23" s="315">
        <v>0</v>
      </c>
      <c r="P23">
        <v>1</v>
      </c>
    </row>
    <row r="24" spans="10:16" hidden="1">
      <c r="J24" t="s">
        <v>597</v>
      </c>
      <c r="K24" t="s">
        <v>583</v>
      </c>
      <c r="L24">
        <v>122</v>
      </c>
      <c r="M24" s="314">
        <v>45444</v>
      </c>
      <c r="N24" s="314">
        <v>45565</v>
      </c>
      <c r="O24" s="315">
        <v>0</v>
      </c>
      <c r="P24">
        <v>1</v>
      </c>
    </row>
    <row r="25" spans="10:16" hidden="1">
      <c r="J25" t="s">
        <v>598</v>
      </c>
      <c r="K25" t="s">
        <v>585</v>
      </c>
      <c r="L25">
        <v>92</v>
      </c>
      <c r="M25" s="314">
        <v>45566</v>
      </c>
      <c r="N25" s="314">
        <v>45657</v>
      </c>
      <c r="O25" s="315">
        <v>0</v>
      </c>
      <c r="P25">
        <v>1</v>
      </c>
    </row>
    <row r="26" spans="10:16" hidden="1">
      <c r="J26" t="s">
        <v>599</v>
      </c>
      <c r="K26" t="s">
        <v>587</v>
      </c>
      <c r="L26">
        <v>188</v>
      </c>
      <c r="M26" s="314">
        <v>45658</v>
      </c>
      <c r="N26" s="314">
        <v>45845</v>
      </c>
      <c r="O26" s="315">
        <v>0</v>
      </c>
      <c r="P26">
        <v>1</v>
      </c>
    </row>
    <row r="27" spans="10:16" hidden="1">
      <c r="J27" t="s">
        <v>600</v>
      </c>
      <c r="K27" t="s">
        <v>589</v>
      </c>
      <c r="L27">
        <v>610</v>
      </c>
      <c r="M27" s="314">
        <v>45846</v>
      </c>
      <c r="N27" s="314">
        <v>46455</v>
      </c>
      <c r="O27" s="315">
        <v>5712113.25</v>
      </c>
      <c r="P27">
        <v>1</v>
      </c>
    </row>
    <row r="28" spans="10:16" hidden="1">
      <c r="J28" t="s">
        <v>601</v>
      </c>
      <c r="K28" t="s">
        <v>591</v>
      </c>
      <c r="L28">
        <v>60</v>
      </c>
      <c r="M28" s="314">
        <v>46456</v>
      </c>
      <c r="N28" s="314">
        <v>46515</v>
      </c>
      <c r="O28" s="315">
        <v>634679.25</v>
      </c>
      <c r="P28">
        <v>1</v>
      </c>
    </row>
    <row r="29" spans="10:16" hidden="1">
      <c r="J29" t="s">
        <v>602</v>
      </c>
      <c r="K29" t="s">
        <v>593</v>
      </c>
      <c r="L29">
        <v>60</v>
      </c>
      <c r="M29" s="314">
        <v>46516</v>
      </c>
      <c r="N29" s="314">
        <v>46575</v>
      </c>
      <c r="O29" s="315">
        <v>0</v>
      </c>
      <c r="P29">
        <v>1</v>
      </c>
    </row>
    <row r="30" spans="10:16">
      <c r="J30" t="s">
        <v>603</v>
      </c>
      <c r="L30">
        <v>1193</v>
      </c>
      <c r="M30" s="314">
        <v>45383</v>
      </c>
      <c r="N30" s="314">
        <v>46575</v>
      </c>
      <c r="O30" s="315">
        <v>15900000.050000001</v>
      </c>
      <c r="P30">
        <v>8</v>
      </c>
    </row>
    <row r="31" spans="10:16" hidden="1">
      <c r="J31" t="s">
        <v>604</v>
      </c>
      <c r="K31" t="s">
        <v>579</v>
      </c>
      <c r="L31">
        <v>30</v>
      </c>
      <c r="M31" s="314">
        <v>45383</v>
      </c>
      <c r="N31" s="314">
        <v>45412</v>
      </c>
      <c r="O31" s="315">
        <v>0</v>
      </c>
      <c r="P31">
        <v>1</v>
      </c>
    </row>
    <row r="32" spans="10:16" hidden="1">
      <c r="J32" t="s">
        <v>605</v>
      </c>
      <c r="K32" t="s">
        <v>581</v>
      </c>
      <c r="L32">
        <v>31</v>
      </c>
      <c r="M32" s="314">
        <v>45413</v>
      </c>
      <c r="N32" s="314">
        <v>45443</v>
      </c>
      <c r="O32" s="315">
        <v>0</v>
      </c>
      <c r="P32">
        <v>1</v>
      </c>
    </row>
    <row r="33" spans="10:16" hidden="1">
      <c r="J33" t="s">
        <v>606</v>
      </c>
      <c r="K33" t="s">
        <v>583</v>
      </c>
      <c r="L33">
        <v>122</v>
      </c>
      <c r="M33" s="314">
        <v>45444</v>
      </c>
      <c r="N33" s="314">
        <v>45565</v>
      </c>
      <c r="O33" s="315">
        <v>0</v>
      </c>
      <c r="P33">
        <v>1</v>
      </c>
    </row>
    <row r="34" spans="10:16" hidden="1">
      <c r="J34" t="s">
        <v>607</v>
      </c>
      <c r="K34" t="s">
        <v>585</v>
      </c>
      <c r="L34">
        <v>92</v>
      </c>
      <c r="M34" s="314">
        <v>45566</v>
      </c>
      <c r="N34" s="314">
        <v>45657</v>
      </c>
      <c r="O34" s="315">
        <v>0</v>
      </c>
      <c r="P34">
        <v>1</v>
      </c>
    </row>
    <row r="35" spans="10:16" hidden="1">
      <c r="J35" t="s">
        <v>608</v>
      </c>
      <c r="K35" t="s">
        <v>587</v>
      </c>
      <c r="L35">
        <v>188</v>
      </c>
      <c r="M35" s="314">
        <v>45658</v>
      </c>
      <c r="N35" s="314">
        <v>45845</v>
      </c>
      <c r="O35" s="315">
        <v>0</v>
      </c>
      <c r="P35">
        <v>1</v>
      </c>
    </row>
    <row r="36" spans="10:16" hidden="1">
      <c r="J36" t="s">
        <v>609</v>
      </c>
      <c r="K36" t="s">
        <v>589</v>
      </c>
      <c r="L36">
        <v>610</v>
      </c>
      <c r="M36" s="314">
        <v>45846</v>
      </c>
      <c r="N36" s="314">
        <v>46455</v>
      </c>
      <c r="O36" s="315">
        <v>14310000.050000001</v>
      </c>
      <c r="P36">
        <v>1</v>
      </c>
    </row>
    <row r="37" spans="10:16" hidden="1">
      <c r="J37" t="s">
        <v>610</v>
      </c>
      <c r="K37" t="s">
        <v>591</v>
      </c>
      <c r="L37">
        <v>60</v>
      </c>
      <c r="M37" s="314">
        <v>46456</v>
      </c>
      <c r="N37" s="314">
        <v>46515</v>
      </c>
      <c r="O37" s="315">
        <v>1590000.01</v>
      </c>
      <c r="P37">
        <v>1</v>
      </c>
    </row>
    <row r="38" spans="10:16" hidden="1">
      <c r="J38" t="s">
        <v>611</v>
      </c>
      <c r="K38" t="s">
        <v>593</v>
      </c>
      <c r="L38">
        <v>60</v>
      </c>
      <c r="M38" s="314">
        <v>46516</v>
      </c>
      <c r="N38" s="314">
        <v>46575</v>
      </c>
      <c r="O38" s="315">
        <v>0</v>
      </c>
      <c r="P38">
        <v>1</v>
      </c>
    </row>
    <row r="39" spans="10:16">
      <c r="J39" t="s">
        <v>612</v>
      </c>
      <c r="L39">
        <v>1559</v>
      </c>
      <c r="M39" s="314">
        <v>45383</v>
      </c>
      <c r="N39" s="314">
        <v>46941</v>
      </c>
      <c r="O39" s="315">
        <v>11500000</v>
      </c>
      <c r="P39">
        <v>8</v>
      </c>
    </row>
    <row r="40" spans="10:16" hidden="1">
      <c r="J40" t="s">
        <v>613</v>
      </c>
      <c r="K40" t="s">
        <v>579</v>
      </c>
      <c r="L40">
        <v>30</v>
      </c>
      <c r="M40" s="314">
        <v>45383</v>
      </c>
      <c r="N40" s="314">
        <v>45412</v>
      </c>
      <c r="O40" s="315">
        <v>0</v>
      </c>
      <c r="P40">
        <v>1</v>
      </c>
    </row>
    <row r="41" spans="10:16" hidden="1">
      <c r="J41" t="s">
        <v>614</v>
      </c>
      <c r="K41" t="s">
        <v>581</v>
      </c>
      <c r="L41">
        <v>31</v>
      </c>
      <c r="M41" s="314">
        <v>45413</v>
      </c>
      <c r="N41" s="314">
        <v>45443</v>
      </c>
      <c r="O41" s="315">
        <v>0</v>
      </c>
      <c r="P41">
        <v>1</v>
      </c>
    </row>
    <row r="42" spans="10:16" hidden="1">
      <c r="J42" t="s">
        <v>615</v>
      </c>
      <c r="K42" t="s">
        <v>583</v>
      </c>
      <c r="L42">
        <v>122</v>
      </c>
      <c r="M42" s="314">
        <v>45444</v>
      </c>
      <c r="N42" s="314">
        <v>45565</v>
      </c>
      <c r="O42" s="315">
        <v>0</v>
      </c>
      <c r="P42">
        <v>1</v>
      </c>
    </row>
    <row r="43" spans="10:16" hidden="1">
      <c r="J43" t="s">
        <v>616</v>
      </c>
      <c r="K43" t="s">
        <v>585</v>
      </c>
      <c r="L43">
        <v>92</v>
      </c>
      <c r="M43" s="314">
        <v>45566</v>
      </c>
      <c r="N43" s="314">
        <v>45657</v>
      </c>
      <c r="O43" s="315">
        <v>0</v>
      </c>
      <c r="P43">
        <v>1</v>
      </c>
    </row>
    <row r="44" spans="10:16" hidden="1">
      <c r="J44" t="s">
        <v>617</v>
      </c>
      <c r="K44" t="s">
        <v>587</v>
      </c>
      <c r="L44">
        <v>188</v>
      </c>
      <c r="M44" s="314">
        <v>45658</v>
      </c>
      <c r="N44" s="314">
        <v>45845</v>
      </c>
      <c r="O44" s="315">
        <v>0</v>
      </c>
      <c r="P44">
        <v>1</v>
      </c>
    </row>
    <row r="45" spans="10:16" hidden="1">
      <c r="J45" t="s">
        <v>618</v>
      </c>
      <c r="K45" t="s">
        <v>589</v>
      </c>
      <c r="L45">
        <v>976</v>
      </c>
      <c r="M45" s="314">
        <v>45846</v>
      </c>
      <c r="N45" s="314">
        <v>46821</v>
      </c>
      <c r="O45" s="315">
        <v>10350000</v>
      </c>
      <c r="P45">
        <v>1</v>
      </c>
    </row>
    <row r="46" spans="10:16" hidden="1">
      <c r="J46" t="s">
        <v>619</v>
      </c>
      <c r="K46" t="s">
        <v>591</v>
      </c>
      <c r="L46">
        <v>60</v>
      </c>
      <c r="M46" s="314">
        <v>46822</v>
      </c>
      <c r="N46" s="314">
        <v>46881</v>
      </c>
      <c r="O46" s="315">
        <v>1150000</v>
      </c>
      <c r="P46">
        <v>1</v>
      </c>
    </row>
    <row r="47" spans="10:16" hidden="1">
      <c r="J47" t="s">
        <v>620</v>
      </c>
      <c r="K47" t="s">
        <v>593</v>
      </c>
      <c r="L47">
        <v>60</v>
      </c>
      <c r="M47" s="314">
        <v>46882</v>
      </c>
      <c r="N47" s="314">
        <v>46941</v>
      </c>
      <c r="O47" s="315">
        <v>0</v>
      </c>
      <c r="P47">
        <v>1</v>
      </c>
    </row>
    <row r="48" spans="10:16">
      <c r="J48" t="s">
        <v>621</v>
      </c>
      <c r="L48">
        <v>1559</v>
      </c>
      <c r="M48" s="314">
        <v>45383</v>
      </c>
      <c r="N48" s="314">
        <v>46941</v>
      </c>
      <c r="O48" s="315">
        <v>86250000</v>
      </c>
      <c r="P48">
        <v>8</v>
      </c>
    </row>
    <row r="49" spans="10:16" hidden="1">
      <c r="J49" t="s">
        <v>622</v>
      </c>
      <c r="K49" t="s">
        <v>579</v>
      </c>
      <c r="L49">
        <v>30</v>
      </c>
      <c r="M49" s="314">
        <v>45383</v>
      </c>
      <c r="N49" s="314">
        <v>45412</v>
      </c>
      <c r="O49" s="315">
        <v>0</v>
      </c>
      <c r="P49">
        <v>1</v>
      </c>
    </row>
    <row r="50" spans="10:16" hidden="1">
      <c r="J50" t="s">
        <v>623</v>
      </c>
      <c r="K50" t="s">
        <v>581</v>
      </c>
      <c r="L50">
        <v>31</v>
      </c>
      <c r="M50" s="314">
        <v>45413</v>
      </c>
      <c r="N50" s="314">
        <v>45443</v>
      </c>
      <c r="O50" s="315">
        <v>0</v>
      </c>
      <c r="P50">
        <v>1</v>
      </c>
    </row>
    <row r="51" spans="10:16" hidden="1">
      <c r="J51" t="s">
        <v>624</v>
      </c>
      <c r="K51" t="s">
        <v>583</v>
      </c>
      <c r="L51">
        <v>122</v>
      </c>
      <c r="M51" s="314">
        <v>45444</v>
      </c>
      <c r="N51" s="314">
        <v>45565</v>
      </c>
      <c r="O51" s="315">
        <v>0</v>
      </c>
      <c r="P51">
        <v>1</v>
      </c>
    </row>
    <row r="52" spans="10:16" hidden="1">
      <c r="J52" t="s">
        <v>625</v>
      </c>
      <c r="K52" t="s">
        <v>585</v>
      </c>
      <c r="L52">
        <v>92</v>
      </c>
      <c r="M52" s="314">
        <v>45566</v>
      </c>
      <c r="N52" s="314">
        <v>45657</v>
      </c>
      <c r="O52" s="315">
        <v>0</v>
      </c>
      <c r="P52">
        <v>1</v>
      </c>
    </row>
    <row r="53" spans="10:16" hidden="1">
      <c r="J53" t="s">
        <v>626</v>
      </c>
      <c r="K53" t="s">
        <v>587</v>
      </c>
      <c r="L53">
        <v>188</v>
      </c>
      <c r="M53" s="314">
        <v>45658</v>
      </c>
      <c r="N53" s="314">
        <v>45845</v>
      </c>
      <c r="O53" s="315">
        <v>0</v>
      </c>
      <c r="P53">
        <v>1</v>
      </c>
    </row>
    <row r="54" spans="10:16" hidden="1">
      <c r="J54" t="s">
        <v>627</v>
      </c>
      <c r="K54" t="s">
        <v>589</v>
      </c>
      <c r="L54">
        <v>976</v>
      </c>
      <c r="M54" s="314">
        <v>45846</v>
      </c>
      <c r="N54" s="314">
        <v>46821</v>
      </c>
      <c r="O54" s="315">
        <v>77625000</v>
      </c>
      <c r="P54">
        <v>1</v>
      </c>
    </row>
    <row r="55" spans="10:16" hidden="1">
      <c r="J55" t="s">
        <v>628</v>
      </c>
      <c r="K55" t="s">
        <v>591</v>
      </c>
      <c r="L55">
        <v>60</v>
      </c>
      <c r="M55" s="314">
        <v>46822</v>
      </c>
      <c r="N55" s="314">
        <v>46881</v>
      </c>
      <c r="O55" s="315">
        <v>8625000</v>
      </c>
      <c r="P55">
        <v>1</v>
      </c>
    </row>
    <row r="56" spans="10:16" hidden="1">
      <c r="J56" t="s">
        <v>629</v>
      </c>
      <c r="K56" t="s">
        <v>593</v>
      </c>
      <c r="L56">
        <v>60</v>
      </c>
      <c r="M56" s="314">
        <v>46882</v>
      </c>
      <c r="N56" s="314">
        <v>46941</v>
      </c>
      <c r="O56" s="315">
        <v>0</v>
      </c>
      <c r="P56">
        <v>1</v>
      </c>
    </row>
    <row r="57" spans="10:16">
      <c r="J57" t="s">
        <v>630</v>
      </c>
      <c r="L57">
        <v>828</v>
      </c>
      <c r="M57" s="314">
        <v>45383</v>
      </c>
      <c r="N57" s="314">
        <v>46210</v>
      </c>
      <c r="O57" s="315">
        <v>28750000</v>
      </c>
      <c r="P57">
        <v>8</v>
      </c>
    </row>
    <row r="58" spans="10:16" hidden="1">
      <c r="J58" t="s">
        <v>631</v>
      </c>
      <c r="K58" t="s">
        <v>579</v>
      </c>
      <c r="L58">
        <v>30</v>
      </c>
      <c r="M58" s="314">
        <v>45383</v>
      </c>
      <c r="N58" s="314">
        <v>45412</v>
      </c>
      <c r="O58" s="315">
        <v>0</v>
      </c>
      <c r="P58">
        <v>1</v>
      </c>
    </row>
    <row r="59" spans="10:16" hidden="1">
      <c r="J59" t="s">
        <v>632</v>
      </c>
      <c r="K59" t="s">
        <v>581</v>
      </c>
      <c r="L59">
        <v>31</v>
      </c>
      <c r="M59" s="314">
        <v>45413</v>
      </c>
      <c r="N59" s="314">
        <v>45443</v>
      </c>
      <c r="O59" s="315">
        <v>0</v>
      </c>
      <c r="P59">
        <v>1</v>
      </c>
    </row>
    <row r="60" spans="10:16" hidden="1">
      <c r="J60" t="s">
        <v>633</v>
      </c>
      <c r="K60" t="s">
        <v>583</v>
      </c>
      <c r="L60">
        <v>122</v>
      </c>
      <c r="M60" s="314">
        <v>45444</v>
      </c>
      <c r="N60" s="314">
        <v>45565</v>
      </c>
      <c r="O60" s="315">
        <v>0</v>
      </c>
      <c r="P60">
        <v>1</v>
      </c>
    </row>
    <row r="61" spans="10:16" hidden="1">
      <c r="J61" t="s">
        <v>634</v>
      </c>
      <c r="K61" t="s">
        <v>585</v>
      </c>
      <c r="L61">
        <v>92</v>
      </c>
      <c r="M61" s="314">
        <v>45566</v>
      </c>
      <c r="N61" s="314">
        <v>45657</v>
      </c>
      <c r="O61" s="315">
        <v>0</v>
      </c>
      <c r="P61">
        <v>1</v>
      </c>
    </row>
    <row r="62" spans="10:16" hidden="1">
      <c r="J62" t="s">
        <v>635</v>
      </c>
      <c r="K62" t="s">
        <v>587</v>
      </c>
      <c r="L62">
        <v>188</v>
      </c>
      <c r="M62" s="314">
        <v>45658</v>
      </c>
      <c r="N62" s="314">
        <v>45845</v>
      </c>
      <c r="O62" s="315">
        <v>0</v>
      </c>
      <c r="P62">
        <v>1</v>
      </c>
    </row>
    <row r="63" spans="10:16" hidden="1">
      <c r="J63" t="s">
        <v>636</v>
      </c>
      <c r="K63" t="s">
        <v>589</v>
      </c>
      <c r="L63">
        <v>305</v>
      </c>
      <c r="M63" s="314">
        <v>45846</v>
      </c>
      <c r="N63" s="314">
        <v>46150</v>
      </c>
      <c r="O63" s="315">
        <v>25875000</v>
      </c>
      <c r="P63">
        <v>1</v>
      </c>
    </row>
    <row r="64" spans="10:16" hidden="1">
      <c r="J64" t="s">
        <v>637</v>
      </c>
      <c r="K64" t="s">
        <v>591</v>
      </c>
      <c r="L64">
        <v>30</v>
      </c>
      <c r="M64" s="314">
        <v>46151</v>
      </c>
      <c r="N64" s="314">
        <v>46180</v>
      </c>
      <c r="O64" s="315">
        <v>2875000</v>
      </c>
      <c r="P64">
        <v>1</v>
      </c>
    </row>
    <row r="65" spans="10:16" hidden="1">
      <c r="J65" t="s">
        <v>638</v>
      </c>
      <c r="K65" t="s">
        <v>593</v>
      </c>
      <c r="L65">
        <v>30</v>
      </c>
      <c r="M65" s="314">
        <v>46181</v>
      </c>
      <c r="N65" s="314">
        <v>46210</v>
      </c>
      <c r="O65" s="315">
        <v>0</v>
      </c>
      <c r="P65">
        <v>1</v>
      </c>
    </row>
    <row r="66" spans="10:16">
      <c r="J66" t="s">
        <v>639</v>
      </c>
      <c r="L66">
        <v>1193</v>
      </c>
      <c r="M66" s="314">
        <v>45383</v>
      </c>
      <c r="N66" s="314">
        <v>46575</v>
      </c>
      <c r="O66" s="315">
        <v>27600000</v>
      </c>
      <c r="P66">
        <v>8</v>
      </c>
    </row>
    <row r="67" spans="10:16" hidden="1">
      <c r="J67" t="s">
        <v>640</v>
      </c>
      <c r="K67" t="s">
        <v>579</v>
      </c>
      <c r="L67">
        <v>30</v>
      </c>
      <c r="M67" s="314">
        <v>45383</v>
      </c>
      <c r="N67" s="314">
        <v>45412</v>
      </c>
      <c r="O67" s="315">
        <v>0</v>
      </c>
      <c r="P67">
        <v>1</v>
      </c>
    </row>
    <row r="68" spans="10:16" hidden="1">
      <c r="J68" t="s">
        <v>641</v>
      </c>
      <c r="K68" t="s">
        <v>581</v>
      </c>
      <c r="L68">
        <v>31</v>
      </c>
      <c r="M68" s="314">
        <v>45413</v>
      </c>
      <c r="N68" s="314">
        <v>45443</v>
      </c>
      <c r="O68" s="315">
        <v>0</v>
      </c>
      <c r="P68">
        <v>1</v>
      </c>
    </row>
    <row r="69" spans="10:16" hidden="1">
      <c r="J69" t="s">
        <v>642</v>
      </c>
      <c r="K69" t="s">
        <v>583</v>
      </c>
      <c r="L69">
        <v>122</v>
      </c>
      <c r="M69" s="314">
        <v>45444</v>
      </c>
      <c r="N69" s="314">
        <v>45565</v>
      </c>
      <c r="O69" s="315">
        <v>0</v>
      </c>
      <c r="P69">
        <v>1</v>
      </c>
    </row>
    <row r="70" spans="10:16" hidden="1">
      <c r="J70" t="s">
        <v>643</v>
      </c>
      <c r="K70" t="s">
        <v>585</v>
      </c>
      <c r="L70">
        <v>92</v>
      </c>
      <c r="M70" s="314">
        <v>45566</v>
      </c>
      <c r="N70" s="314">
        <v>45657</v>
      </c>
      <c r="O70" s="315">
        <v>0</v>
      </c>
      <c r="P70">
        <v>1</v>
      </c>
    </row>
    <row r="71" spans="10:16" hidden="1">
      <c r="J71" t="s">
        <v>644</v>
      </c>
      <c r="K71" t="s">
        <v>587</v>
      </c>
      <c r="L71">
        <v>188</v>
      </c>
      <c r="M71" s="314">
        <v>45658</v>
      </c>
      <c r="N71" s="314">
        <v>45845</v>
      </c>
      <c r="O71" s="315">
        <v>0</v>
      </c>
      <c r="P71">
        <v>1</v>
      </c>
    </row>
    <row r="72" spans="10:16" hidden="1">
      <c r="J72" t="s">
        <v>645</v>
      </c>
      <c r="K72" t="s">
        <v>589</v>
      </c>
      <c r="L72">
        <v>610</v>
      </c>
      <c r="M72" s="314">
        <v>45846</v>
      </c>
      <c r="N72" s="314">
        <v>46455</v>
      </c>
      <c r="O72" s="315">
        <v>24840000</v>
      </c>
      <c r="P72">
        <v>1</v>
      </c>
    </row>
    <row r="73" spans="10:16" hidden="1">
      <c r="J73" t="s">
        <v>646</v>
      </c>
      <c r="K73" t="s">
        <v>591</v>
      </c>
      <c r="L73">
        <v>60</v>
      </c>
      <c r="M73" s="314">
        <v>46456</v>
      </c>
      <c r="N73" s="314">
        <v>46515</v>
      </c>
      <c r="O73" s="315">
        <v>2760000</v>
      </c>
      <c r="P73">
        <v>1</v>
      </c>
    </row>
    <row r="74" spans="10:16" hidden="1">
      <c r="J74" t="s">
        <v>647</v>
      </c>
      <c r="K74" t="s">
        <v>593</v>
      </c>
      <c r="L74">
        <v>60</v>
      </c>
      <c r="M74" s="314">
        <v>46516</v>
      </c>
      <c r="N74" s="314">
        <v>46575</v>
      </c>
      <c r="O74" s="315">
        <v>0</v>
      </c>
      <c r="P74">
        <v>1</v>
      </c>
    </row>
    <row r="75" spans="10:16">
      <c r="J75" t="s">
        <v>648</v>
      </c>
      <c r="L75">
        <v>828</v>
      </c>
      <c r="M75" s="314">
        <v>45383</v>
      </c>
      <c r="N75" s="314">
        <v>46210</v>
      </c>
      <c r="O75" s="315">
        <v>10560120.529999999</v>
      </c>
      <c r="P75">
        <v>8</v>
      </c>
    </row>
    <row r="76" spans="10:16" hidden="1">
      <c r="J76" t="s">
        <v>649</v>
      </c>
      <c r="K76" t="s">
        <v>579</v>
      </c>
      <c r="L76">
        <v>30</v>
      </c>
      <c r="M76" s="314">
        <v>45383</v>
      </c>
      <c r="N76" s="314">
        <v>45412</v>
      </c>
      <c r="O76" s="315">
        <v>0</v>
      </c>
      <c r="P76">
        <v>1</v>
      </c>
    </row>
    <row r="77" spans="10:16" hidden="1">
      <c r="J77" t="s">
        <v>650</v>
      </c>
      <c r="K77" t="s">
        <v>581</v>
      </c>
      <c r="L77">
        <v>31</v>
      </c>
      <c r="M77" s="314">
        <v>45413</v>
      </c>
      <c r="N77" s="314">
        <v>45443</v>
      </c>
      <c r="O77" s="315">
        <v>0</v>
      </c>
      <c r="P77">
        <v>1</v>
      </c>
    </row>
    <row r="78" spans="10:16" hidden="1">
      <c r="J78" t="s">
        <v>651</v>
      </c>
      <c r="K78" t="s">
        <v>583</v>
      </c>
      <c r="L78">
        <v>122</v>
      </c>
      <c r="M78" s="314">
        <v>45444</v>
      </c>
      <c r="N78" s="314">
        <v>45565</v>
      </c>
      <c r="O78" s="315">
        <v>0</v>
      </c>
      <c r="P78">
        <v>1</v>
      </c>
    </row>
    <row r="79" spans="10:16" hidden="1">
      <c r="J79" t="s">
        <v>652</v>
      </c>
      <c r="K79" t="s">
        <v>585</v>
      </c>
      <c r="L79">
        <v>92</v>
      </c>
      <c r="M79" s="314">
        <v>45566</v>
      </c>
      <c r="N79" s="314">
        <v>45657</v>
      </c>
      <c r="O79" s="315">
        <v>0</v>
      </c>
      <c r="P79">
        <v>1</v>
      </c>
    </row>
    <row r="80" spans="10:16" hidden="1">
      <c r="J80" t="s">
        <v>653</v>
      </c>
      <c r="K80" t="s">
        <v>587</v>
      </c>
      <c r="L80">
        <v>188</v>
      </c>
      <c r="M80" s="314">
        <v>45658</v>
      </c>
      <c r="N80" s="314">
        <v>45845</v>
      </c>
      <c r="O80" s="315">
        <v>0</v>
      </c>
      <c r="P80">
        <v>1</v>
      </c>
    </row>
    <row r="81" spans="10:16" hidden="1">
      <c r="J81" t="s">
        <v>654</v>
      </c>
      <c r="K81" t="s">
        <v>589</v>
      </c>
      <c r="L81">
        <v>305</v>
      </c>
      <c r="M81" s="314">
        <v>45846</v>
      </c>
      <c r="N81" s="314">
        <v>46150</v>
      </c>
      <c r="O81" s="315">
        <v>9504108.4700000007</v>
      </c>
      <c r="P81">
        <v>1</v>
      </c>
    </row>
    <row r="82" spans="10:16" hidden="1">
      <c r="J82" t="s">
        <v>655</v>
      </c>
      <c r="K82" t="s">
        <v>591</v>
      </c>
      <c r="L82">
        <v>30</v>
      </c>
      <c r="M82" s="314">
        <v>46151</v>
      </c>
      <c r="N82" s="314">
        <v>46180</v>
      </c>
      <c r="O82" s="315">
        <v>1056012.05</v>
      </c>
      <c r="P82">
        <v>1</v>
      </c>
    </row>
    <row r="83" spans="10:16" hidden="1">
      <c r="J83" t="s">
        <v>656</v>
      </c>
      <c r="K83" t="s">
        <v>593</v>
      </c>
      <c r="L83">
        <v>30</v>
      </c>
      <c r="M83" s="314">
        <v>46181</v>
      </c>
      <c r="N83" s="314">
        <v>46210</v>
      </c>
      <c r="O83" s="315">
        <v>0</v>
      </c>
      <c r="P83">
        <v>1</v>
      </c>
    </row>
    <row r="84" spans="10:16">
      <c r="J84" t="s">
        <v>657</v>
      </c>
      <c r="L84">
        <v>1559</v>
      </c>
      <c r="M84" s="314">
        <v>45383</v>
      </c>
      <c r="N84" s="314">
        <v>46941</v>
      </c>
      <c r="O84" s="315">
        <v>202802500</v>
      </c>
      <c r="P84">
        <v>8</v>
      </c>
    </row>
    <row r="85" spans="10:16" hidden="1">
      <c r="J85" t="s">
        <v>658</v>
      </c>
      <c r="K85" t="s">
        <v>579</v>
      </c>
      <c r="L85">
        <v>30</v>
      </c>
      <c r="M85" s="314">
        <v>45383</v>
      </c>
      <c r="N85" s="314">
        <v>45412</v>
      </c>
      <c r="O85" s="315">
        <v>0</v>
      </c>
      <c r="P85">
        <v>1</v>
      </c>
    </row>
    <row r="86" spans="10:16" hidden="1">
      <c r="J86" t="s">
        <v>659</v>
      </c>
      <c r="K86" t="s">
        <v>581</v>
      </c>
      <c r="L86">
        <v>31</v>
      </c>
      <c r="M86" s="314">
        <v>45413</v>
      </c>
      <c r="N86" s="314">
        <v>45443</v>
      </c>
      <c r="O86" s="315">
        <v>0</v>
      </c>
      <c r="P86">
        <v>1</v>
      </c>
    </row>
    <row r="87" spans="10:16" hidden="1">
      <c r="J87" t="s">
        <v>660</v>
      </c>
      <c r="K87" t="s">
        <v>583</v>
      </c>
      <c r="L87">
        <v>122</v>
      </c>
      <c r="M87" s="314">
        <v>45444</v>
      </c>
      <c r="N87" s="314">
        <v>45565</v>
      </c>
      <c r="O87" s="315">
        <v>0</v>
      </c>
      <c r="P87">
        <v>1</v>
      </c>
    </row>
    <row r="88" spans="10:16" hidden="1">
      <c r="J88" t="s">
        <v>661</v>
      </c>
      <c r="K88" t="s">
        <v>585</v>
      </c>
      <c r="L88">
        <v>92</v>
      </c>
      <c r="M88" s="314">
        <v>45566</v>
      </c>
      <c r="N88" s="314">
        <v>45657</v>
      </c>
      <c r="O88" s="315">
        <v>0</v>
      </c>
      <c r="P88">
        <v>1</v>
      </c>
    </row>
    <row r="89" spans="10:16" hidden="1">
      <c r="J89" t="s">
        <v>662</v>
      </c>
      <c r="K89" t="s">
        <v>587</v>
      </c>
      <c r="L89">
        <v>188</v>
      </c>
      <c r="M89" s="314">
        <v>45658</v>
      </c>
      <c r="N89" s="314">
        <v>45845</v>
      </c>
      <c r="O89" s="315">
        <v>0</v>
      </c>
      <c r="P89">
        <v>1</v>
      </c>
    </row>
    <row r="90" spans="10:16" hidden="1">
      <c r="J90" t="s">
        <v>663</v>
      </c>
      <c r="K90" t="s">
        <v>589</v>
      </c>
      <c r="L90">
        <v>976</v>
      </c>
      <c r="M90" s="314">
        <v>45846</v>
      </c>
      <c r="N90" s="314">
        <v>46821</v>
      </c>
      <c r="O90" s="315">
        <v>182522250</v>
      </c>
      <c r="P90">
        <v>1</v>
      </c>
    </row>
    <row r="91" spans="10:16" hidden="1">
      <c r="J91" t="s">
        <v>664</v>
      </c>
      <c r="K91" t="s">
        <v>591</v>
      </c>
      <c r="L91">
        <v>60</v>
      </c>
      <c r="M91" s="314">
        <v>46822</v>
      </c>
      <c r="N91" s="314">
        <v>46881</v>
      </c>
      <c r="O91" s="315">
        <v>20280250</v>
      </c>
      <c r="P91">
        <v>1</v>
      </c>
    </row>
    <row r="92" spans="10:16" hidden="1">
      <c r="J92" t="s">
        <v>665</v>
      </c>
      <c r="K92" t="s">
        <v>593</v>
      </c>
      <c r="L92">
        <v>60</v>
      </c>
      <c r="M92" s="314">
        <v>46882</v>
      </c>
      <c r="N92" s="314">
        <v>46941</v>
      </c>
      <c r="O92" s="315">
        <v>0</v>
      </c>
      <c r="P92">
        <v>1</v>
      </c>
    </row>
    <row r="93" spans="10:16">
      <c r="J93" t="s">
        <v>666</v>
      </c>
      <c r="L93">
        <v>888</v>
      </c>
      <c r="M93" s="314">
        <v>45383</v>
      </c>
      <c r="N93" s="314">
        <v>46270</v>
      </c>
      <c r="O93" s="315">
        <v>14720000</v>
      </c>
      <c r="P93">
        <v>8</v>
      </c>
    </row>
    <row r="94" spans="10:16" hidden="1">
      <c r="J94" t="s">
        <v>667</v>
      </c>
      <c r="K94" t="s">
        <v>579</v>
      </c>
      <c r="L94">
        <v>30</v>
      </c>
      <c r="M94" s="314">
        <v>45383</v>
      </c>
      <c r="N94" s="314">
        <v>45412</v>
      </c>
      <c r="O94" s="315">
        <v>0</v>
      </c>
      <c r="P94">
        <v>1</v>
      </c>
    </row>
    <row r="95" spans="10:16" hidden="1">
      <c r="J95" t="s">
        <v>668</v>
      </c>
      <c r="K95" t="s">
        <v>581</v>
      </c>
      <c r="L95">
        <v>31</v>
      </c>
      <c r="M95" s="314">
        <v>45413</v>
      </c>
      <c r="N95" s="314">
        <v>45443</v>
      </c>
      <c r="O95" s="315">
        <v>0</v>
      </c>
      <c r="P95">
        <v>1</v>
      </c>
    </row>
    <row r="96" spans="10:16" hidden="1">
      <c r="J96" t="s">
        <v>669</v>
      </c>
      <c r="K96" t="s">
        <v>583</v>
      </c>
      <c r="L96">
        <v>122</v>
      </c>
      <c r="M96" s="314">
        <v>45444</v>
      </c>
      <c r="N96" s="314">
        <v>45565</v>
      </c>
      <c r="O96" s="315">
        <v>0</v>
      </c>
      <c r="P96">
        <v>1</v>
      </c>
    </row>
    <row r="97" spans="10:16" hidden="1">
      <c r="J97" t="s">
        <v>670</v>
      </c>
      <c r="K97" t="s">
        <v>585</v>
      </c>
      <c r="L97">
        <v>92</v>
      </c>
      <c r="M97" s="314">
        <v>45566</v>
      </c>
      <c r="N97" s="314">
        <v>45657</v>
      </c>
      <c r="O97" s="315">
        <v>0</v>
      </c>
      <c r="P97">
        <v>1</v>
      </c>
    </row>
    <row r="98" spans="10:16" hidden="1">
      <c r="J98" t="s">
        <v>671</v>
      </c>
      <c r="K98" t="s">
        <v>587</v>
      </c>
      <c r="L98">
        <v>188</v>
      </c>
      <c r="M98" s="314">
        <v>45658</v>
      </c>
      <c r="N98" s="314">
        <v>45845</v>
      </c>
      <c r="O98" s="315">
        <v>0</v>
      </c>
      <c r="P98">
        <v>1</v>
      </c>
    </row>
    <row r="99" spans="10:16" hidden="1">
      <c r="J99" t="s">
        <v>672</v>
      </c>
      <c r="K99" t="s">
        <v>589</v>
      </c>
      <c r="L99">
        <v>305</v>
      </c>
      <c r="M99" s="314">
        <v>45846</v>
      </c>
      <c r="N99" s="314">
        <v>46150</v>
      </c>
      <c r="O99" s="315">
        <v>13248000</v>
      </c>
      <c r="P99">
        <v>1</v>
      </c>
    </row>
    <row r="100" spans="10:16" hidden="1">
      <c r="J100" t="s">
        <v>673</v>
      </c>
      <c r="K100" t="s">
        <v>591</v>
      </c>
      <c r="L100">
        <v>60</v>
      </c>
      <c r="M100" s="314">
        <v>46151</v>
      </c>
      <c r="N100" s="314">
        <v>46210</v>
      </c>
      <c r="O100" s="315">
        <v>1472000</v>
      </c>
      <c r="P100">
        <v>1</v>
      </c>
    </row>
    <row r="101" spans="10:16" hidden="1">
      <c r="J101" t="s">
        <v>674</v>
      </c>
      <c r="K101" t="s">
        <v>593</v>
      </c>
      <c r="L101">
        <v>60</v>
      </c>
      <c r="M101" s="314">
        <v>46211</v>
      </c>
      <c r="N101" s="314">
        <v>46270</v>
      </c>
      <c r="O101" s="315">
        <v>0</v>
      </c>
      <c r="P101">
        <v>1</v>
      </c>
    </row>
    <row r="102" spans="10:16">
      <c r="J102" t="s">
        <v>675</v>
      </c>
      <c r="L102">
        <v>1193</v>
      </c>
      <c r="M102" s="314">
        <v>45383</v>
      </c>
      <c r="N102" s="314">
        <v>46575</v>
      </c>
      <c r="O102" s="315">
        <v>78200000</v>
      </c>
      <c r="P102">
        <v>8</v>
      </c>
    </row>
    <row r="103" spans="10:16" hidden="1">
      <c r="J103" t="s">
        <v>676</v>
      </c>
      <c r="K103" t="s">
        <v>579</v>
      </c>
      <c r="L103">
        <v>30</v>
      </c>
      <c r="M103" s="314">
        <v>45383</v>
      </c>
      <c r="N103" s="314">
        <v>45412</v>
      </c>
      <c r="O103" s="315">
        <v>0</v>
      </c>
      <c r="P103">
        <v>1</v>
      </c>
    </row>
    <row r="104" spans="10:16" hidden="1">
      <c r="J104" t="s">
        <v>677</v>
      </c>
      <c r="K104" t="s">
        <v>581</v>
      </c>
      <c r="L104">
        <v>31</v>
      </c>
      <c r="M104" s="314">
        <v>45413</v>
      </c>
      <c r="N104" s="314">
        <v>45443</v>
      </c>
      <c r="O104" s="315">
        <v>0</v>
      </c>
      <c r="P104">
        <v>1</v>
      </c>
    </row>
    <row r="105" spans="10:16" hidden="1">
      <c r="J105" t="s">
        <v>678</v>
      </c>
      <c r="K105" t="s">
        <v>583</v>
      </c>
      <c r="L105">
        <v>122</v>
      </c>
      <c r="M105" s="314">
        <v>45444</v>
      </c>
      <c r="N105" s="314">
        <v>45565</v>
      </c>
      <c r="O105" s="315">
        <v>0</v>
      </c>
      <c r="P105">
        <v>1</v>
      </c>
    </row>
    <row r="106" spans="10:16" hidden="1">
      <c r="J106" t="s">
        <v>679</v>
      </c>
      <c r="K106" t="s">
        <v>585</v>
      </c>
      <c r="L106">
        <v>92</v>
      </c>
      <c r="M106" s="314">
        <v>45566</v>
      </c>
      <c r="N106" s="314">
        <v>45657</v>
      </c>
      <c r="O106" s="315">
        <v>0</v>
      </c>
      <c r="P106">
        <v>1</v>
      </c>
    </row>
    <row r="107" spans="10:16" hidden="1">
      <c r="J107" t="s">
        <v>680</v>
      </c>
      <c r="K107" t="s">
        <v>587</v>
      </c>
      <c r="L107">
        <v>188</v>
      </c>
      <c r="M107" s="314">
        <v>45658</v>
      </c>
      <c r="N107" s="314">
        <v>45845</v>
      </c>
      <c r="O107" s="315">
        <v>0</v>
      </c>
      <c r="P107">
        <v>1</v>
      </c>
    </row>
    <row r="108" spans="10:16" hidden="1">
      <c r="J108" t="s">
        <v>681</v>
      </c>
      <c r="K108" t="s">
        <v>589</v>
      </c>
      <c r="L108">
        <v>610</v>
      </c>
      <c r="M108" s="314">
        <v>45846</v>
      </c>
      <c r="N108" s="314">
        <v>46455</v>
      </c>
      <c r="O108" s="315">
        <v>70380000</v>
      </c>
      <c r="P108">
        <v>1</v>
      </c>
    </row>
    <row r="109" spans="10:16" hidden="1">
      <c r="J109" t="s">
        <v>682</v>
      </c>
      <c r="K109" t="s">
        <v>591</v>
      </c>
      <c r="L109">
        <v>60</v>
      </c>
      <c r="M109" s="314">
        <v>46456</v>
      </c>
      <c r="N109" s="314">
        <v>46515</v>
      </c>
      <c r="O109" s="315">
        <v>7820000</v>
      </c>
      <c r="P109">
        <v>1</v>
      </c>
    </row>
    <row r="110" spans="10:16" hidden="1">
      <c r="J110" t="s">
        <v>683</v>
      </c>
      <c r="K110" t="s">
        <v>593</v>
      </c>
      <c r="L110">
        <v>60</v>
      </c>
      <c r="M110" s="314">
        <v>46516</v>
      </c>
      <c r="N110" s="314">
        <v>46575</v>
      </c>
      <c r="O110" s="315">
        <v>0</v>
      </c>
      <c r="P110">
        <v>1</v>
      </c>
    </row>
    <row r="111" spans="10:16">
      <c r="J111" t="s">
        <v>684</v>
      </c>
      <c r="L111">
        <v>1193</v>
      </c>
      <c r="M111" s="314">
        <v>45383</v>
      </c>
      <c r="N111" s="314">
        <v>46575</v>
      </c>
      <c r="O111" s="315">
        <v>51750000</v>
      </c>
      <c r="P111">
        <v>8</v>
      </c>
    </row>
    <row r="112" spans="10:16" hidden="1">
      <c r="J112" t="s">
        <v>685</v>
      </c>
      <c r="K112" t="s">
        <v>579</v>
      </c>
      <c r="L112">
        <v>30</v>
      </c>
      <c r="M112" s="314">
        <v>45383</v>
      </c>
      <c r="N112" s="314">
        <v>45412</v>
      </c>
      <c r="O112" s="315">
        <v>0</v>
      </c>
      <c r="P112">
        <v>1</v>
      </c>
    </row>
    <row r="113" spans="10:16" hidden="1">
      <c r="J113" t="s">
        <v>686</v>
      </c>
      <c r="K113" t="s">
        <v>581</v>
      </c>
      <c r="L113">
        <v>31</v>
      </c>
      <c r="M113" s="314">
        <v>45413</v>
      </c>
      <c r="N113" s="314">
        <v>45443</v>
      </c>
      <c r="O113" s="315">
        <v>0</v>
      </c>
      <c r="P113">
        <v>1</v>
      </c>
    </row>
    <row r="114" spans="10:16" hidden="1">
      <c r="J114" t="s">
        <v>687</v>
      </c>
      <c r="K114" t="s">
        <v>583</v>
      </c>
      <c r="L114">
        <v>122</v>
      </c>
      <c r="M114" s="314">
        <v>45444</v>
      </c>
      <c r="N114" s="314">
        <v>45565</v>
      </c>
      <c r="O114" s="315">
        <v>0</v>
      </c>
      <c r="P114">
        <v>1</v>
      </c>
    </row>
    <row r="115" spans="10:16" hidden="1">
      <c r="J115" t="s">
        <v>688</v>
      </c>
      <c r="K115" t="s">
        <v>585</v>
      </c>
      <c r="L115">
        <v>92</v>
      </c>
      <c r="M115" s="314">
        <v>45566</v>
      </c>
      <c r="N115" s="314">
        <v>45657</v>
      </c>
      <c r="O115" s="315">
        <v>0</v>
      </c>
      <c r="P115">
        <v>1</v>
      </c>
    </row>
    <row r="116" spans="10:16" hidden="1">
      <c r="J116" t="s">
        <v>689</v>
      </c>
      <c r="K116" t="s">
        <v>587</v>
      </c>
      <c r="L116">
        <v>188</v>
      </c>
      <c r="M116" s="314">
        <v>45658</v>
      </c>
      <c r="N116" s="314">
        <v>45845</v>
      </c>
      <c r="O116" s="315">
        <v>0</v>
      </c>
      <c r="P116">
        <v>1</v>
      </c>
    </row>
    <row r="117" spans="10:16" hidden="1">
      <c r="J117" t="s">
        <v>690</v>
      </c>
      <c r="K117" t="s">
        <v>589</v>
      </c>
      <c r="L117">
        <v>610</v>
      </c>
      <c r="M117" s="314">
        <v>45846</v>
      </c>
      <c r="N117" s="314">
        <v>46455</v>
      </c>
      <c r="O117" s="315">
        <v>46575000</v>
      </c>
      <c r="P117">
        <v>1</v>
      </c>
    </row>
    <row r="118" spans="10:16" hidden="1">
      <c r="J118" t="s">
        <v>691</v>
      </c>
      <c r="K118" t="s">
        <v>591</v>
      </c>
      <c r="L118">
        <v>60</v>
      </c>
      <c r="M118" s="314">
        <v>46456</v>
      </c>
      <c r="N118" s="314">
        <v>46515</v>
      </c>
      <c r="O118" s="315">
        <v>5175000</v>
      </c>
      <c r="P118">
        <v>1</v>
      </c>
    </row>
    <row r="119" spans="10:16" hidden="1">
      <c r="J119" t="s">
        <v>692</v>
      </c>
      <c r="K119" t="s">
        <v>593</v>
      </c>
      <c r="L119">
        <v>60</v>
      </c>
      <c r="M119" s="314">
        <v>46516</v>
      </c>
      <c r="N119" s="314">
        <v>46575</v>
      </c>
      <c r="O119" s="315">
        <v>0</v>
      </c>
      <c r="P119">
        <v>1</v>
      </c>
    </row>
    <row r="120" spans="10:16">
      <c r="J120" t="s">
        <v>693</v>
      </c>
      <c r="L120">
        <v>828</v>
      </c>
      <c r="M120" s="314">
        <v>45383</v>
      </c>
      <c r="N120" s="314">
        <v>46210</v>
      </c>
      <c r="O120" s="315">
        <v>4527527</v>
      </c>
      <c r="P120">
        <v>8</v>
      </c>
    </row>
    <row r="121" spans="10:16" hidden="1">
      <c r="J121" t="s">
        <v>694</v>
      </c>
      <c r="K121" t="s">
        <v>579</v>
      </c>
      <c r="L121">
        <v>30</v>
      </c>
      <c r="M121" s="314">
        <v>45383</v>
      </c>
      <c r="N121" s="314">
        <v>45412</v>
      </c>
      <c r="O121" s="315">
        <v>0</v>
      </c>
      <c r="P121">
        <v>1</v>
      </c>
    </row>
    <row r="122" spans="10:16" hidden="1">
      <c r="J122" t="s">
        <v>695</v>
      </c>
      <c r="K122" t="s">
        <v>581</v>
      </c>
      <c r="L122">
        <v>31</v>
      </c>
      <c r="M122" s="314">
        <v>45413</v>
      </c>
      <c r="N122" s="314">
        <v>45443</v>
      </c>
      <c r="O122" s="315">
        <v>0</v>
      </c>
      <c r="P122">
        <v>1</v>
      </c>
    </row>
    <row r="123" spans="10:16" hidden="1">
      <c r="J123" t="s">
        <v>696</v>
      </c>
      <c r="K123" t="s">
        <v>583</v>
      </c>
      <c r="L123">
        <v>122</v>
      </c>
      <c r="M123" s="314">
        <v>45444</v>
      </c>
      <c r="N123" s="314">
        <v>45565</v>
      </c>
      <c r="O123" s="315">
        <v>0</v>
      </c>
      <c r="P123">
        <v>1</v>
      </c>
    </row>
    <row r="124" spans="10:16" hidden="1">
      <c r="J124" t="s">
        <v>697</v>
      </c>
      <c r="K124" t="s">
        <v>585</v>
      </c>
      <c r="L124">
        <v>92</v>
      </c>
      <c r="M124" s="314">
        <v>45566</v>
      </c>
      <c r="N124" s="314">
        <v>45657</v>
      </c>
      <c r="O124" s="315">
        <v>0</v>
      </c>
      <c r="P124">
        <v>1</v>
      </c>
    </row>
    <row r="125" spans="10:16" hidden="1">
      <c r="J125" t="s">
        <v>698</v>
      </c>
      <c r="K125" t="s">
        <v>587</v>
      </c>
      <c r="L125">
        <v>188</v>
      </c>
      <c r="M125" s="314">
        <v>45658</v>
      </c>
      <c r="N125" s="314">
        <v>45845</v>
      </c>
      <c r="O125" s="315">
        <v>0</v>
      </c>
      <c r="P125">
        <v>1</v>
      </c>
    </row>
    <row r="126" spans="10:16" hidden="1">
      <c r="J126" t="s">
        <v>699</v>
      </c>
      <c r="K126" t="s">
        <v>589</v>
      </c>
      <c r="L126">
        <v>305</v>
      </c>
      <c r="M126" s="314">
        <v>45846</v>
      </c>
      <c r="N126" s="314">
        <v>46150</v>
      </c>
      <c r="O126" s="315">
        <v>4074774.3</v>
      </c>
      <c r="P126">
        <v>1</v>
      </c>
    </row>
    <row r="127" spans="10:16" hidden="1">
      <c r="J127" t="s">
        <v>700</v>
      </c>
      <c r="K127" t="s">
        <v>591</v>
      </c>
      <c r="L127">
        <v>30</v>
      </c>
      <c r="M127" s="314">
        <v>46151</v>
      </c>
      <c r="N127" s="314">
        <v>46180</v>
      </c>
      <c r="O127" s="315">
        <v>452752.7</v>
      </c>
      <c r="P127">
        <v>1</v>
      </c>
    </row>
    <row r="128" spans="10:16" hidden="1">
      <c r="J128" t="s">
        <v>701</v>
      </c>
      <c r="K128" t="s">
        <v>593</v>
      </c>
      <c r="L128">
        <v>30</v>
      </c>
      <c r="M128" s="314">
        <v>46181</v>
      </c>
      <c r="N128" s="314">
        <v>46210</v>
      </c>
      <c r="O128" s="315">
        <v>0</v>
      </c>
      <c r="P128">
        <v>1</v>
      </c>
    </row>
    <row r="129" spans="10:16">
      <c r="J129" t="s">
        <v>702</v>
      </c>
      <c r="L129">
        <v>1012</v>
      </c>
      <c r="M129" s="314">
        <v>45383</v>
      </c>
      <c r="N129" s="314">
        <v>46394</v>
      </c>
      <c r="O129" s="315">
        <v>15525000</v>
      </c>
      <c r="P129">
        <v>8</v>
      </c>
    </row>
    <row r="130" spans="10:16" hidden="1">
      <c r="J130" t="s">
        <v>703</v>
      </c>
      <c r="K130" t="s">
        <v>579</v>
      </c>
      <c r="L130">
        <v>30</v>
      </c>
      <c r="M130" s="314">
        <v>45383</v>
      </c>
      <c r="N130" s="314">
        <v>45412</v>
      </c>
      <c r="O130" s="315">
        <v>0</v>
      </c>
      <c r="P130">
        <v>1</v>
      </c>
    </row>
    <row r="131" spans="10:16" hidden="1">
      <c r="J131" t="s">
        <v>704</v>
      </c>
      <c r="K131" t="s">
        <v>581</v>
      </c>
      <c r="L131">
        <v>31</v>
      </c>
      <c r="M131" s="314">
        <v>45413</v>
      </c>
      <c r="N131" s="314">
        <v>45443</v>
      </c>
      <c r="O131" s="315">
        <v>0</v>
      </c>
      <c r="P131">
        <v>1</v>
      </c>
    </row>
    <row r="132" spans="10:16" hidden="1">
      <c r="J132" t="s">
        <v>705</v>
      </c>
      <c r="K132" t="s">
        <v>583</v>
      </c>
      <c r="L132">
        <v>122</v>
      </c>
      <c r="M132" s="314">
        <v>45444</v>
      </c>
      <c r="N132" s="314">
        <v>45565</v>
      </c>
      <c r="O132" s="315">
        <v>0</v>
      </c>
      <c r="P132">
        <v>1</v>
      </c>
    </row>
    <row r="133" spans="10:16" hidden="1">
      <c r="J133" t="s">
        <v>706</v>
      </c>
      <c r="K133" t="s">
        <v>585</v>
      </c>
      <c r="L133">
        <v>92</v>
      </c>
      <c r="M133" s="314">
        <v>45566</v>
      </c>
      <c r="N133" s="314">
        <v>45657</v>
      </c>
      <c r="O133" s="315">
        <v>0</v>
      </c>
      <c r="P133">
        <v>1</v>
      </c>
    </row>
    <row r="134" spans="10:16" hidden="1">
      <c r="J134" t="s">
        <v>707</v>
      </c>
      <c r="K134" t="s">
        <v>587</v>
      </c>
      <c r="L134">
        <v>188</v>
      </c>
      <c r="M134" s="314">
        <v>45658</v>
      </c>
      <c r="N134" s="314">
        <v>45845</v>
      </c>
      <c r="O134" s="315">
        <v>0</v>
      </c>
      <c r="P134">
        <v>1</v>
      </c>
    </row>
    <row r="135" spans="10:16" hidden="1">
      <c r="J135" t="s">
        <v>708</v>
      </c>
      <c r="K135" t="s">
        <v>589</v>
      </c>
      <c r="L135">
        <v>459</v>
      </c>
      <c r="M135" s="314">
        <v>45846</v>
      </c>
      <c r="N135" s="314">
        <v>46304</v>
      </c>
      <c r="O135" s="315">
        <v>13972500</v>
      </c>
      <c r="P135">
        <v>1</v>
      </c>
    </row>
    <row r="136" spans="10:16" hidden="1">
      <c r="J136" t="s">
        <v>709</v>
      </c>
      <c r="K136" t="s">
        <v>591</v>
      </c>
      <c r="L136">
        <v>45</v>
      </c>
      <c r="M136" s="314">
        <v>46305</v>
      </c>
      <c r="N136" s="314">
        <v>46349</v>
      </c>
      <c r="O136" s="315">
        <v>1552500</v>
      </c>
      <c r="P136">
        <v>1</v>
      </c>
    </row>
    <row r="137" spans="10:16" hidden="1">
      <c r="J137" t="s">
        <v>710</v>
      </c>
      <c r="K137" t="s">
        <v>593</v>
      </c>
      <c r="L137">
        <v>45</v>
      </c>
      <c r="M137" s="314">
        <v>46350</v>
      </c>
      <c r="N137" s="314">
        <v>46394</v>
      </c>
      <c r="O137" s="315">
        <v>0</v>
      </c>
      <c r="P137">
        <v>1</v>
      </c>
    </row>
    <row r="138" spans="10:16">
      <c r="J138" t="s">
        <v>711</v>
      </c>
      <c r="L138">
        <v>1559</v>
      </c>
      <c r="M138" s="314">
        <v>45383</v>
      </c>
      <c r="N138" s="314">
        <v>46941</v>
      </c>
      <c r="O138" s="315">
        <v>59800000</v>
      </c>
      <c r="P138">
        <v>8</v>
      </c>
    </row>
    <row r="139" spans="10:16" hidden="1">
      <c r="J139" t="s">
        <v>712</v>
      </c>
      <c r="K139" t="s">
        <v>579</v>
      </c>
      <c r="L139">
        <v>30</v>
      </c>
      <c r="M139" s="314">
        <v>45383</v>
      </c>
      <c r="N139" s="314">
        <v>45412</v>
      </c>
      <c r="O139" s="315">
        <v>0</v>
      </c>
      <c r="P139">
        <v>1</v>
      </c>
    </row>
    <row r="140" spans="10:16" hidden="1">
      <c r="J140" t="s">
        <v>713</v>
      </c>
      <c r="K140" t="s">
        <v>581</v>
      </c>
      <c r="L140">
        <v>31</v>
      </c>
      <c r="M140" s="314">
        <v>45413</v>
      </c>
      <c r="N140" s="314">
        <v>45443</v>
      </c>
      <c r="O140" s="315">
        <v>0</v>
      </c>
      <c r="P140">
        <v>1</v>
      </c>
    </row>
    <row r="141" spans="10:16" hidden="1">
      <c r="J141" t="s">
        <v>714</v>
      </c>
      <c r="K141" t="s">
        <v>583</v>
      </c>
      <c r="L141">
        <v>122</v>
      </c>
      <c r="M141" s="314">
        <v>45444</v>
      </c>
      <c r="N141" s="314">
        <v>45565</v>
      </c>
      <c r="O141" s="315">
        <v>0</v>
      </c>
      <c r="P141">
        <v>1</v>
      </c>
    </row>
    <row r="142" spans="10:16" hidden="1">
      <c r="J142" t="s">
        <v>715</v>
      </c>
      <c r="K142" t="s">
        <v>585</v>
      </c>
      <c r="L142">
        <v>92</v>
      </c>
      <c r="M142" s="314">
        <v>45566</v>
      </c>
      <c r="N142" s="314">
        <v>45657</v>
      </c>
      <c r="O142" s="315">
        <v>0</v>
      </c>
      <c r="P142">
        <v>1</v>
      </c>
    </row>
    <row r="143" spans="10:16" hidden="1">
      <c r="J143" t="s">
        <v>716</v>
      </c>
      <c r="K143" t="s">
        <v>587</v>
      </c>
      <c r="L143">
        <v>188</v>
      </c>
      <c r="M143" s="314">
        <v>45658</v>
      </c>
      <c r="N143" s="314">
        <v>45845</v>
      </c>
      <c r="O143" s="315">
        <v>0</v>
      </c>
      <c r="P143">
        <v>1</v>
      </c>
    </row>
    <row r="144" spans="10:16" hidden="1">
      <c r="J144" t="s">
        <v>717</v>
      </c>
      <c r="K144" t="s">
        <v>589</v>
      </c>
      <c r="L144">
        <v>976</v>
      </c>
      <c r="M144" s="314">
        <v>45846</v>
      </c>
      <c r="N144" s="314">
        <v>46821</v>
      </c>
      <c r="O144" s="315">
        <v>53820000</v>
      </c>
      <c r="P144">
        <v>1</v>
      </c>
    </row>
    <row r="145" spans="10:16" hidden="1">
      <c r="J145" t="s">
        <v>718</v>
      </c>
      <c r="K145" t="s">
        <v>591</v>
      </c>
      <c r="L145">
        <v>60</v>
      </c>
      <c r="M145" s="314">
        <v>46822</v>
      </c>
      <c r="N145" s="314">
        <v>46881</v>
      </c>
      <c r="O145" s="315">
        <v>5980000</v>
      </c>
      <c r="P145">
        <v>1</v>
      </c>
    </row>
    <row r="146" spans="10:16" hidden="1">
      <c r="J146" t="s">
        <v>719</v>
      </c>
      <c r="K146" t="s">
        <v>593</v>
      </c>
      <c r="L146">
        <v>60</v>
      </c>
      <c r="M146" s="314">
        <v>46882</v>
      </c>
      <c r="N146" s="314">
        <v>46941</v>
      </c>
      <c r="O146" s="315">
        <v>0</v>
      </c>
      <c r="P146">
        <v>1</v>
      </c>
    </row>
    <row r="147" spans="10:16">
      <c r="J147" t="s">
        <v>720</v>
      </c>
      <c r="L147">
        <v>828</v>
      </c>
      <c r="M147" s="314">
        <v>45383</v>
      </c>
      <c r="N147" s="314">
        <v>46210</v>
      </c>
      <c r="O147" s="315">
        <v>12650000</v>
      </c>
      <c r="P147">
        <v>8</v>
      </c>
    </row>
    <row r="148" spans="10:16" hidden="1">
      <c r="J148" t="s">
        <v>721</v>
      </c>
      <c r="K148" t="s">
        <v>579</v>
      </c>
      <c r="L148">
        <v>30</v>
      </c>
      <c r="M148" s="314">
        <v>45383</v>
      </c>
      <c r="N148" s="314">
        <v>45412</v>
      </c>
      <c r="O148" s="315">
        <v>0</v>
      </c>
      <c r="P148">
        <v>1</v>
      </c>
    </row>
    <row r="149" spans="10:16" hidden="1">
      <c r="J149" t="s">
        <v>722</v>
      </c>
      <c r="K149" t="s">
        <v>581</v>
      </c>
      <c r="L149">
        <v>31</v>
      </c>
      <c r="M149" s="314">
        <v>45413</v>
      </c>
      <c r="N149" s="314">
        <v>45443</v>
      </c>
      <c r="O149" s="315">
        <v>0</v>
      </c>
      <c r="P149">
        <v>1</v>
      </c>
    </row>
    <row r="150" spans="10:16" hidden="1">
      <c r="J150" t="s">
        <v>723</v>
      </c>
      <c r="K150" t="s">
        <v>583</v>
      </c>
      <c r="L150">
        <v>122</v>
      </c>
      <c r="M150" s="314">
        <v>45444</v>
      </c>
      <c r="N150" s="314">
        <v>45565</v>
      </c>
      <c r="O150" s="315">
        <v>0</v>
      </c>
      <c r="P150">
        <v>1</v>
      </c>
    </row>
    <row r="151" spans="10:16" hidden="1">
      <c r="J151" t="s">
        <v>724</v>
      </c>
      <c r="K151" t="s">
        <v>585</v>
      </c>
      <c r="L151">
        <v>92</v>
      </c>
      <c r="M151" s="314">
        <v>45566</v>
      </c>
      <c r="N151" s="314">
        <v>45657</v>
      </c>
      <c r="O151" s="315">
        <v>0</v>
      </c>
      <c r="P151">
        <v>1</v>
      </c>
    </row>
    <row r="152" spans="10:16" hidden="1">
      <c r="J152" t="s">
        <v>725</v>
      </c>
      <c r="K152" t="s">
        <v>587</v>
      </c>
      <c r="L152">
        <v>188</v>
      </c>
      <c r="M152" s="314">
        <v>45658</v>
      </c>
      <c r="N152" s="314">
        <v>45845</v>
      </c>
      <c r="O152" s="315">
        <v>0</v>
      </c>
      <c r="P152">
        <v>1</v>
      </c>
    </row>
    <row r="153" spans="10:16" hidden="1">
      <c r="J153" t="s">
        <v>726</v>
      </c>
      <c r="K153" t="s">
        <v>589</v>
      </c>
      <c r="L153">
        <v>305</v>
      </c>
      <c r="M153" s="314">
        <v>45846</v>
      </c>
      <c r="N153" s="314">
        <v>46150</v>
      </c>
      <c r="O153" s="315">
        <v>11385000</v>
      </c>
      <c r="P153">
        <v>1</v>
      </c>
    </row>
    <row r="154" spans="10:16" hidden="1">
      <c r="J154" t="s">
        <v>727</v>
      </c>
      <c r="K154" t="s">
        <v>591</v>
      </c>
      <c r="L154">
        <v>30</v>
      </c>
      <c r="M154" s="314">
        <v>46151</v>
      </c>
      <c r="N154" s="314">
        <v>46180</v>
      </c>
      <c r="O154" s="315">
        <v>1265000</v>
      </c>
      <c r="P154">
        <v>1</v>
      </c>
    </row>
    <row r="155" spans="10:16" hidden="1">
      <c r="J155" t="s">
        <v>728</v>
      </c>
      <c r="K155" t="s">
        <v>593</v>
      </c>
      <c r="L155">
        <v>30</v>
      </c>
      <c r="M155" s="314">
        <v>46181</v>
      </c>
      <c r="N155" s="314">
        <v>46210</v>
      </c>
      <c r="O155" s="315">
        <v>0</v>
      </c>
      <c r="P155">
        <v>1</v>
      </c>
    </row>
    <row r="156" spans="10:16">
      <c r="J156" t="s">
        <v>729</v>
      </c>
      <c r="L156">
        <v>1010</v>
      </c>
      <c r="M156" s="314">
        <v>45870</v>
      </c>
      <c r="N156" s="314">
        <v>46879</v>
      </c>
      <c r="O156" s="315">
        <v>16100000</v>
      </c>
      <c r="P156">
        <v>5</v>
      </c>
    </row>
    <row r="157" spans="10:16" hidden="1">
      <c r="J157" t="s">
        <v>730</v>
      </c>
      <c r="K157" t="s">
        <v>585</v>
      </c>
      <c r="L157">
        <v>92</v>
      </c>
      <c r="M157" s="314">
        <v>45870</v>
      </c>
      <c r="N157" s="314">
        <v>45961</v>
      </c>
      <c r="O157" s="315">
        <v>0</v>
      </c>
      <c r="P157">
        <v>1</v>
      </c>
    </row>
    <row r="158" spans="10:16" hidden="1">
      <c r="J158" t="s">
        <v>731</v>
      </c>
      <c r="K158" t="s">
        <v>587</v>
      </c>
      <c r="L158">
        <v>188</v>
      </c>
      <c r="M158" s="314">
        <v>45962</v>
      </c>
      <c r="N158" s="314">
        <v>46149</v>
      </c>
      <c r="O158" s="315">
        <v>0</v>
      </c>
      <c r="P158">
        <v>1</v>
      </c>
    </row>
    <row r="159" spans="10:16" hidden="1">
      <c r="J159" t="s">
        <v>732</v>
      </c>
      <c r="K159" t="s">
        <v>589</v>
      </c>
      <c r="L159">
        <v>610</v>
      </c>
      <c r="M159" s="314">
        <v>46150</v>
      </c>
      <c r="N159" s="314">
        <v>46759</v>
      </c>
      <c r="O159" s="315">
        <v>14490000</v>
      </c>
      <c r="P159">
        <v>1</v>
      </c>
    </row>
    <row r="160" spans="10:16" hidden="1">
      <c r="J160" t="s">
        <v>733</v>
      </c>
      <c r="K160" t="s">
        <v>591</v>
      </c>
      <c r="L160">
        <v>60</v>
      </c>
      <c r="M160" s="314">
        <v>46760</v>
      </c>
      <c r="N160" s="314">
        <v>46819</v>
      </c>
      <c r="O160" s="315">
        <v>1610000</v>
      </c>
      <c r="P160">
        <v>1</v>
      </c>
    </row>
    <row r="161" spans="10:16" hidden="1">
      <c r="J161" t="s">
        <v>734</v>
      </c>
      <c r="K161" t="s">
        <v>593</v>
      </c>
      <c r="L161">
        <v>60</v>
      </c>
      <c r="M161" s="314">
        <v>46820</v>
      </c>
      <c r="N161" s="314">
        <v>46879</v>
      </c>
      <c r="O161" s="315">
        <v>0</v>
      </c>
      <c r="P161">
        <v>1</v>
      </c>
    </row>
    <row r="162" spans="10:16">
      <c r="J162" t="s">
        <v>735</v>
      </c>
      <c r="L162">
        <v>465</v>
      </c>
      <c r="M162" s="314">
        <v>45870</v>
      </c>
      <c r="N162" s="314">
        <v>46334</v>
      </c>
      <c r="O162" s="315">
        <v>9200000</v>
      </c>
      <c r="P162">
        <v>5</v>
      </c>
    </row>
    <row r="163" spans="10:16" hidden="1">
      <c r="J163" t="s">
        <v>736</v>
      </c>
      <c r="K163" t="s">
        <v>585</v>
      </c>
      <c r="L163">
        <v>92</v>
      </c>
      <c r="M163" s="314">
        <v>45870</v>
      </c>
      <c r="N163" s="314">
        <v>45961</v>
      </c>
      <c r="O163" s="315">
        <v>0</v>
      </c>
      <c r="P163">
        <v>1</v>
      </c>
    </row>
    <row r="164" spans="10:16" hidden="1">
      <c r="J164" t="s">
        <v>737</v>
      </c>
      <c r="K164" t="s">
        <v>587</v>
      </c>
      <c r="L164">
        <v>188</v>
      </c>
      <c r="M164" s="314">
        <v>45962</v>
      </c>
      <c r="N164" s="314">
        <v>46149</v>
      </c>
      <c r="O164" s="315">
        <v>0</v>
      </c>
      <c r="P164">
        <v>1</v>
      </c>
    </row>
    <row r="165" spans="10:16" hidden="1">
      <c r="J165" t="s">
        <v>738</v>
      </c>
      <c r="K165" t="s">
        <v>589</v>
      </c>
      <c r="L165">
        <v>155</v>
      </c>
      <c r="M165" s="314">
        <v>46150</v>
      </c>
      <c r="N165" s="314">
        <v>46304</v>
      </c>
      <c r="O165" s="315">
        <v>8280000</v>
      </c>
      <c r="P165">
        <v>1</v>
      </c>
    </row>
    <row r="166" spans="10:16" hidden="1">
      <c r="J166" t="s">
        <v>739</v>
      </c>
      <c r="K166" t="s">
        <v>591</v>
      </c>
      <c r="L166">
        <v>15</v>
      </c>
      <c r="M166" s="314">
        <v>46305</v>
      </c>
      <c r="N166" s="314">
        <v>46319</v>
      </c>
      <c r="O166" s="315">
        <v>920000</v>
      </c>
      <c r="P166">
        <v>1</v>
      </c>
    </row>
    <row r="167" spans="10:16" hidden="1">
      <c r="J167" t="s">
        <v>740</v>
      </c>
      <c r="K167" t="s">
        <v>593</v>
      </c>
      <c r="L167">
        <v>15</v>
      </c>
      <c r="M167" s="314">
        <v>46320</v>
      </c>
      <c r="N167" s="314">
        <v>46334</v>
      </c>
      <c r="O167" s="315">
        <v>0</v>
      </c>
      <c r="P167">
        <v>1</v>
      </c>
    </row>
    <row r="168" spans="10:16">
      <c r="J168" t="s">
        <v>741</v>
      </c>
      <c r="L168">
        <v>643</v>
      </c>
      <c r="M168" s="314">
        <v>45870</v>
      </c>
      <c r="N168" s="314">
        <v>46512</v>
      </c>
      <c r="O168" s="315">
        <v>18975000</v>
      </c>
      <c r="P168">
        <v>5</v>
      </c>
    </row>
    <row r="169" spans="10:16" hidden="1">
      <c r="J169" t="s">
        <v>742</v>
      </c>
      <c r="K169" t="s">
        <v>585</v>
      </c>
      <c r="L169">
        <v>90</v>
      </c>
      <c r="M169" s="314">
        <v>45870</v>
      </c>
      <c r="N169" s="314">
        <v>45959</v>
      </c>
      <c r="O169" s="315">
        <v>0</v>
      </c>
      <c r="P169">
        <v>1</v>
      </c>
    </row>
    <row r="170" spans="10:16" hidden="1">
      <c r="J170" t="s">
        <v>743</v>
      </c>
      <c r="K170" t="s">
        <v>587</v>
      </c>
      <c r="L170">
        <v>188</v>
      </c>
      <c r="M170" s="314">
        <v>45960</v>
      </c>
      <c r="N170" s="314">
        <v>46147</v>
      </c>
      <c r="O170" s="315">
        <v>0</v>
      </c>
      <c r="P170">
        <v>1</v>
      </c>
    </row>
    <row r="171" spans="10:16" hidden="1">
      <c r="J171" t="s">
        <v>744</v>
      </c>
      <c r="K171" t="s">
        <v>589</v>
      </c>
      <c r="L171">
        <v>305</v>
      </c>
      <c r="M171" s="314">
        <v>46148</v>
      </c>
      <c r="N171" s="314">
        <v>46452</v>
      </c>
      <c r="O171" s="315">
        <v>17077500</v>
      </c>
      <c r="P171">
        <v>1</v>
      </c>
    </row>
    <row r="172" spans="10:16" hidden="1">
      <c r="J172" t="s">
        <v>745</v>
      </c>
      <c r="K172" t="s">
        <v>591</v>
      </c>
      <c r="L172">
        <v>30</v>
      </c>
      <c r="M172" s="314">
        <v>46453</v>
      </c>
      <c r="N172" s="314">
        <v>46482</v>
      </c>
      <c r="O172" s="315">
        <v>1897500</v>
      </c>
      <c r="P172">
        <v>1</v>
      </c>
    </row>
    <row r="173" spans="10:16" hidden="1">
      <c r="J173" t="s">
        <v>746</v>
      </c>
      <c r="K173" t="s">
        <v>593</v>
      </c>
      <c r="L173">
        <v>30</v>
      </c>
      <c r="M173" s="314">
        <v>46483</v>
      </c>
      <c r="N173" s="314">
        <v>46512</v>
      </c>
      <c r="O173" s="315">
        <v>0</v>
      </c>
      <c r="P173">
        <v>1</v>
      </c>
    </row>
    <row r="174" spans="10:16">
      <c r="J174" t="s">
        <v>747</v>
      </c>
      <c r="L174">
        <v>553</v>
      </c>
      <c r="M174" s="314">
        <v>45954</v>
      </c>
      <c r="N174" s="314">
        <v>46506</v>
      </c>
      <c r="O174" s="315">
        <v>16861530</v>
      </c>
      <c r="P174">
        <v>4</v>
      </c>
    </row>
    <row r="175" spans="10:16" hidden="1">
      <c r="J175" t="s">
        <v>748</v>
      </c>
      <c r="K175" t="s">
        <v>587</v>
      </c>
      <c r="L175">
        <v>188</v>
      </c>
      <c r="M175" s="314">
        <v>45954</v>
      </c>
      <c r="N175" s="314">
        <v>46141</v>
      </c>
      <c r="O175" s="315">
        <v>0</v>
      </c>
      <c r="P175">
        <v>1</v>
      </c>
    </row>
    <row r="176" spans="10:16" hidden="1">
      <c r="J176" t="s">
        <v>749</v>
      </c>
      <c r="K176" t="s">
        <v>589</v>
      </c>
      <c r="L176">
        <v>305</v>
      </c>
      <c r="M176" s="314">
        <v>46142</v>
      </c>
      <c r="N176" s="314">
        <v>46446</v>
      </c>
      <c r="O176" s="315">
        <v>15175377</v>
      </c>
      <c r="P176">
        <v>1</v>
      </c>
    </row>
    <row r="177" spans="10:16" hidden="1">
      <c r="J177" t="s">
        <v>750</v>
      </c>
      <c r="K177" t="s">
        <v>591</v>
      </c>
      <c r="L177">
        <v>30</v>
      </c>
      <c r="M177" s="314">
        <v>46447</v>
      </c>
      <c r="N177" s="314">
        <v>46476</v>
      </c>
      <c r="O177" s="315">
        <v>1686153</v>
      </c>
      <c r="P177">
        <v>1</v>
      </c>
    </row>
    <row r="178" spans="10:16" hidden="1">
      <c r="J178" t="s">
        <v>751</v>
      </c>
      <c r="K178" t="s">
        <v>593</v>
      </c>
      <c r="L178">
        <v>30</v>
      </c>
      <c r="M178" s="314">
        <v>46477</v>
      </c>
      <c r="N178" s="314">
        <v>46506</v>
      </c>
      <c r="O178" s="315">
        <v>0</v>
      </c>
      <c r="P178">
        <v>1</v>
      </c>
    </row>
    <row r="179" spans="10:16">
      <c r="J179" t="s">
        <v>752</v>
      </c>
      <c r="L179">
        <v>733</v>
      </c>
      <c r="M179" s="314">
        <v>45767</v>
      </c>
      <c r="N179" s="314">
        <v>46499</v>
      </c>
      <c r="O179" s="315">
        <v>14564899.5</v>
      </c>
      <c r="P179">
        <v>4</v>
      </c>
    </row>
    <row r="180" spans="10:16" hidden="1">
      <c r="J180" t="s">
        <v>753</v>
      </c>
      <c r="K180" t="s">
        <v>587</v>
      </c>
      <c r="L180">
        <v>188</v>
      </c>
      <c r="M180" s="314">
        <v>45767</v>
      </c>
      <c r="N180" s="314">
        <v>45954</v>
      </c>
      <c r="O180" s="315">
        <v>0</v>
      </c>
      <c r="P180">
        <v>1</v>
      </c>
    </row>
    <row r="181" spans="10:16" hidden="1">
      <c r="J181" t="s">
        <v>754</v>
      </c>
      <c r="K181" t="s">
        <v>589</v>
      </c>
      <c r="L181">
        <v>455</v>
      </c>
      <c r="M181" s="314">
        <v>45955</v>
      </c>
      <c r="N181" s="314">
        <v>46409</v>
      </c>
      <c r="O181" s="315">
        <v>13108409.550000001</v>
      </c>
      <c r="P181">
        <v>1</v>
      </c>
    </row>
    <row r="182" spans="10:16" hidden="1">
      <c r="J182" t="s">
        <v>755</v>
      </c>
      <c r="K182" t="s">
        <v>591</v>
      </c>
      <c r="L182">
        <v>45</v>
      </c>
      <c r="M182" s="314">
        <v>46410</v>
      </c>
      <c r="N182" s="314">
        <v>46454</v>
      </c>
      <c r="O182" s="315">
        <v>1456489.95</v>
      </c>
      <c r="P182">
        <v>1</v>
      </c>
    </row>
    <row r="183" spans="10:16" hidden="1">
      <c r="J183" t="s">
        <v>756</v>
      </c>
      <c r="K183" t="s">
        <v>593</v>
      </c>
      <c r="L183">
        <v>45</v>
      </c>
      <c r="M183" s="314">
        <v>46455</v>
      </c>
      <c r="N183" s="314">
        <v>46499</v>
      </c>
      <c r="O183" s="315">
        <v>0</v>
      </c>
      <c r="P183">
        <v>1</v>
      </c>
    </row>
    <row r="184" spans="10:16">
      <c r="J184" t="s">
        <v>757</v>
      </c>
      <c r="L184">
        <v>1284</v>
      </c>
      <c r="M184" s="314">
        <v>45825</v>
      </c>
      <c r="N184" s="314">
        <v>47108</v>
      </c>
      <c r="O184" s="315">
        <v>181121730.55000001</v>
      </c>
      <c r="P184">
        <v>4</v>
      </c>
    </row>
    <row r="185" spans="10:16" hidden="1">
      <c r="J185" t="s">
        <v>758</v>
      </c>
      <c r="K185" t="s">
        <v>587</v>
      </c>
      <c r="L185">
        <v>188</v>
      </c>
      <c r="M185" s="314">
        <v>45825</v>
      </c>
      <c r="N185" s="314">
        <v>46012</v>
      </c>
      <c r="O185" s="315">
        <v>0</v>
      </c>
      <c r="P185">
        <v>1</v>
      </c>
    </row>
    <row r="186" spans="10:16" hidden="1">
      <c r="J186" t="s">
        <v>759</v>
      </c>
      <c r="K186" t="s">
        <v>589</v>
      </c>
      <c r="L186">
        <v>976</v>
      </c>
      <c r="M186" s="314">
        <v>46013</v>
      </c>
      <c r="N186" s="314">
        <v>46988</v>
      </c>
      <c r="O186" s="315">
        <v>163009557.5</v>
      </c>
      <c r="P186">
        <v>1</v>
      </c>
    </row>
    <row r="187" spans="10:16" hidden="1">
      <c r="J187" t="s">
        <v>760</v>
      </c>
      <c r="K187" t="s">
        <v>591</v>
      </c>
      <c r="L187">
        <v>60</v>
      </c>
      <c r="M187" s="314">
        <v>46989</v>
      </c>
      <c r="N187" s="314">
        <v>47048</v>
      </c>
      <c r="O187" s="315">
        <v>18112173.059999999</v>
      </c>
      <c r="P187">
        <v>1</v>
      </c>
    </row>
    <row r="188" spans="10:16" hidden="1">
      <c r="J188" t="s">
        <v>761</v>
      </c>
      <c r="K188" t="s">
        <v>593</v>
      </c>
      <c r="L188">
        <v>60</v>
      </c>
      <c r="M188" s="314">
        <v>47049</v>
      </c>
      <c r="N188" s="314">
        <v>47108</v>
      </c>
      <c r="O188" s="315">
        <v>0</v>
      </c>
      <c r="P188">
        <v>1</v>
      </c>
    </row>
    <row r="189" spans="10:16">
      <c r="J189" t="s">
        <v>762</v>
      </c>
      <c r="L189">
        <v>1284</v>
      </c>
      <c r="M189" s="314">
        <v>45628</v>
      </c>
      <c r="N189" s="314">
        <v>46911</v>
      </c>
      <c r="O189" s="315">
        <v>143750000</v>
      </c>
      <c r="P189">
        <v>4</v>
      </c>
    </row>
    <row r="190" spans="10:16" hidden="1">
      <c r="J190" t="s">
        <v>763</v>
      </c>
      <c r="K190" t="s">
        <v>587</v>
      </c>
      <c r="L190">
        <v>188</v>
      </c>
      <c r="M190" s="314">
        <v>45628</v>
      </c>
      <c r="N190" s="314">
        <v>45815</v>
      </c>
      <c r="O190" s="315">
        <v>0</v>
      </c>
      <c r="P190">
        <v>1</v>
      </c>
    </row>
    <row r="191" spans="10:16" hidden="1">
      <c r="J191" t="s">
        <v>764</v>
      </c>
      <c r="K191" t="s">
        <v>589</v>
      </c>
      <c r="L191">
        <v>976</v>
      </c>
      <c r="M191" s="314">
        <v>45816</v>
      </c>
      <c r="N191" s="314">
        <v>46791</v>
      </c>
      <c r="O191" s="315">
        <v>129375000</v>
      </c>
      <c r="P191">
        <v>1</v>
      </c>
    </row>
    <row r="192" spans="10:16" hidden="1">
      <c r="J192" t="s">
        <v>765</v>
      </c>
      <c r="K192" t="s">
        <v>591</v>
      </c>
      <c r="L192">
        <v>60</v>
      </c>
      <c r="M192" s="314">
        <v>46792</v>
      </c>
      <c r="N192" s="314">
        <v>46851</v>
      </c>
      <c r="O192" s="315">
        <v>14375000</v>
      </c>
      <c r="P192">
        <v>1</v>
      </c>
    </row>
    <row r="193" spans="10:16" hidden="1">
      <c r="J193" t="s">
        <v>766</v>
      </c>
      <c r="K193" t="s">
        <v>593</v>
      </c>
      <c r="L193">
        <v>60</v>
      </c>
      <c r="M193" s="314">
        <v>46852</v>
      </c>
      <c r="N193" s="314">
        <v>46911</v>
      </c>
      <c r="O193" s="315">
        <v>0</v>
      </c>
      <c r="P193">
        <v>1</v>
      </c>
    </row>
    <row r="194" spans="10:16">
      <c r="J194" t="s">
        <v>767</v>
      </c>
      <c r="L194">
        <v>1284</v>
      </c>
      <c r="M194" s="314">
        <v>45700</v>
      </c>
      <c r="N194" s="314">
        <v>46983</v>
      </c>
      <c r="O194" s="315">
        <v>103578492.09999999</v>
      </c>
      <c r="P194">
        <v>4</v>
      </c>
    </row>
    <row r="195" spans="10:16" hidden="1">
      <c r="J195" t="s">
        <v>768</v>
      </c>
      <c r="K195" t="s">
        <v>587</v>
      </c>
      <c r="L195">
        <v>188</v>
      </c>
      <c r="M195" s="314">
        <v>45700</v>
      </c>
      <c r="N195" s="314">
        <v>45887</v>
      </c>
      <c r="O195" s="315">
        <v>0</v>
      </c>
      <c r="P195">
        <v>1</v>
      </c>
    </row>
    <row r="196" spans="10:16" hidden="1">
      <c r="J196" t="s">
        <v>769</v>
      </c>
      <c r="K196" t="s">
        <v>589</v>
      </c>
      <c r="L196">
        <v>976</v>
      </c>
      <c r="M196" s="314">
        <v>45888</v>
      </c>
      <c r="N196" s="314">
        <v>46863</v>
      </c>
      <c r="O196" s="315">
        <v>93220642.890000001</v>
      </c>
      <c r="P196">
        <v>1</v>
      </c>
    </row>
    <row r="197" spans="10:16" hidden="1">
      <c r="J197" t="s">
        <v>770</v>
      </c>
      <c r="K197" t="s">
        <v>591</v>
      </c>
      <c r="L197">
        <v>60</v>
      </c>
      <c r="M197" s="314">
        <v>46864</v>
      </c>
      <c r="N197" s="314">
        <v>46923</v>
      </c>
      <c r="O197" s="315">
        <v>10357849.210000001</v>
      </c>
      <c r="P197">
        <v>1</v>
      </c>
    </row>
    <row r="198" spans="10:16" hidden="1">
      <c r="J198" t="s">
        <v>771</v>
      </c>
      <c r="K198" t="s">
        <v>593</v>
      </c>
      <c r="L198">
        <v>60</v>
      </c>
      <c r="M198" s="314">
        <v>46924</v>
      </c>
      <c r="N198" s="314">
        <v>46983</v>
      </c>
      <c r="O198" s="315">
        <v>0</v>
      </c>
      <c r="P198">
        <v>1</v>
      </c>
    </row>
    <row r="199" spans="10:16">
      <c r="J199" t="s">
        <v>772</v>
      </c>
      <c r="L199">
        <v>1284</v>
      </c>
      <c r="M199" s="314">
        <v>45733</v>
      </c>
      <c r="N199" s="314">
        <v>47016</v>
      </c>
      <c r="O199" s="315">
        <v>126259213.97</v>
      </c>
      <c r="P199">
        <v>4</v>
      </c>
    </row>
    <row r="200" spans="10:16" hidden="1">
      <c r="J200" t="s">
        <v>773</v>
      </c>
      <c r="K200" t="s">
        <v>587</v>
      </c>
      <c r="L200">
        <v>188</v>
      </c>
      <c r="M200" s="314">
        <v>45733</v>
      </c>
      <c r="N200" s="314">
        <v>45920</v>
      </c>
      <c r="O200" s="315">
        <v>0</v>
      </c>
      <c r="P200">
        <v>1</v>
      </c>
    </row>
    <row r="201" spans="10:16" hidden="1">
      <c r="J201" t="s">
        <v>774</v>
      </c>
      <c r="K201" t="s">
        <v>589</v>
      </c>
      <c r="L201">
        <v>976</v>
      </c>
      <c r="M201" s="314">
        <v>45921</v>
      </c>
      <c r="N201" s="314">
        <v>46896</v>
      </c>
      <c r="O201" s="315">
        <v>113633292.56999999</v>
      </c>
      <c r="P201">
        <v>1</v>
      </c>
    </row>
    <row r="202" spans="10:16" hidden="1">
      <c r="J202" t="s">
        <v>775</v>
      </c>
      <c r="K202" t="s">
        <v>591</v>
      </c>
      <c r="L202">
        <v>60</v>
      </c>
      <c r="M202" s="314">
        <v>46897</v>
      </c>
      <c r="N202" s="314">
        <v>46956</v>
      </c>
      <c r="O202" s="315">
        <v>12625921.4</v>
      </c>
      <c r="P202">
        <v>1</v>
      </c>
    </row>
    <row r="203" spans="10:16" hidden="1">
      <c r="J203" t="s">
        <v>776</v>
      </c>
      <c r="K203" t="s">
        <v>593</v>
      </c>
      <c r="L203">
        <v>60</v>
      </c>
      <c r="M203" s="314">
        <v>46957</v>
      </c>
      <c r="N203" s="314">
        <v>47016</v>
      </c>
      <c r="O203" s="315">
        <v>0</v>
      </c>
      <c r="P203">
        <v>1</v>
      </c>
    </row>
    <row r="204" spans="10:16">
      <c r="J204" t="s">
        <v>777</v>
      </c>
      <c r="L204">
        <v>1284</v>
      </c>
      <c r="M204" s="314">
        <v>45771</v>
      </c>
      <c r="N204" s="314">
        <v>47054</v>
      </c>
      <c r="O204" s="315">
        <v>253939383.47999999</v>
      </c>
      <c r="P204">
        <v>4</v>
      </c>
    </row>
    <row r="205" spans="10:16" hidden="1">
      <c r="J205" t="s">
        <v>778</v>
      </c>
      <c r="K205" t="s">
        <v>587</v>
      </c>
      <c r="L205">
        <v>188</v>
      </c>
      <c r="M205" s="314">
        <v>45771</v>
      </c>
      <c r="N205" s="314">
        <v>45958</v>
      </c>
      <c r="O205" s="315">
        <v>0</v>
      </c>
      <c r="P205">
        <v>1</v>
      </c>
    </row>
    <row r="206" spans="10:16" hidden="1">
      <c r="J206" t="s">
        <v>779</v>
      </c>
      <c r="K206" t="s">
        <v>589</v>
      </c>
      <c r="L206">
        <v>976</v>
      </c>
      <c r="M206" s="314">
        <v>45959</v>
      </c>
      <c r="N206" s="314">
        <v>46934</v>
      </c>
      <c r="O206" s="315">
        <v>228545445.13</v>
      </c>
      <c r="P206">
        <v>1</v>
      </c>
    </row>
    <row r="207" spans="10:16" hidden="1">
      <c r="J207" t="s">
        <v>780</v>
      </c>
      <c r="K207" t="s">
        <v>591</v>
      </c>
      <c r="L207">
        <v>60</v>
      </c>
      <c r="M207" s="314">
        <v>46935</v>
      </c>
      <c r="N207" s="314">
        <v>46994</v>
      </c>
      <c r="O207" s="315">
        <v>25393938.350000001</v>
      </c>
      <c r="P207">
        <v>1</v>
      </c>
    </row>
    <row r="208" spans="10:16" hidden="1">
      <c r="J208" t="s">
        <v>781</v>
      </c>
      <c r="K208" t="s">
        <v>593</v>
      </c>
      <c r="L208">
        <v>60</v>
      </c>
      <c r="M208" s="314">
        <v>46995</v>
      </c>
      <c r="N208" s="314">
        <v>47054</v>
      </c>
      <c r="O208" s="315">
        <v>0</v>
      </c>
      <c r="P208">
        <v>1</v>
      </c>
    </row>
    <row r="209" spans="10:16">
      <c r="J209" t="s">
        <v>782</v>
      </c>
      <c r="L209">
        <v>733</v>
      </c>
      <c r="M209" s="314">
        <v>45831</v>
      </c>
      <c r="N209" s="314">
        <v>46563</v>
      </c>
      <c r="O209" s="315">
        <v>25300000</v>
      </c>
      <c r="P209">
        <v>4</v>
      </c>
    </row>
    <row r="210" spans="10:16" hidden="1">
      <c r="J210" t="s">
        <v>783</v>
      </c>
      <c r="K210" t="s">
        <v>587</v>
      </c>
      <c r="L210">
        <v>188</v>
      </c>
      <c r="M210" s="314">
        <v>45831</v>
      </c>
      <c r="N210" s="314">
        <v>46018</v>
      </c>
      <c r="O210" s="315">
        <v>0</v>
      </c>
      <c r="P210">
        <v>1</v>
      </c>
    </row>
    <row r="211" spans="10:16" hidden="1">
      <c r="J211" t="s">
        <v>784</v>
      </c>
      <c r="K211" t="s">
        <v>589</v>
      </c>
      <c r="L211">
        <v>455</v>
      </c>
      <c r="M211" s="314">
        <v>46019</v>
      </c>
      <c r="N211" s="314">
        <v>46473</v>
      </c>
      <c r="O211" s="315">
        <v>22770000</v>
      </c>
      <c r="P211">
        <v>1</v>
      </c>
    </row>
    <row r="212" spans="10:16" hidden="1">
      <c r="J212" t="s">
        <v>785</v>
      </c>
      <c r="K212" t="s">
        <v>591</v>
      </c>
      <c r="L212">
        <v>45</v>
      </c>
      <c r="M212" s="314">
        <v>46474</v>
      </c>
      <c r="N212" s="314">
        <v>46518</v>
      </c>
      <c r="O212" s="315">
        <v>2530000</v>
      </c>
      <c r="P212">
        <v>1</v>
      </c>
    </row>
    <row r="213" spans="10:16" hidden="1">
      <c r="J213" t="s">
        <v>786</v>
      </c>
      <c r="K213" t="s">
        <v>593</v>
      </c>
      <c r="L213">
        <v>45</v>
      </c>
      <c r="M213" s="314">
        <v>46519</v>
      </c>
      <c r="N213" s="314">
        <v>46563</v>
      </c>
      <c r="O213" s="315">
        <v>0</v>
      </c>
      <c r="P213">
        <v>1</v>
      </c>
    </row>
    <row r="214" spans="10:16">
      <c r="J214" t="s">
        <v>787</v>
      </c>
      <c r="L214">
        <v>918</v>
      </c>
      <c r="M214" s="314">
        <v>45894</v>
      </c>
      <c r="N214" s="314">
        <v>46811</v>
      </c>
      <c r="O214" s="315">
        <v>43700000</v>
      </c>
      <c r="P214">
        <v>4</v>
      </c>
    </row>
    <row r="215" spans="10:16" hidden="1">
      <c r="J215" t="s">
        <v>788</v>
      </c>
      <c r="K215" t="s">
        <v>587</v>
      </c>
      <c r="L215">
        <v>188</v>
      </c>
      <c r="M215" s="314">
        <v>45894</v>
      </c>
      <c r="N215" s="314">
        <v>46081</v>
      </c>
      <c r="O215" s="315">
        <v>0</v>
      </c>
      <c r="P215">
        <v>1</v>
      </c>
    </row>
    <row r="216" spans="10:16" hidden="1">
      <c r="J216" t="s">
        <v>789</v>
      </c>
      <c r="K216" t="s">
        <v>589</v>
      </c>
      <c r="L216">
        <v>610</v>
      </c>
      <c r="M216" s="314">
        <v>46082</v>
      </c>
      <c r="N216" s="314">
        <v>46691</v>
      </c>
      <c r="O216" s="315">
        <v>39330000</v>
      </c>
      <c r="P216">
        <v>1</v>
      </c>
    </row>
    <row r="217" spans="10:16" hidden="1">
      <c r="J217" t="s">
        <v>790</v>
      </c>
      <c r="K217" t="s">
        <v>591</v>
      </c>
      <c r="L217">
        <v>60</v>
      </c>
      <c r="M217" s="314">
        <v>46692</v>
      </c>
      <c r="N217" s="314">
        <v>46751</v>
      </c>
      <c r="O217" s="315">
        <v>4370000</v>
      </c>
      <c r="P217">
        <v>1</v>
      </c>
    </row>
    <row r="218" spans="10:16" hidden="1">
      <c r="J218" t="s">
        <v>791</v>
      </c>
      <c r="K218" t="s">
        <v>593</v>
      </c>
      <c r="L218">
        <v>60</v>
      </c>
      <c r="M218" s="314">
        <v>46752</v>
      </c>
      <c r="N218" s="314">
        <v>46811</v>
      </c>
      <c r="O218" s="315">
        <v>0</v>
      </c>
      <c r="P218">
        <v>1</v>
      </c>
    </row>
    <row r="219" spans="10:16">
      <c r="J219" t="s">
        <v>792</v>
      </c>
      <c r="L219">
        <v>918</v>
      </c>
      <c r="M219" s="314">
        <v>46006</v>
      </c>
      <c r="N219" s="314">
        <v>46923</v>
      </c>
      <c r="O219" s="315">
        <v>18862003</v>
      </c>
      <c r="P219">
        <v>4</v>
      </c>
    </row>
    <row r="220" spans="10:16" hidden="1">
      <c r="J220" t="s">
        <v>793</v>
      </c>
      <c r="K220" t="s">
        <v>587</v>
      </c>
      <c r="L220">
        <v>188</v>
      </c>
      <c r="M220" s="314">
        <v>46006</v>
      </c>
      <c r="N220" s="314">
        <v>46193</v>
      </c>
      <c r="O220" s="315">
        <v>0</v>
      </c>
      <c r="P220">
        <v>1</v>
      </c>
    </row>
    <row r="221" spans="10:16" hidden="1">
      <c r="J221" t="s">
        <v>794</v>
      </c>
      <c r="K221" t="s">
        <v>589</v>
      </c>
      <c r="L221">
        <v>610</v>
      </c>
      <c r="M221" s="314">
        <v>46194</v>
      </c>
      <c r="N221" s="314">
        <v>46803</v>
      </c>
      <c r="O221" s="315">
        <v>16975802.699999999</v>
      </c>
      <c r="P221">
        <v>1</v>
      </c>
    </row>
    <row r="222" spans="10:16" hidden="1">
      <c r="J222" t="s">
        <v>795</v>
      </c>
      <c r="K222" t="s">
        <v>591</v>
      </c>
      <c r="L222">
        <v>60</v>
      </c>
      <c r="M222" s="314">
        <v>46804</v>
      </c>
      <c r="N222" s="314">
        <v>46863</v>
      </c>
      <c r="O222" s="315">
        <v>1886200.3</v>
      </c>
      <c r="P222">
        <v>1</v>
      </c>
    </row>
    <row r="223" spans="10:16" hidden="1">
      <c r="J223" t="s">
        <v>796</v>
      </c>
      <c r="K223" t="s">
        <v>593</v>
      </c>
      <c r="L223">
        <v>60</v>
      </c>
      <c r="M223" s="314">
        <v>46864</v>
      </c>
      <c r="N223" s="314">
        <v>46923</v>
      </c>
      <c r="O223" s="315">
        <v>0</v>
      </c>
      <c r="P223">
        <v>1</v>
      </c>
    </row>
    <row r="224" spans="10:16">
      <c r="J224" t="s">
        <v>797</v>
      </c>
      <c r="L224">
        <v>918</v>
      </c>
      <c r="M224" s="314">
        <v>45665</v>
      </c>
      <c r="N224" s="314">
        <v>46582</v>
      </c>
      <c r="O224" s="315">
        <v>76314828</v>
      </c>
      <c r="P224">
        <v>4</v>
      </c>
    </row>
    <row r="225" spans="10:16" hidden="1">
      <c r="J225" t="s">
        <v>798</v>
      </c>
      <c r="K225" t="s">
        <v>587</v>
      </c>
      <c r="L225">
        <v>188</v>
      </c>
      <c r="M225" s="314">
        <v>45665</v>
      </c>
      <c r="N225" s="314">
        <v>45852</v>
      </c>
      <c r="O225" s="315">
        <v>0</v>
      </c>
      <c r="P225">
        <v>1</v>
      </c>
    </row>
    <row r="226" spans="10:16" hidden="1">
      <c r="J226" t="s">
        <v>799</v>
      </c>
      <c r="K226" t="s">
        <v>589</v>
      </c>
      <c r="L226">
        <v>610</v>
      </c>
      <c r="M226" s="314">
        <v>45853</v>
      </c>
      <c r="N226" s="314">
        <v>46462</v>
      </c>
      <c r="O226" s="315">
        <v>68683345.200000003</v>
      </c>
      <c r="P226">
        <v>1</v>
      </c>
    </row>
    <row r="227" spans="10:16" hidden="1">
      <c r="J227" t="s">
        <v>800</v>
      </c>
      <c r="K227" t="s">
        <v>591</v>
      </c>
      <c r="L227">
        <v>60</v>
      </c>
      <c r="M227" s="314">
        <v>46463</v>
      </c>
      <c r="N227" s="314">
        <v>46522</v>
      </c>
      <c r="O227" s="315">
        <v>7631482.7999999998</v>
      </c>
      <c r="P227">
        <v>1</v>
      </c>
    </row>
    <row r="228" spans="10:16" hidden="1">
      <c r="J228" t="s">
        <v>801</v>
      </c>
      <c r="K228" t="s">
        <v>593</v>
      </c>
      <c r="L228">
        <v>60</v>
      </c>
      <c r="M228" s="314">
        <v>46523</v>
      </c>
      <c r="N228" s="314">
        <v>46582</v>
      </c>
      <c r="O228" s="315">
        <v>0</v>
      </c>
      <c r="P228">
        <v>1</v>
      </c>
    </row>
    <row r="229" spans="10:16">
      <c r="J229" t="s">
        <v>802</v>
      </c>
      <c r="L229">
        <v>553</v>
      </c>
      <c r="M229" s="314">
        <v>45566</v>
      </c>
      <c r="N229" s="314">
        <v>46118</v>
      </c>
      <c r="O229" s="315">
        <v>18518631.699999999</v>
      </c>
      <c r="P229">
        <v>4</v>
      </c>
    </row>
    <row r="230" spans="10:16" hidden="1">
      <c r="J230" t="s">
        <v>803</v>
      </c>
      <c r="K230" t="s">
        <v>587</v>
      </c>
      <c r="L230">
        <v>188</v>
      </c>
      <c r="M230" s="314">
        <v>45566</v>
      </c>
      <c r="N230" s="314">
        <v>45753</v>
      </c>
      <c r="O230" s="315">
        <v>0</v>
      </c>
      <c r="P230">
        <v>1</v>
      </c>
    </row>
    <row r="231" spans="10:16" hidden="1">
      <c r="J231" t="s">
        <v>804</v>
      </c>
      <c r="K231" t="s">
        <v>589</v>
      </c>
      <c r="L231">
        <v>305</v>
      </c>
      <c r="M231" s="314">
        <v>45754</v>
      </c>
      <c r="N231" s="314">
        <v>46058</v>
      </c>
      <c r="O231" s="315">
        <v>16666768.529999999</v>
      </c>
      <c r="P231">
        <v>1</v>
      </c>
    </row>
    <row r="232" spans="10:16" hidden="1">
      <c r="J232" t="s">
        <v>805</v>
      </c>
      <c r="K232" t="s">
        <v>591</v>
      </c>
      <c r="L232">
        <v>30</v>
      </c>
      <c r="M232" s="314">
        <v>46059</v>
      </c>
      <c r="N232" s="314">
        <v>46088</v>
      </c>
      <c r="O232" s="315">
        <v>1851863.17</v>
      </c>
      <c r="P232">
        <v>1</v>
      </c>
    </row>
    <row r="233" spans="10:16" hidden="1">
      <c r="J233" t="s">
        <v>806</v>
      </c>
      <c r="K233" t="s">
        <v>593</v>
      </c>
      <c r="L233">
        <v>30</v>
      </c>
      <c r="M233" s="314">
        <v>46089</v>
      </c>
      <c r="N233" s="314">
        <v>46118</v>
      </c>
      <c r="O233" s="315">
        <v>0</v>
      </c>
      <c r="P233">
        <v>1</v>
      </c>
    </row>
    <row r="234" spans="10:16">
      <c r="J234" t="s">
        <v>807</v>
      </c>
      <c r="L234">
        <v>918</v>
      </c>
      <c r="M234" s="314">
        <v>45564</v>
      </c>
      <c r="N234" s="314">
        <v>46481</v>
      </c>
      <c r="O234" s="315">
        <v>42908570</v>
      </c>
      <c r="P234">
        <v>4</v>
      </c>
    </row>
    <row r="235" spans="10:16" hidden="1">
      <c r="J235" t="s">
        <v>808</v>
      </c>
      <c r="K235" t="s">
        <v>587</v>
      </c>
      <c r="L235">
        <v>188</v>
      </c>
      <c r="M235" s="314">
        <v>45564</v>
      </c>
      <c r="N235" s="314">
        <v>45751</v>
      </c>
      <c r="O235" s="315">
        <v>0</v>
      </c>
      <c r="P235">
        <v>1</v>
      </c>
    </row>
    <row r="236" spans="10:16" hidden="1">
      <c r="J236" t="s">
        <v>809</v>
      </c>
      <c r="K236" t="s">
        <v>589</v>
      </c>
      <c r="L236">
        <v>610</v>
      </c>
      <c r="M236" s="314">
        <v>45752</v>
      </c>
      <c r="N236" s="314">
        <v>46361</v>
      </c>
      <c r="O236" s="315">
        <v>38617713</v>
      </c>
      <c r="P236">
        <v>1</v>
      </c>
    </row>
    <row r="237" spans="10:16" hidden="1">
      <c r="J237" t="s">
        <v>810</v>
      </c>
      <c r="K237" t="s">
        <v>591</v>
      </c>
      <c r="L237">
        <v>60</v>
      </c>
      <c r="M237" s="314">
        <v>46362</v>
      </c>
      <c r="N237" s="314">
        <v>46421</v>
      </c>
      <c r="O237" s="315">
        <v>4290857</v>
      </c>
      <c r="P237">
        <v>1</v>
      </c>
    </row>
    <row r="238" spans="10:16" hidden="1">
      <c r="J238" t="s">
        <v>811</v>
      </c>
      <c r="K238" t="s">
        <v>593</v>
      </c>
      <c r="L238">
        <v>60</v>
      </c>
      <c r="M238" s="314">
        <v>46422</v>
      </c>
      <c r="N238" s="314">
        <v>46481</v>
      </c>
      <c r="O238" s="315">
        <v>0</v>
      </c>
      <c r="P238">
        <v>1</v>
      </c>
    </row>
    <row r="239" spans="10:16">
      <c r="J239" t="s">
        <v>812</v>
      </c>
      <c r="L239">
        <v>913</v>
      </c>
      <c r="M239" s="314">
        <v>45761</v>
      </c>
      <c r="N239" s="314">
        <v>46673</v>
      </c>
      <c r="O239" s="315">
        <v>36973800.649999999</v>
      </c>
      <c r="P239">
        <v>4</v>
      </c>
    </row>
    <row r="240" spans="10:16" hidden="1">
      <c r="J240" t="s">
        <v>813</v>
      </c>
      <c r="K240" t="s">
        <v>587</v>
      </c>
      <c r="L240">
        <v>188</v>
      </c>
      <c r="M240" s="314">
        <v>45761</v>
      </c>
      <c r="N240" s="314">
        <v>45948</v>
      </c>
      <c r="O240" s="315">
        <v>0</v>
      </c>
      <c r="P240">
        <v>1</v>
      </c>
    </row>
    <row r="241" spans="10:16" hidden="1">
      <c r="J241" t="s">
        <v>814</v>
      </c>
      <c r="K241" t="s">
        <v>589</v>
      </c>
      <c r="L241">
        <v>605</v>
      </c>
      <c r="M241" s="314">
        <v>45949</v>
      </c>
      <c r="N241" s="314">
        <v>46553</v>
      </c>
      <c r="O241" s="315">
        <v>33276420.59</v>
      </c>
      <c r="P241">
        <v>1</v>
      </c>
    </row>
    <row r="242" spans="10:16" hidden="1">
      <c r="J242" t="s">
        <v>815</v>
      </c>
      <c r="K242" t="s">
        <v>591</v>
      </c>
      <c r="L242">
        <v>60</v>
      </c>
      <c r="M242" s="314">
        <v>46554</v>
      </c>
      <c r="N242" s="314">
        <v>46613</v>
      </c>
      <c r="O242" s="315">
        <v>3697380.07</v>
      </c>
      <c r="P242">
        <v>1</v>
      </c>
    </row>
    <row r="243" spans="10:16" hidden="1">
      <c r="J243" t="s">
        <v>816</v>
      </c>
      <c r="K243" t="s">
        <v>593</v>
      </c>
      <c r="L243">
        <v>60</v>
      </c>
      <c r="M243" s="314">
        <v>46614</v>
      </c>
      <c r="N243" s="314">
        <v>46673</v>
      </c>
      <c r="O243" s="315">
        <v>0</v>
      </c>
      <c r="P243">
        <v>1</v>
      </c>
    </row>
    <row r="244" spans="10:16">
      <c r="J244" t="s">
        <v>817</v>
      </c>
      <c r="L244">
        <v>918</v>
      </c>
      <c r="M244" s="314">
        <v>45567</v>
      </c>
      <c r="N244" s="314">
        <v>46484</v>
      </c>
      <c r="O244" s="315">
        <v>46497039.200000003</v>
      </c>
      <c r="P244">
        <v>4</v>
      </c>
    </row>
    <row r="245" spans="10:16" hidden="1">
      <c r="J245" t="s">
        <v>818</v>
      </c>
      <c r="K245" t="s">
        <v>587</v>
      </c>
      <c r="L245">
        <v>188</v>
      </c>
      <c r="M245" s="314">
        <v>45567</v>
      </c>
      <c r="N245" s="314">
        <v>45754</v>
      </c>
      <c r="O245" s="315">
        <v>0</v>
      </c>
      <c r="P245">
        <v>1</v>
      </c>
    </row>
    <row r="246" spans="10:16" hidden="1">
      <c r="J246" t="s">
        <v>819</v>
      </c>
      <c r="K246" t="s">
        <v>589</v>
      </c>
      <c r="L246">
        <v>610</v>
      </c>
      <c r="M246" s="314">
        <v>45755</v>
      </c>
      <c r="N246" s="314">
        <v>46364</v>
      </c>
      <c r="O246" s="315">
        <v>41847335.280000001</v>
      </c>
      <c r="P246">
        <v>1</v>
      </c>
    </row>
    <row r="247" spans="10:16" hidden="1">
      <c r="J247" t="s">
        <v>820</v>
      </c>
      <c r="K247" t="s">
        <v>591</v>
      </c>
      <c r="L247">
        <v>60</v>
      </c>
      <c r="M247" s="314">
        <v>46365</v>
      </c>
      <c r="N247" s="314">
        <v>46424</v>
      </c>
      <c r="O247" s="315">
        <v>4649703.92</v>
      </c>
      <c r="P247">
        <v>1</v>
      </c>
    </row>
    <row r="248" spans="10:16" hidden="1">
      <c r="J248" t="s">
        <v>821</v>
      </c>
      <c r="K248" t="s">
        <v>593</v>
      </c>
      <c r="L248">
        <v>60</v>
      </c>
      <c r="M248" s="314">
        <v>46425</v>
      </c>
      <c r="N248" s="314">
        <v>46484</v>
      </c>
      <c r="O248" s="315">
        <v>0</v>
      </c>
      <c r="P248">
        <v>1</v>
      </c>
    </row>
    <row r="249" spans="10:16">
      <c r="J249" t="s">
        <v>822</v>
      </c>
      <c r="L249">
        <v>918</v>
      </c>
      <c r="M249" s="314">
        <v>45597</v>
      </c>
      <c r="N249" s="314">
        <v>46514</v>
      </c>
      <c r="O249" s="315">
        <v>40233007.549999997</v>
      </c>
      <c r="P249">
        <v>4</v>
      </c>
    </row>
    <row r="250" spans="10:16" hidden="1">
      <c r="J250" t="s">
        <v>823</v>
      </c>
      <c r="K250" t="s">
        <v>587</v>
      </c>
      <c r="L250">
        <v>188</v>
      </c>
      <c r="M250" s="314">
        <v>45597</v>
      </c>
      <c r="N250" s="314">
        <v>45784</v>
      </c>
      <c r="O250" s="315">
        <v>0</v>
      </c>
      <c r="P250">
        <v>1</v>
      </c>
    </row>
    <row r="251" spans="10:16" hidden="1">
      <c r="J251" t="s">
        <v>824</v>
      </c>
      <c r="K251" t="s">
        <v>589</v>
      </c>
      <c r="L251">
        <v>610</v>
      </c>
      <c r="M251" s="314">
        <v>45785</v>
      </c>
      <c r="N251" s="314">
        <v>46394</v>
      </c>
      <c r="O251" s="315">
        <v>36209706.799999997</v>
      </c>
      <c r="P251">
        <v>1</v>
      </c>
    </row>
    <row r="252" spans="10:16" hidden="1">
      <c r="J252" t="s">
        <v>825</v>
      </c>
      <c r="K252" t="s">
        <v>591</v>
      </c>
      <c r="L252">
        <v>60</v>
      </c>
      <c r="M252" s="314">
        <v>46395</v>
      </c>
      <c r="N252" s="314">
        <v>46454</v>
      </c>
      <c r="O252" s="315">
        <v>4023300.76</v>
      </c>
      <c r="P252">
        <v>1</v>
      </c>
    </row>
    <row r="253" spans="10:16" hidden="1">
      <c r="J253" t="s">
        <v>826</v>
      </c>
      <c r="K253" t="s">
        <v>593</v>
      </c>
      <c r="L253">
        <v>60</v>
      </c>
      <c r="M253" s="314">
        <v>46455</v>
      </c>
      <c r="N253" s="314">
        <v>46514</v>
      </c>
      <c r="O253" s="315">
        <v>0</v>
      </c>
      <c r="P253">
        <v>1</v>
      </c>
    </row>
    <row r="254" spans="10:16">
      <c r="J254" t="s">
        <v>827</v>
      </c>
      <c r="L254">
        <v>1009</v>
      </c>
      <c r="M254" s="314">
        <v>45910</v>
      </c>
      <c r="N254" s="314">
        <v>46918</v>
      </c>
      <c r="O254" s="315">
        <v>19030257.5</v>
      </c>
      <c r="P254">
        <v>3</v>
      </c>
    </row>
    <row r="255" spans="10:16" hidden="1">
      <c r="J255" t="s">
        <v>828</v>
      </c>
      <c r="K255" t="s">
        <v>589</v>
      </c>
      <c r="L255">
        <v>889</v>
      </c>
      <c r="M255" s="314">
        <v>45910</v>
      </c>
      <c r="N255" s="314">
        <v>46798</v>
      </c>
      <c r="O255" s="315">
        <v>17127231.75</v>
      </c>
      <c r="P255">
        <v>1</v>
      </c>
    </row>
    <row r="256" spans="10:16" hidden="1">
      <c r="J256" t="s">
        <v>829</v>
      </c>
      <c r="K256" t="s">
        <v>591</v>
      </c>
      <c r="L256">
        <v>60</v>
      </c>
      <c r="M256" s="314">
        <v>46799</v>
      </c>
      <c r="N256" s="314">
        <v>46858</v>
      </c>
      <c r="O256" s="315">
        <v>1903025.75</v>
      </c>
      <c r="P256">
        <v>1</v>
      </c>
    </row>
    <row r="257" spans="10:16" hidden="1">
      <c r="J257" t="s">
        <v>830</v>
      </c>
      <c r="K257" t="s">
        <v>593</v>
      </c>
      <c r="L257">
        <v>60</v>
      </c>
      <c r="M257" s="314">
        <v>46859</v>
      </c>
      <c r="N257" s="314">
        <v>46918</v>
      </c>
      <c r="O257" s="315">
        <v>0</v>
      </c>
      <c r="P257">
        <v>1</v>
      </c>
    </row>
    <row r="258" spans="10:16">
      <c r="J258" t="s">
        <v>831</v>
      </c>
      <c r="L258">
        <v>1010</v>
      </c>
      <c r="M258" s="314">
        <v>45952</v>
      </c>
      <c r="N258" s="314">
        <v>46961</v>
      </c>
      <c r="O258" s="315">
        <v>43339563.090000004</v>
      </c>
      <c r="P258">
        <v>3</v>
      </c>
    </row>
    <row r="259" spans="10:16" hidden="1">
      <c r="J259" t="s">
        <v>832</v>
      </c>
      <c r="K259" t="s">
        <v>589</v>
      </c>
      <c r="L259">
        <v>890</v>
      </c>
      <c r="M259" s="314">
        <v>45952</v>
      </c>
      <c r="N259" s="314">
        <v>46841</v>
      </c>
      <c r="O259" s="315">
        <v>39005606.780000001</v>
      </c>
      <c r="P259">
        <v>1</v>
      </c>
    </row>
    <row r="260" spans="10:16" hidden="1">
      <c r="J260" t="s">
        <v>833</v>
      </c>
      <c r="K260" t="s">
        <v>591</v>
      </c>
      <c r="L260">
        <v>60</v>
      </c>
      <c r="M260" s="314">
        <v>46842</v>
      </c>
      <c r="N260" s="314">
        <v>46901</v>
      </c>
      <c r="O260" s="315">
        <v>4333956.3099999996</v>
      </c>
      <c r="P260">
        <v>1</v>
      </c>
    </row>
    <row r="261" spans="10:16" hidden="1">
      <c r="J261" t="s">
        <v>834</v>
      </c>
      <c r="K261" t="s">
        <v>593</v>
      </c>
      <c r="L261">
        <v>60</v>
      </c>
      <c r="M261" s="314">
        <v>46902</v>
      </c>
      <c r="N261" s="314">
        <v>46961</v>
      </c>
      <c r="O261" s="315">
        <v>0</v>
      </c>
      <c r="P261">
        <v>1</v>
      </c>
    </row>
    <row r="262" spans="10:16">
      <c r="J262" t="s">
        <v>835</v>
      </c>
      <c r="L262">
        <v>933</v>
      </c>
      <c r="M262" s="314">
        <v>45630</v>
      </c>
      <c r="N262" s="314">
        <v>46562</v>
      </c>
      <c r="O262" s="315">
        <v>39499050</v>
      </c>
      <c r="P262">
        <v>3</v>
      </c>
    </row>
    <row r="263" spans="10:16" hidden="1">
      <c r="J263" t="s">
        <v>836</v>
      </c>
      <c r="K263" t="s">
        <v>589</v>
      </c>
      <c r="L263">
        <v>813</v>
      </c>
      <c r="M263" s="314">
        <v>45630</v>
      </c>
      <c r="N263" s="314">
        <v>46442</v>
      </c>
      <c r="O263" s="315">
        <v>35549145</v>
      </c>
      <c r="P263">
        <v>1</v>
      </c>
    </row>
    <row r="264" spans="10:16" hidden="1">
      <c r="J264" t="s">
        <v>837</v>
      </c>
      <c r="K264" t="s">
        <v>591</v>
      </c>
      <c r="L264">
        <v>60</v>
      </c>
      <c r="M264" s="314">
        <v>46443</v>
      </c>
      <c r="N264" s="314">
        <v>46502</v>
      </c>
      <c r="O264" s="315">
        <v>3949905</v>
      </c>
      <c r="P264">
        <v>1</v>
      </c>
    </row>
    <row r="265" spans="10:16" hidden="1">
      <c r="J265" t="s">
        <v>838</v>
      </c>
      <c r="K265" t="s">
        <v>593</v>
      </c>
      <c r="L265">
        <v>60</v>
      </c>
      <c r="M265" s="314">
        <v>46503</v>
      </c>
      <c r="N265" s="314">
        <v>46562</v>
      </c>
      <c r="O265" s="315">
        <v>0</v>
      </c>
      <c r="P265">
        <v>1</v>
      </c>
    </row>
    <row r="266" spans="10:16">
      <c r="J266" t="s">
        <v>839</v>
      </c>
      <c r="L266">
        <v>629</v>
      </c>
      <c r="M266" s="314">
        <v>45799</v>
      </c>
      <c r="N266" s="314">
        <v>46427</v>
      </c>
      <c r="O266" s="315">
        <v>26374445</v>
      </c>
      <c r="P266">
        <v>3</v>
      </c>
    </row>
    <row r="267" spans="10:16" hidden="1">
      <c r="J267" t="s">
        <v>840</v>
      </c>
      <c r="K267" t="s">
        <v>589</v>
      </c>
      <c r="L267">
        <v>509</v>
      </c>
      <c r="M267" s="314">
        <v>45799</v>
      </c>
      <c r="N267" s="314">
        <v>46307</v>
      </c>
      <c r="O267" s="315">
        <v>23737000.5</v>
      </c>
      <c r="P267">
        <v>1</v>
      </c>
    </row>
    <row r="268" spans="10:16" hidden="1">
      <c r="J268" t="s">
        <v>841</v>
      </c>
      <c r="K268" t="s">
        <v>591</v>
      </c>
      <c r="L268">
        <v>60</v>
      </c>
      <c r="M268" s="314">
        <v>46308</v>
      </c>
      <c r="N268" s="314">
        <v>46367</v>
      </c>
      <c r="O268" s="315">
        <v>2637444.5</v>
      </c>
      <c r="P268">
        <v>1</v>
      </c>
    </row>
    <row r="269" spans="10:16" hidden="1">
      <c r="J269" t="s">
        <v>842</v>
      </c>
      <c r="K269" t="s">
        <v>593</v>
      </c>
      <c r="L269">
        <v>60</v>
      </c>
      <c r="M269" s="314">
        <v>46368</v>
      </c>
      <c r="N269" s="314">
        <v>46427</v>
      </c>
      <c r="O269" s="315">
        <v>0</v>
      </c>
      <c r="P269">
        <v>1</v>
      </c>
    </row>
    <row r="270" spans="10:16">
      <c r="J270" t="s">
        <v>843</v>
      </c>
      <c r="L270">
        <v>616</v>
      </c>
      <c r="M270" s="314">
        <v>45377</v>
      </c>
      <c r="N270" s="314">
        <v>45992</v>
      </c>
      <c r="O270" s="315">
        <v>44013524.600000001</v>
      </c>
      <c r="P270">
        <v>3</v>
      </c>
    </row>
    <row r="271" spans="10:16" hidden="1">
      <c r="J271" t="s">
        <v>844</v>
      </c>
      <c r="K271" t="s">
        <v>589</v>
      </c>
      <c r="L271">
        <v>526</v>
      </c>
      <c r="M271" s="314">
        <v>45377</v>
      </c>
      <c r="N271" s="314">
        <v>45902</v>
      </c>
      <c r="O271" s="315">
        <v>39612172.140000001</v>
      </c>
      <c r="P271">
        <v>1</v>
      </c>
    </row>
    <row r="272" spans="10:16" hidden="1">
      <c r="J272" t="s">
        <v>845</v>
      </c>
      <c r="K272" t="s">
        <v>591</v>
      </c>
      <c r="L272">
        <v>45</v>
      </c>
      <c r="M272" s="314">
        <v>45903</v>
      </c>
      <c r="N272" s="314">
        <v>45947</v>
      </c>
      <c r="O272" s="315">
        <v>4401352.46</v>
      </c>
      <c r="P272">
        <v>1</v>
      </c>
    </row>
    <row r="273" spans="10:16" hidden="1">
      <c r="J273" t="s">
        <v>846</v>
      </c>
      <c r="K273" t="s">
        <v>593</v>
      </c>
      <c r="L273">
        <v>45</v>
      </c>
      <c r="M273" s="314">
        <v>45948</v>
      </c>
      <c r="N273" s="314">
        <v>45992</v>
      </c>
      <c r="O273" s="315">
        <v>0</v>
      </c>
      <c r="P273">
        <v>1</v>
      </c>
    </row>
    <row r="274" spans="10:16">
      <c r="J274" t="s">
        <v>847</v>
      </c>
      <c r="L274">
        <v>680</v>
      </c>
      <c r="M274" s="314">
        <v>45664</v>
      </c>
      <c r="N274" s="314">
        <v>46343</v>
      </c>
      <c r="O274" s="315">
        <v>51428000</v>
      </c>
      <c r="P274">
        <v>3</v>
      </c>
    </row>
    <row r="275" spans="10:16" hidden="1">
      <c r="J275" t="s">
        <v>848</v>
      </c>
      <c r="K275" t="s">
        <v>589</v>
      </c>
      <c r="L275">
        <v>560</v>
      </c>
      <c r="M275" s="314">
        <v>45664</v>
      </c>
      <c r="N275" s="314">
        <v>46223</v>
      </c>
      <c r="O275" s="315">
        <v>46285200</v>
      </c>
      <c r="P275">
        <v>1</v>
      </c>
    </row>
    <row r="276" spans="10:16" hidden="1">
      <c r="J276" t="s">
        <v>849</v>
      </c>
      <c r="K276" t="s">
        <v>591</v>
      </c>
      <c r="L276">
        <v>60</v>
      </c>
      <c r="M276" s="314">
        <v>46224</v>
      </c>
      <c r="N276" s="314">
        <v>46283</v>
      </c>
      <c r="O276" s="315">
        <v>5142800</v>
      </c>
      <c r="P276">
        <v>1</v>
      </c>
    </row>
    <row r="277" spans="10:16" hidden="1">
      <c r="J277" t="s">
        <v>850</v>
      </c>
      <c r="K277" t="s">
        <v>593</v>
      </c>
      <c r="L277">
        <v>60</v>
      </c>
      <c r="M277" s="314">
        <v>46284</v>
      </c>
      <c r="N277" s="314">
        <v>46343</v>
      </c>
      <c r="O277" s="315">
        <v>0</v>
      </c>
      <c r="P277">
        <v>1</v>
      </c>
    </row>
    <row r="278" spans="10:16">
      <c r="J278" t="s">
        <v>851</v>
      </c>
      <c r="L278">
        <v>809</v>
      </c>
      <c r="M278" s="314">
        <v>45566</v>
      </c>
      <c r="N278" s="314">
        <v>46374</v>
      </c>
      <c r="O278" s="315">
        <v>12474383.5</v>
      </c>
      <c r="P278">
        <v>3</v>
      </c>
    </row>
    <row r="279" spans="10:16" hidden="1">
      <c r="J279" t="s">
        <v>852</v>
      </c>
      <c r="K279" t="s">
        <v>589</v>
      </c>
      <c r="L279">
        <v>689</v>
      </c>
      <c r="M279" s="314">
        <v>45566</v>
      </c>
      <c r="N279" s="314">
        <v>46254</v>
      </c>
      <c r="O279" s="315">
        <v>11226945.15</v>
      </c>
      <c r="P279">
        <v>1</v>
      </c>
    </row>
    <row r="280" spans="10:16" hidden="1">
      <c r="J280" t="s">
        <v>853</v>
      </c>
      <c r="K280" t="s">
        <v>591</v>
      </c>
      <c r="L280">
        <v>60</v>
      </c>
      <c r="M280" s="314">
        <v>46255</v>
      </c>
      <c r="N280" s="314">
        <v>46314</v>
      </c>
      <c r="O280" s="315">
        <v>1247438.3500000001</v>
      </c>
      <c r="P280">
        <v>1</v>
      </c>
    </row>
    <row r="281" spans="10:16" hidden="1">
      <c r="J281" t="s">
        <v>854</v>
      </c>
      <c r="K281" t="s">
        <v>593</v>
      </c>
      <c r="L281">
        <v>60</v>
      </c>
      <c r="M281" s="314">
        <v>46315</v>
      </c>
      <c r="N281" s="314">
        <v>46374</v>
      </c>
      <c r="O281" s="315">
        <v>0</v>
      </c>
      <c r="P281">
        <v>1</v>
      </c>
    </row>
    <row r="282" spans="10:16">
      <c r="J282" t="s">
        <v>855</v>
      </c>
      <c r="L282">
        <v>593</v>
      </c>
      <c r="M282" s="314">
        <v>45871</v>
      </c>
      <c r="N282" s="314">
        <v>46463</v>
      </c>
      <c r="O282" s="315">
        <v>217350</v>
      </c>
      <c r="P282">
        <v>3</v>
      </c>
    </row>
    <row r="283" spans="10:16" hidden="1">
      <c r="J283" t="s">
        <v>856</v>
      </c>
      <c r="K283" t="s">
        <v>589</v>
      </c>
      <c r="L283">
        <v>473</v>
      </c>
      <c r="M283" s="314">
        <v>45871</v>
      </c>
      <c r="N283" s="314">
        <v>46343</v>
      </c>
      <c r="O283" s="315">
        <v>195615</v>
      </c>
      <c r="P283">
        <v>1</v>
      </c>
    </row>
    <row r="284" spans="10:16" hidden="1">
      <c r="J284" t="s">
        <v>857</v>
      </c>
      <c r="K284" t="s">
        <v>591</v>
      </c>
      <c r="L284">
        <v>60</v>
      </c>
      <c r="M284" s="314">
        <v>46344</v>
      </c>
      <c r="N284" s="314">
        <v>46403</v>
      </c>
      <c r="O284" s="315">
        <v>21735</v>
      </c>
      <c r="P284">
        <v>1</v>
      </c>
    </row>
    <row r="285" spans="10:16" hidden="1">
      <c r="J285" t="s">
        <v>858</v>
      </c>
      <c r="K285" t="s">
        <v>593</v>
      </c>
      <c r="L285">
        <v>60</v>
      </c>
      <c r="M285" s="314">
        <v>46404</v>
      </c>
      <c r="N285" s="314">
        <v>46463</v>
      </c>
      <c r="O285" s="315">
        <v>0</v>
      </c>
      <c r="P285">
        <v>1</v>
      </c>
    </row>
    <row r="286" spans="10:16">
      <c r="J286" t="s">
        <v>859</v>
      </c>
      <c r="L286">
        <v>768</v>
      </c>
      <c r="M286" s="314">
        <v>45627</v>
      </c>
      <c r="N286" s="314">
        <v>46394</v>
      </c>
      <c r="O286" s="315">
        <v>47358200.090000004</v>
      </c>
      <c r="P286">
        <v>3</v>
      </c>
    </row>
    <row r="287" spans="10:16" hidden="1">
      <c r="J287" t="s">
        <v>860</v>
      </c>
      <c r="K287" t="s">
        <v>589</v>
      </c>
      <c r="L287">
        <v>648</v>
      </c>
      <c r="M287" s="314">
        <v>45627</v>
      </c>
      <c r="N287" s="314">
        <v>46274</v>
      </c>
      <c r="O287" s="315">
        <v>42622380.079999998</v>
      </c>
      <c r="P287">
        <v>1</v>
      </c>
    </row>
    <row r="288" spans="10:16" hidden="1">
      <c r="J288" t="s">
        <v>861</v>
      </c>
      <c r="K288" t="s">
        <v>591</v>
      </c>
      <c r="L288">
        <v>60</v>
      </c>
      <c r="M288" s="314">
        <v>46275</v>
      </c>
      <c r="N288" s="314">
        <v>46334</v>
      </c>
      <c r="O288" s="315">
        <v>4735820.01</v>
      </c>
      <c r="P288">
        <v>1</v>
      </c>
    </row>
    <row r="289" spans="10:16" hidden="1">
      <c r="J289" t="s">
        <v>862</v>
      </c>
      <c r="K289" t="s">
        <v>593</v>
      </c>
      <c r="L289">
        <v>60</v>
      </c>
      <c r="M289" s="314">
        <v>46335</v>
      </c>
      <c r="N289" s="314">
        <v>46394</v>
      </c>
      <c r="O289" s="315">
        <v>0</v>
      </c>
      <c r="P289">
        <v>1</v>
      </c>
    </row>
    <row r="290" spans="10:16">
      <c r="J290" t="s">
        <v>863</v>
      </c>
      <c r="L290">
        <v>1109</v>
      </c>
      <c r="M290" s="314">
        <v>45654</v>
      </c>
      <c r="N290" s="314">
        <v>46762</v>
      </c>
      <c r="O290" s="315">
        <v>37878652.850000001</v>
      </c>
      <c r="P290">
        <v>3</v>
      </c>
    </row>
    <row r="291" spans="10:16" hidden="1">
      <c r="J291" t="s">
        <v>864</v>
      </c>
      <c r="K291" t="s">
        <v>589</v>
      </c>
      <c r="L291">
        <v>989</v>
      </c>
      <c r="M291" s="314">
        <v>45654</v>
      </c>
      <c r="N291" s="314">
        <v>46642</v>
      </c>
      <c r="O291" s="315">
        <v>34090787.57</v>
      </c>
      <c r="P291">
        <v>1</v>
      </c>
    </row>
    <row r="292" spans="10:16" hidden="1">
      <c r="J292" t="s">
        <v>865</v>
      </c>
      <c r="K292" t="s">
        <v>591</v>
      </c>
      <c r="L292">
        <v>60</v>
      </c>
      <c r="M292" s="314">
        <v>46643</v>
      </c>
      <c r="N292" s="314">
        <v>46702</v>
      </c>
      <c r="O292" s="315">
        <v>3787865.29</v>
      </c>
      <c r="P292">
        <v>1</v>
      </c>
    </row>
    <row r="293" spans="10:16" hidden="1">
      <c r="J293" t="s">
        <v>866</v>
      </c>
      <c r="K293" t="s">
        <v>593</v>
      </c>
      <c r="L293">
        <v>60</v>
      </c>
      <c r="M293" s="314">
        <v>46703</v>
      </c>
      <c r="N293" s="314">
        <v>46762</v>
      </c>
      <c r="O293" s="315">
        <v>0</v>
      </c>
      <c r="P293">
        <v>1</v>
      </c>
    </row>
    <row r="294" spans="10:16">
      <c r="J294" t="s">
        <v>867</v>
      </c>
      <c r="L294">
        <v>572</v>
      </c>
      <c r="M294" s="314">
        <v>45596</v>
      </c>
      <c r="N294" s="314">
        <v>46167</v>
      </c>
      <c r="O294" s="315">
        <v>5723400.5</v>
      </c>
      <c r="P294">
        <v>3</v>
      </c>
    </row>
    <row r="295" spans="10:16" hidden="1">
      <c r="J295" t="s">
        <v>868</v>
      </c>
      <c r="K295" t="s">
        <v>589</v>
      </c>
      <c r="L295">
        <v>452</v>
      </c>
      <c r="M295" s="314">
        <v>45596</v>
      </c>
      <c r="N295" s="314">
        <v>46047</v>
      </c>
      <c r="O295" s="315">
        <v>5151060.45</v>
      </c>
      <c r="P295">
        <v>1</v>
      </c>
    </row>
    <row r="296" spans="10:16" hidden="1">
      <c r="J296" t="s">
        <v>869</v>
      </c>
      <c r="K296" t="s">
        <v>591</v>
      </c>
      <c r="L296">
        <v>60</v>
      </c>
      <c r="M296" s="314">
        <v>46048</v>
      </c>
      <c r="N296" s="314">
        <v>46107</v>
      </c>
      <c r="O296" s="315">
        <v>572340.05000000005</v>
      </c>
      <c r="P296">
        <v>1</v>
      </c>
    </row>
    <row r="297" spans="10:16" hidden="1">
      <c r="J297" t="s">
        <v>870</v>
      </c>
      <c r="K297" t="s">
        <v>593</v>
      </c>
      <c r="L297">
        <v>60</v>
      </c>
      <c r="M297" s="314">
        <v>46108</v>
      </c>
      <c r="N297" s="314">
        <v>46167</v>
      </c>
      <c r="O297" s="315">
        <v>0</v>
      </c>
      <c r="P297">
        <v>1</v>
      </c>
    </row>
    <row r="298" spans="10:16">
      <c r="J298" t="s">
        <v>871</v>
      </c>
      <c r="L298">
        <v>673</v>
      </c>
      <c r="M298" s="314">
        <v>45781</v>
      </c>
      <c r="N298" s="314">
        <v>46453</v>
      </c>
      <c r="O298" s="315">
        <v>18198750.460000001</v>
      </c>
      <c r="P298">
        <v>3</v>
      </c>
    </row>
    <row r="299" spans="10:16" hidden="1">
      <c r="J299" t="s">
        <v>872</v>
      </c>
      <c r="K299" t="s">
        <v>589</v>
      </c>
      <c r="L299">
        <v>553</v>
      </c>
      <c r="M299" s="314">
        <v>45781</v>
      </c>
      <c r="N299" s="314">
        <v>46333</v>
      </c>
      <c r="O299" s="315">
        <v>16378875.41</v>
      </c>
      <c r="P299">
        <v>1</v>
      </c>
    </row>
    <row r="300" spans="10:16" hidden="1">
      <c r="J300" t="s">
        <v>873</v>
      </c>
      <c r="K300" t="s">
        <v>591</v>
      </c>
      <c r="L300">
        <v>60</v>
      </c>
      <c r="M300" s="314">
        <v>46334</v>
      </c>
      <c r="N300" s="314">
        <v>46393</v>
      </c>
      <c r="O300" s="315">
        <v>1819875.05</v>
      </c>
      <c r="P300">
        <v>1</v>
      </c>
    </row>
    <row r="301" spans="10:16" hidden="1">
      <c r="J301" t="s">
        <v>874</v>
      </c>
      <c r="K301" t="s">
        <v>593</v>
      </c>
      <c r="L301">
        <v>60</v>
      </c>
      <c r="M301" s="314">
        <v>46394</v>
      </c>
      <c r="N301" s="314">
        <v>46453</v>
      </c>
      <c r="O301" s="315">
        <v>0</v>
      </c>
      <c r="P301">
        <v>1</v>
      </c>
    </row>
    <row r="302" spans="10:16">
      <c r="J302" t="s">
        <v>875</v>
      </c>
      <c r="L302">
        <v>672</v>
      </c>
      <c r="M302" s="314">
        <v>45995</v>
      </c>
      <c r="N302" s="314">
        <v>46666</v>
      </c>
      <c r="O302" s="315">
        <v>13772864.6</v>
      </c>
      <c r="P302">
        <v>3</v>
      </c>
    </row>
    <row r="303" spans="10:16" hidden="1">
      <c r="J303" t="s">
        <v>876</v>
      </c>
      <c r="K303" t="s">
        <v>589</v>
      </c>
      <c r="L303">
        <v>552</v>
      </c>
      <c r="M303" s="314">
        <v>45995</v>
      </c>
      <c r="N303" s="314">
        <v>46546</v>
      </c>
      <c r="O303" s="315">
        <v>12395578.140000001</v>
      </c>
      <c r="P303">
        <v>1</v>
      </c>
    </row>
    <row r="304" spans="10:16" hidden="1">
      <c r="J304" t="s">
        <v>877</v>
      </c>
      <c r="K304" t="s">
        <v>591</v>
      </c>
      <c r="L304">
        <v>60</v>
      </c>
      <c r="M304" s="314">
        <v>46547</v>
      </c>
      <c r="N304" s="314">
        <v>46606</v>
      </c>
      <c r="O304" s="315">
        <v>1377286.46</v>
      </c>
      <c r="P304">
        <v>1</v>
      </c>
    </row>
    <row r="305" spans="10:16" hidden="1">
      <c r="J305" t="s">
        <v>878</v>
      </c>
      <c r="K305" t="s">
        <v>593</v>
      </c>
      <c r="L305">
        <v>60</v>
      </c>
      <c r="M305" s="314">
        <v>46607</v>
      </c>
      <c r="N305" s="314">
        <v>46666</v>
      </c>
      <c r="O305" s="315">
        <v>0</v>
      </c>
      <c r="P305">
        <v>1</v>
      </c>
    </row>
    <row r="306" spans="10:16">
      <c r="J306" t="s">
        <v>879</v>
      </c>
      <c r="L306">
        <v>685</v>
      </c>
      <c r="M306" s="314">
        <v>45798</v>
      </c>
      <c r="N306" s="314">
        <v>46482</v>
      </c>
      <c r="O306" s="315">
        <v>21863995.5</v>
      </c>
      <c r="P306">
        <v>3</v>
      </c>
    </row>
    <row r="307" spans="10:16" hidden="1">
      <c r="J307" t="s">
        <v>880</v>
      </c>
      <c r="K307" t="s">
        <v>589</v>
      </c>
      <c r="L307">
        <v>565</v>
      </c>
      <c r="M307" s="314">
        <v>45798</v>
      </c>
      <c r="N307" s="314">
        <v>46362</v>
      </c>
      <c r="O307" s="315">
        <v>19677595.949999999</v>
      </c>
      <c r="P307">
        <v>1</v>
      </c>
    </row>
    <row r="308" spans="10:16" hidden="1">
      <c r="J308" t="s">
        <v>881</v>
      </c>
      <c r="K308" t="s">
        <v>591</v>
      </c>
      <c r="L308">
        <v>60</v>
      </c>
      <c r="M308" s="314">
        <v>46363</v>
      </c>
      <c r="N308" s="314">
        <v>46422</v>
      </c>
      <c r="O308" s="315">
        <v>2186399.5499999998</v>
      </c>
      <c r="P308">
        <v>1</v>
      </c>
    </row>
    <row r="309" spans="10:16" hidden="1">
      <c r="J309" t="s">
        <v>882</v>
      </c>
      <c r="K309" t="s">
        <v>593</v>
      </c>
      <c r="L309">
        <v>60</v>
      </c>
      <c r="M309" s="314">
        <v>46423</v>
      </c>
      <c r="N309" s="314">
        <v>46482</v>
      </c>
      <c r="O309" s="315">
        <v>0</v>
      </c>
      <c r="P309">
        <v>1</v>
      </c>
    </row>
    <row r="310" spans="10:16">
      <c r="J310" t="s">
        <v>883</v>
      </c>
      <c r="L310">
        <v>1000</v>
      </c>
      <c r="M310" s="314">
        <v>45857</v>
      </c>
      <c r="N310" s="314">
        <v>46856</v>
      </c>
      <c r="O310" s="315">
        <v>23655694.350000001</v>
      </c>
      <c r="P310">
        <v>3</v>
      </c>
    </row>
    <row r="311" spans="10:16" hidden="1">
      <c r="J311" t="s">
        <v>884</v>
      </c>
      <c r="K311" t="s">
        <v>589</v>
      </c>
      <c r="L311">
        <v>880</v>
      </c>
      <c r="M311" s="314">
        <v>45857</v>
      </c>
      <c r="N311" s="314">
        <v>46736</v>
      </c>
      <c r="O311" s="315">
        <v>21290124.920000002</v>
      </c>
      <c r="P311">
        <v>1</v>
      </c>
    </row>
    <row r="312" spans="10:16" hidden="1">
      <c r="J312" t="s">
        <v>885</v>
      </c>
      <c r="K312" t="s">
        <v>591</v>
      </c>
      <c r="L312">
        <v>60</v>
      </c>
      <c r="M312" s="314">
        <v>46737</v>
      </c>
      <c r="N312" s="314">
        <v>46796</v>
      </c>
      <c r="O312" s="315">
        <v>2365569.44</v>
      </c>
      <c r="P312">
        <v>1</v>
      </c>
    </row>
    <row r="313" spans="10:16" hidden="1">
      <c r="J313" t="s">
        <v>886</v>
      </c>
      <c r="K313" t="s">
        <v>593</v>
      </c>
      <c r="L313">
        <v>60</v>
      </c>
      <c r="M313" s="314">
        <v>46797</v>
      </c>
      <c r="N313" s="314">
        <v>46856</v>
      </c>
      <c r="O313" s="315">
        <v>0</v>
      </c>
      <c r="P313">
        <v>1</v>
      </c>
    </row>
    <row r="314" spans="10:16">
      <c r="J314" t="s">
        <v>887</v>
      </c>
      <c r="L314">
        <v>460</v>
      </c>
      <c r="M314" s="314">
        <v>45522</v>
      </c>
      <c r="N314" s="314">
        <v>45981</v>
      </c>
      <c r="O314" s="315">
        <v>6273047.5700000003</v>
      </c>
      <c r="P314">
        <v>3</v>
      </c>
    </row>
    <row r="315" spans="10:16" hidden="1">
      <c r="J315" t="s">
        <v>888</v>
      </c>
      <c r="K315" t="s">
        <v>589</v>
      </c>
      <c r="L315">
        <v>370</v>
      </c>
      <c r="M315" s="314">
        <v>45522</v>
      </c>
      <c r="N315" s="314">
        <v>45891</v>
      </c>
      <c r="O315" s="315">
        <v>5645742.8099999996</v>
      </c>
      <c r="P315">
        <v>1</v>
      </c>
    </row>
    <row r="316" spans="10:16" hidden="1">
      <c r="J316" t="s">
        <v>889</v>
      </c>
      <c r="K316" t="s">
        <v>591</v>
      </c>
      <c r="L316">
        <v>45</v>
      </c>
      <c r="M316" s="314">
        <v>45892</v>
      </c>
      <c r="N316" s="314">
        <v>45936</v>
      </c>
      <c r="O316" s="315">
        <v>627304.76</v>
      </c>
      <c r="P316">
        <v>1</v>
      </c>
    </row>
    <row r="317" spans="10:16" hidden="1">
      <c r="J317" t="s">
        <v>890</v>
      </c>
      <c r="K317" t="s">
        <v>593</v>
      </c>
      <c r="L317">
        <v>45</v>
      </c>
      <c r="M317" s="314">
        <v>45937</v>
      </c>
      <c r="N317" s="314">
        <v>45981</v>
      </c>
      <c r="O317" s="315">
        <v>0</v>
      </c>
      <c r="P317">
        <v>1</v>
      </c>
    </row>
    <row r="318" spans="10:16">
      <c r="J318" t="s">
        <v>891</v>
      </c>
      <c r="L318">
        <v>486</v>
      </c>
      <c r="M318" s="314">
        <v>45571</v>
      </c>
      <c r="N318" s="314">
        <v>46056</v>
      </c>
      <c r="O318" s="315">
        <v>38115572.630000003</v>
      </c>
      <c r="P318">
        <v>3</v>
      </c>
    </row>
    <row r="319" spans="10:16" hidden="1">
      <c r="J319" t="s">
        <v>892</v>
      </c>
      <c r="K319" t="s">
        <v>589</v>
      </c>
      <c r="L319">
        <v>366</v>
      </c>
      <c r="M319" s="314">
        <v>45571</v>
      </c>
      <c r="N319" s="314">
        <v>45936</v>
      </c>
      <c r="O319" s="315">
        <v>34304015.369999997</v>
      </c>
      <c r="P319">
        <v>1</v>
      </c>
    </row>
    <row r="320" spans="10:16" hidden="1">
      <c r="J320" t="s">
        <v>893</v>
      </c>
      <c r="K320" t="s">
        <v>591</v>
      </c>
      <c r="L320">
        <v>60</v>
      </c>
      <c r="M320" s="314">
        <v>45937</v>
      </c>
      <c r="N320" s="314">
        <v>45996</v>
      </c>
      <c r="O320" s="315">
        <v>3811557.26</v>
      </c>
      <c r="P320">
        <v>1</v>
      </c>
    </row>
    <row r="321" spans="10:16" hidden="1">
      <c r="J321" t="s">
        <v>894</v>
      </c>
      <c r="K321" t="s">
        <v>593</v>
      </c>
      <c r="L321">
        <v>60</v>
      </c>
      <c r="M321" s="314">
        <v>45997</v>
      </c>
      <c r="N321" s="314">
        <v>46056</v>
      </c>
      <c r="O321" s="315">
        <v>0</v>
      </c>
      <c r="P321">
        <v>1</v>
      </c>
    </row>
    <row r="322" spans="10:16">
      <c r="J322" t="s">
        <v>895</v>
      </c>
      <c r="L322">
        <v>504</v>
      </c>
      <c r="M322" s="314">
        <v>45770</v>
      </c>
      <c r="N322" s="314">
        <v>46273</v>
      </c>
      <c r="O322" s="315">
        <v>14758525.9</v>
      </c>
      <c r="P322">
        <v>3</v>
      </c>
    </row>
    <row r="323" spans="10:16" hidden="1">
      <c r="J323" t="s">
        <v>896</v>
      </c>
      <c r="K323" t="s">
        <v>589</v>
      </c>
      <c r="L323">
        <v>414</v>
      </c>
      <c r="M323" s="314">
        <v>45770</v>
      </c>
      <c r="N323" s="314">
        <v>46183</v>
      </c>
      <c r="O323" s="315">
        <v>13282673.310000001</v>
      </c>
      <c r="P323">
        <v>1</v>
      </c>
    </row>
    <row r="324" spans="10:16" hidden="1">
      <c r="J324" t="s">
        <v>897</v>
      </c>
      <c r="K324" t="s">
        <v>591</v>
      </c>
      <c r="L324">
        <v>45</v>
      </c>
      <c r="M324" s="314">
        <v>46184</v>
      </c>
      <c r="N324" s="314">
        <v>46228</v>
      </c>
      <c r="O324" s="315">
        <v>1475852.59</v>
      </c>
      <c r="P324">
        <v>1</v>
      </c>
    </row>
    <row r="325" spans="10:16" hidden="1">
      <c r="J325" t="s">
        <v>898</v>
      </c>
      <c r="K325" t="s">
        <v>593</v>
      </c>
      <c r="L325">
        <v>45</v>
      </c>
      <c r="M325" s="314">
        <v>46229</v>
      </c>
      <c r="N325" s="314">
        <v>46273</v>
      </c>
      <c r="O325" s="315">
        <v>0</v>
      </c>
      <c r="P325">
        <v>1</v>
      </c>
    </row>
    <row r="326" spans="10:16" hidden="1">
      <c r="J326" t="s">
        <v>899</v>
      </c>
      <c r="K326" t="s">
        <v>900</v>
      </c>
      <c r="L326">
        <v>0</v>
      </c>
      <c r="M326" s="314">
        <v>44052</v>
      </c>
      <c r="O326" s="315">
        <v>0</v>
      </c>
      <c r="P326">
        <v>1</v>
      </c>
    </row>
    <row r="327" spans="10:16" hidden="1">
      <c r="J327" t="s">
        <v>901</v>
      </c>
      <c r="K327" t="s">
        <v>902</v>
      </c>
      <c r="L327">
        <v>0</v>
      </c>
      <c r="N327" s="314">
        <v>46575</v>
      </c>
      <c r="O327" s="315">
        <v>0</v>
      </c>
      <c r="P327">
        <v>1</v>
      </c>
    </row>
    <row r="328" spans="10:16">
      <c r="J328" t="s">
        <v>903</v>
      </c>
      <c r="L328">
        <v>1193</v>
      </c>
      <c r="M328" s="314">
        <v>45383</v>
      </c>
      <c r="N328" s="314">
        <v>46575</v>
      </c>
      <c r="O328" s="315">
        <v>19550000</v>
      </c>
      <c r="P328">
        <v>8</v>
      </c>
    </row>
    <row r="329" spans="10:16" hidden="1">
      <c r="J329" t="s">
        <v>904</v>
      </c>
      <c r="K329" t="s">
        <v>579</v>
      </c>
      <c r="L329">
        <v>30</v>
      </c>
      <c r="M329" s="314">
        <v>45383</v>
      </c>
      <c r="N329" s="314">
        <v>45412</v>
      </c>
      <c r="O329" s="315">
        <v>0</v>
      </c>
      <c r="P329">
        <v>1</v>
      </c>
    </row>
    <row r="330" spans="10:16" hidden="1">
      <c r="J330" t="s">
        <v>905</v>
      </c>
      <c r="K330" t="s">
        <v>581</v>
      </c>
      <c r="L330">
        <v>31</v>
      </c>
      <c r="M330" s="314">
        <v>45413</v>
      </c>
      <c r="N330" s="314">
        <v>45443</v>
      </c>
      <c r="O330" s="315">
        <v>0</v>
      </c>
      <c r="P330">
        <v>1</v>
      </c>
    </row>
    <row r="331" spans="10:16" hidden="1">
      <c r="J331" t="s">
        <v>906</v>
      </c>
      <c r="K331" t="s">
        <v>583</v>
      </c>
      <c r="L331">
        <v>122</v>
      </c>
      <c r="M331" s="314">
        <v>45444</v>
      </c>
      <c r="N331" s="314">
        <v>45565</v>
      </c>
      <c r="O331" s="315">
        <v>0</v>
      </c>
      <c r="P331">
        <v>1</v>
      </c>
    </row>
    <row r="332" spans="10:16" hidden="1">
      <c r="J332" t="s">
        <v>907</v>
      </c>
      <c r="K332" t="s">
        <v>585</v>
      </c>
      <c r="L332">
        <v>92</v>
      </c>
      <c r="M332" s="314">
        <v>45566</v>
      </c>
      <c r="N332" s="314">
        <v>45657</v>
      </c>
      <c r="O332" s="315">
        <v>0</v>
      </c>
      <c r="P332">
        <v>1</v>
      </c>
    </row>
    <row r="333" spans="10:16" hidden="1">
      <c r="J333" t="s">
        <v>908</v>
      </c>
      <c r="K333" t="s">
        <v>587</v>
      </c>
      <c r="L333">
        <v>188</v>
      </c>
      <c r="M333" s="314">
        <v>45658</v>
      </c>
      <c r="N333" s="314">
        <v>45845</v>
      </c>
      <c r="O333" s="315">
        <v>0</v>
      </c>
      <c r="P333">
        <v>1</v>
      </c>
    </row>
    <row r="334" spans="10:16" hidden="1">
      <c r="J334" t="s">
        <v>909</v>
      </c>
      <c r="K334" t="s">
        <v>589</v>
      </c>
      <c r="L334">
        <v>610</v>
      </c>
      <c r="M334" s="314">
        <v>45846</v>
      </c>
      <c r="N334" s="314">
        <v>46455</v>
      </c>
      <c r="O334" s="315">
        <v>17595000</v>
      </c>
      <c r="P334">
        <v>1</v>
      </c>
    </row>
    <row r="335" spans="10:16" hidden="1">
      <c r="J335" t="s">
        <v>910</v>
      </c>
      <c r="K335" t="s">
        <v>591</v>
      </c>
      <c r="L335">
        <v>60</v>
      </c>
      <c r="M335" s="314">
        <v>46456</v>
      </c>
      <c r="N335" s="314">
        <v>46515</v>
      </c>
      <c r="O335" s="315">
        <v>1955000</v>
      </c>
      <c r="P335">
        <v>1</v>
      </c>
    </row>
    <row r="336" spans="10:16" hidden="1">
      <c r="J336" t="s">
        <v>911</v>
      </c>
      <c r="K336" t="s">
        <v>593</v>
      </c>
      <c r="L336">
        <v>60</v>
      </c>
      <c r="M336" s="314">
        <v>46516</v>
      </c>
      <c r="N336" s="314">
        <v>46575</v>
      </c>
      <c r="O336" s="315">
        <v>0</v>
      </c>
      <c r="P336">
        <v>1</v>
      </c>
    </row>
    <row r="337" spans="10:16">
      <c r="J337" t="s">
        <v>912</v>
      </c>
      <c r="L337">
        <v>1559</v>
      </c>
      <c r="M337" s="314">
        <v>45383</v>
      </c>
      <c r="N337" s="314">
        <v>46941</v>
      </c>
      <c r="O337" s="315">
        <v>27000000.149999999</v>
      </c>
      <c r="P337">
        <v>8</v>
      </c>
    </row>
    <row r="338" spans="10:16" hidden="1">
      <c r="J338" t="s">
        <v>913</v>
      </c>
      <c r="K338" t="s">
        <v>579</v>
      </c>
      <c r="L338">
        <v>30</v>
      </c>
      <c r="M338" s="314">
        <v>45383</v>
      </c>
      <c r="N338" s="314">
        <v>45412</v>
      </c>
      <c r="O338" s="315">
        <v>0</v>
      </c>
      <c r="P338">
        <v>1</v>
      </c>
    </row>
    <row r="339" spans="10:16" hidden="1">
      <c r="J339" t="s">
        <v>914</v>
      </c>
      <c r="K339" t="s">
        <v>581</v>
      </c>
      <c r="L339">
        <v>31</v>
      </c>
      <c r="M339" s="314">
        <v>45413</v>
      </c>
      <c r="N339" s="314">
        <v>45443</v>
      </c>
      <c r="O339" s="315">
        <v>0</v>
      </c>
      <c r="P339">
        <v>1</v>
      </c>
    </row>
    <row r="340" spans="10:16" hidden="1">
      <c r="J340" t="s">
        <v>915</v>
      </c>
      <c r="K340" t="s">
        <v>583</v>
      </c>
      <c r="L340">
        <v>122</v>
      </c>
      <c r="M340" s="314">
        <v>45444</v>
      </c>
      <c r="N340" s="314">
        <v>45565</v>
      </c>
      <c r="O340" s="315">
        <v>0</v>
      </c>
      <c r="P340">
        <v>1</v>
      </c>
    </row>
    <row r="341" spans="10:16" hidden="1">
      <c r="J341" t="s">
        <v>916</v>
      </c>
      <c r="K341" t="s">
        <v>585</v>
      </c>
      <c r="L341">
        <v>92</v>
      </c>
      <c r="M341" s="314">
        <v>45566</v>
      </c>
      <c r="N341" s="314">
        <v>45657</v>
      </c>
      <c r="O341" s="315">
        <v>0</v>
      </c>
      <c r="P341">
        <v>1</v>
      </c>
    </row>
    <row r="342" spans="10:16" hidden="1">
      <c r="J342" t="s">
        <v>917</v>
      </c>
      <c r="K342" t="s">
        <v>587</v>
      </c>
      <c r="L342">
        <v>188</v>
      </c>
      <c r="M342" s="314">
        <v>45658</v>
      </c>
      <c r="N342" s="314">
        <v>45845</v>
      </c>
      <c r="O342" s="315">
        <v>0</v>
      </c>
      <c r="P342">
        <v>1</v>
      </c>
    </row>
    <row r="343" spans="10:16" hidden="1">
      <c r="J343" t="s">
        <v>918</v>
      </c>
      <c r="K343" t="s">
        <v>589</v>
      </c>
      <c r="L343">
        <v>976</v>
      </c>
      <c r="M343" s="314">
        <v>45846</v>
      </c>
      <c r="N343" s="314">
        <v>46821</v>
      </c>
      <c r="O343" s="315">
        <v>24300000.140000001</v>
      </c>
      <c r="P343">
        <v>1</v>
      </c>
    </row>
    <row r="344" spans="10:16" hidden="1">
      <c r="J344" t="s">
        <v>919</v>
      </c>
      <c r="K344" t="s">
        <v>591</v>
      </c>
      <c r="L344">
        <v>60</v>
      </c>
      <c r="M344" s="314">
        <v>46822</v>
      </c>
      <c r="N344" s="314">
        <v>46881</v>
      </c>
      <c r="O344" s="315">
        <v>2700000.02</v>
      </c>
      <c r="P344">
        <v>1</v>
      </c>
    </row>
    <row r="345" spans="10:16" hidden="1">
      <c r="J345" t="s">
        <v>920</v>
      </c>
      <c r="K345" t="s">
        <v>593</v>
      </c>
      <c r="L345">
        <v>60</v>
      </c>
      <c r="M345" s="314">
        <v>46882</v>
      </c>
      <c r="N345" s="314">
        <v>46941</v>
      </c>
      <c r="O345" s="315">
        <v>0</v>
      </c>
      <c r="P345">
        <v>1</v>
      </c>
    </row>
    <row r="346" spans="10:16">
      <c r="J346" t="s">
        <v>921</v>
      </c>
      <c r="L346">
        <v>1559</v>
      </c>
      <c r="M346" s="314">
        <v>45383</v>
      </c>
      <c r="N346" s="314">
        <v>46941</v>
      </c>
      <c r="O346" s="315">
        <v>28750000</v>
      </c>
      <c r="P346">
        <v>8</v>
      </c>
    </row>
    <row r="347" spans="10:16" hidden="1">
      <c r="J347" t="s">
        <v>922</v>
      </c>
      <c r="K347" t="s">
        <v>579</v>
      </c>
      <c r="L347">
        <v>30</v>
      </c>
      <c r="M347" s="314">
        <v>45383</v>
      </c>
      <c r="N347" s="314">
        <v>45412</v>
      </c>
      <c r="O347" s="315">
        <v>0</v>
      </c>
      <c r="P347">
        <v>1</v>
      </c>
    </row>
    <row r="348" spans="10:16" hidden="1">
      <c r="J348" t="s">
        <v>923</v>
      </c>
      <c r="K348" t="s">
        <v>581</v>
      </c>
      <c r="L348">
        <v>31</v>
      </c>
      <c r="M348" s="314">
        <v>45413</v>
      </c>
      <c r="N348" s="314">
        <v>45443</v>
      </c>
      <c r="O348" s="315">
        <v>0</v>
      </c>
      <c r="P348">
        <v>1</v>
      </c>
    </row>
    <row r="349" spans="10:16" hidden="1">
      <c r="J349" t="s">
        <v>924</v>
      </c>
      <c r="K349" t="s">
        <v>583</v>
      </c>
      <c r="L349">
        <v>122</v>
      </c>
      <c r="M349" s="314">
        <v>45444</v>
      </c>
      <c r="N349" s="314">
        <v>45565</v>
      </c>
      <c r="O349" s="315">
        <v>0</v>
      </c>
      <c r="P349">
        <v>1</v>
      </c>
    </row>
    <row r="350" spans="10:16" hidden="1">
      <c r="J350" t="s">
        <v>925</v>
      </c>
      <c r="K350" t="s">
        <v>585</v>
      </c>
      <c r="L350">
        <v>92</v>
      </c>
      <c r="M350" s="314">
        <v>45566</v>
      </c>
      <c r="N350" s="314">
        <v>45657</v>
      </c>
      <c r="O350" s="315">
        <v>0</v>
      </c>
      <c r="P350">
        <v>1</v>
      </c>
    </row>
    <row r="351" spans="10:16" hidden="1">
      <c r="J351" t="s">
        <v>926</v>
      </c>
      <c r="K351" t="s">
        <v>587</v>
      </c>
      <c r="L351">
        <v>188</v>
      </c>
      <c r="M351" s="314">
        <v>45658</v>
      </c>
      <c r="N351" s="314">
        <v>45845</v>
      </c>
      <c r="O351" s="315">
        <v>0</v>
      </c>
      <c r="P351">
        <v>1</v>
      </c>
    </row>
    <row r="352" spans="10:16" hidden="1">
      <c r="J352" t="s">
        <v>927</v>
      </c>
      <c r="K352" t="s">
        <v>589</v>
      </c>
      <c r="L352">
        <v>976</v>
      </c>
      <c r="M352" s="314">
        <v>45846</v>
      </c>
      <c r="N352" s="314">
        <v>46821</v>
      </c>
      <c r="O352" s="315">
        <v>25875000</v>
      </c>
      <c r="P352">
        <v>1</v>
      </c>
    </row>
    <row r="353" spans="10:16" hidden="1">
      <c r="J353" t="s">
        <v>928</v>
      </c>
      <c r="K353" t="s">
        <v>591</v>
      </c>
      <c r="L353">
        <v>60</v>
      </c>
      <c r="M353" s="314">
        <v>46822</v>
      </c>
      <c r="N353" s="314">
        <v>46881</v>
      </c>
      <c r="O353" s="315">
        <v>2875000</v>
      </c>
      <c r="P353">
        <v>1</v>
      </c>
    </row>
    <row r="354" spans="10:16" hidden="1">
      <c r="J354" t="s">
        <v>929</v>
      </c>
      <c r="K354" t="s">
        <v>593</v>
      </c>
      <c r="L354">
        <v>60</v>
      </c>
      <c r="M354" s="314">
        <v>46882</v>
      </c>
      <c r="N354" s="314">
        <v>46941</v>
      </c>
      <c r="O354" s="315">
        <v>0</v>
      </c>
      <c r="P354">
        <v>1</v>
      </c>
    </row>
    <row r="355" spans="10:16">
      <c r="J355" t="s">
        <v>930</v>
      </c>
      <c r="L355">
        <v>1193</v>
      </c>
      <c r="M355" s="314">
        <v>45383</v>
      </c>
      <c r="N355" s="314">
        <v>46575</v>
      </c>
      <c r="O355" s="315">
        <v>17706665</v>
      </c>
      <c r="P355">
        <v>8</v>
      </c>
    </row>
    <row r="356" spans="10:16" hidden="1">
      <c r="J356" t="s">
        <v>931</v>
      </c>
      <c r="K356" t="s">
        <v>579</v>
      </c>
      <c r="L356">
        <v>30</v>
      </c>
      <c r="M356" s="314">
        <v>45383</v>
      </c>
      <c r="N356" s="314">
        <v>45412</v>
      </c>
      <c r="O356" s="315">
        <v>0</v>
      </c>
      <c r="P356">
        <v>1</v>
      </c>
    </row>
    <row r="357" spans="10:16" hidden="1">
      <c r="J357" t="s">
        <v>932</v>
      </c>
      <c r="K357" t="s">
        <v>581</v>
      </c>
      <c r="L357">
        <v>31</v>
      </c>
      <c r="M357" s="314">
        <v>45413</v>
      </c>
      <c r="N357" s="314">
        <v>45443</v>
      </c>
      <c r="O357" s="315">
        <v>0</v>
      </c>
      <c r="P357">
        <v>1</v>
      </c>
    </row>
    <row r="358" spans="10:16" hidden="1">
      <c r="J358" t="s">
        <v>933</v>
      </c>
      <c r="K358" t="s">
        <v>583</v>
      </c>
      <c r="L358">
        <v>122</v>
      </c>
      <c r="M358" s="314">
        <v>45444</v>
      </c>
      <c r="N358" s="314">
        <v>45565</v>
      </c>
      <c r="O358" s="315">
        <v>0</v>
      </c>
      <c r="P358">
        <v>1</v>
      </c>
    </row>
    <row r="359" spans="10:16" hidden="1">
      <c r="J359" t="s">
        <v>934</v>
      </c>
      <c r="K359" t="s">
        <v>585</v>
      </c>
      <c r="L359">
        <v>92</v>
      </c>
      <c r="M359" s="314">
        <v>45566</v>
      </c>
      <c r="N359" s="314">
        <v>45657</v>
      </c>
      <c r="O359" s="315">
        <v>0</v>
      </c>
      <c r="P359">
        <v>1</v>
      </c>
    </row>
    <row r="360" spans="10:16" hidden="1">
      <c r="J360" t="s">
        <v>935</v>
      </c>
      <c r="K360" t="s">
        <v>587</v>
      </c>
      <c r="L360">
        <v>188</v>
      </c>
      <c r="M360" s="314">
        <v>45658</v>
      </c>
      <c r="N360" s="314">
        <v>45845</v>
      </c>
      <c r="O360" s="315">
        <v>0</v>
      </c>
      <c r="P360">
        <v>1</v>
      </c>
    </row>
    <row r="361" spans="10:16" hidden="1">
      <c r="J361" t="s">
        <v>936</v>
      </c>
      <c r="K361" t="s">
        <v>589</v>
      </c>
      <c r="L361">
        <v>610</v>
      </c>
      <c r="M361" s="314">
        <v>45846</v>
      </c>
      <c r="N361" s="314">
        <v>46455</v>
      </c>
      <c r="O361" s="315">
        <v>15935998.5</v>
      </c>
      <c r="P361">
        <v>1</v>
      </c>
    </row>
    <row r="362" spans="10:16" hidden="1">
      <c r="J362" t="s">
        <v>937</v>
      </c>
      <c r="K362" t="s">
        <v>591</v>
      </c>
      <c r="L362">
        <v>60</v>
      </c>
      <c r="M362" s="314">
        <v>46456</v>
      </c>
      <c r="N362" s="314">
        <v>46515</v>
      </c>
      <c r="O362" s="315">
        <v>1770666.5</v>
      </c>
      <c r="P362">
        <v>1</v>
      </c>
    </row>
    <row r="363" spans="10:16" hidden="1">
      <c r="J363" t="s">
        <v>938</v>
      </c>
      <c r="K363" t="s">
        <v>593</v>
      </c>
      <c r="L363">
        <v>60</v>
      </c>
      <c r="M363" s="314">
        <v>46516</v>
      </c>
      <c r="N363" s="314">
        <v>46575</v>
      </c>
      <c r="O363" s="315">
        <v>0</v>
      </c>
      <c r="P363">
        <v>1</v>
      </c>
    </row>
    <row r="364" spans="10:16">
      <c r="J364" t="s">
        <v>939</v>
      </c>
      <c r="L364">
        <v>1559</v>
      </c>
      <c r="M364" s="314">
        <v>45383</v>
      </c>
      <c r="N364" s="314">
        <v>46941</v>
      </c>
      <c r="O364" s="315">
        <v>80500000</v>
      </c>
      <c r="P364">
        <v>8</v>
      </c>
    </row>
    <row r="365" spans="10:16" hidden="1">
      <c r="J365" t="s">
        <v>940</v>
      </c>
      <c r="K365" t="s">
        <v>579</v>
      </c>
      <c r="L365">
        <v>30</v>
      </c>
      <c r="M365" s="314">
        <v>45383</v>
      </c>
      <c r="N365" s="314">
        <v>45412</v>
      </c>
      <c r="O365" s="315">
        <v>0</v>
      </c>
      <c r="P365">
        <v>1</v>
      </c>
    </row>
    <row r="366" spans="10:16" hidden="1">
      <c r="J366" t="s">
        <v>941</v>
      </c>
      <c r="K366" t="s">
        <v>581</v>
      </c>
      <c r="L366">
        <v>31</v>
      </c>
      <c r="M366" s="314">
        <v>45413</v>
      </c>
      <c r="N366" s="314">
        <v>45443</v>
      </c>
      <c r="O366" s="315">
        <v>0</v>
      </c>
      <c r="P366">
        <v>1</v>
      </c>
    </row>
    <row r="367" spans="10:16" hidden="1">
      <c r="J367" t="s">
        <v>942</v>
      </c>
      <c r="K367" t="s">
        <v>583</v>
      </c>
      <c r="L367">
        <v>122</v>
      </c>
      <c r="M367" s="314">
        <v>45444</v>
      </c>
      <c r="N367" s="314">
        <v>45565</v>
      </c>
      <c r="O367" s="315">
        <v>0</v>
      </c>
      <c r="P367">
        <v>1</v>
      </c>
    </row>
    <row r="368" spans="10:16" hidden="1">
      <c r="J368" t="s">
        <v>943</v>
      </c>
      <c r="K368" t="s">
        <v>585</v>
      </c>
      <c r="L368">
        <v>92</v>
      </c>
      <c r="M368" s="314">
        <v>45566</v>
      </c>
      <c r="N368" s="314">
        <v>45657</v>
      </c>
      <c r="O368" s="315">
        <v>0</v>
      </c>
      <c r="P368">
        <v>1</v>
      </c>
    </row>
    <row r="369" spans="10:16" hidden="1">
      <c r="J369" t="s">
        <v>944</v>
      </c>
      <c r="K369" t="s">
        <v>587</v>
      </c>
      <c r="L369">
        <v>188</v>
      </c>
      <c r="M369" s="314">
        <v>45658</v>
      </c>
      <c r="N369" s="314">
        <v>45845</v>
      </c>
      <c r="O369" s="315">
        <v>0</v>
      </c>
      <c r="P369">
        <v>1</v>
      </c>
    </row>
    <row r="370" spans="10:16" hidden="1">
      <c r="J370" t="s">
        <v>945</v>
      </c>
      <c r="K370" t="s">
        <v>589</v>
      </c>
      <c r="L370">
        <v>976</v>
      </c>
      <c r="M370" s="314">
        <v>45846</v>
      </c>
      <c r="N370" s="314">
        <v>46821</v>
      </c>
      <c r="O370" s="315">
        <v>72450000</v>
      </c>
      <c r="P370">
        <v>1</v>
      </c>
    </row>
    <row r="371" spans="10:16" hidden="1">
      <c r="J371" t="s">
        <v>946</v>
      </c>
      <c r="K371" t="s">
        <v>591</v>
      </c>
      <c r="L371">
        <v>60</v>
      </c>
      <c r="M371" s="314">
        <v>46822</v>
      </c>
      <c r="N371" s="314">
        <v>46881</v>
      </c>
      <c r="O371" s="315">
        <v>8050000</v>
      </c>
      <c r="P371">
        <v>1</v>
      </c>
    </row>
    <row r="372" spans="10:16" hidden="1">
      <c r="J372" t="s">
        <v>947</v>
      </c>
      <c r="K372" t="s">
        <v>593</v>
      </c>
      <c r="L372">
        <v>60</v>
      </c>
      <c r="M372" s="314">
        <v>46882</v>
      </c>
      <c r="N372" s="314">
        <v>46941</v>
      </c>
      <c r="O372" s="315">
        <v>0</v>
      </c>
      <c r="P372">
        <v>1</v>
      </c>
    </row>
    <row r="373" spans="10:16">
      <c r="J373" t="s">
        <v>948</v>
      </c>
      <c r="L373">
        <v>1559</v>
      </c>
      <c r="M373" s="314">
        <v>45383</v>
      </c>
      <c r="N373" s="314">
        <v>46941</v>
      </c>
      <c r="O373" s="315">
        <v>92000000</v>
      </c>
      <c r="P373">
        <v>8</v>
      </c>
    </row>
    <row r="374" spans="10:16" hidden="1">
      <c r="J374" t="s">
        <v>949</v>
      </c>
      <c r="K374" t="s">
        <v>579</v>
      </c>
      <c r="L374">
        <v>30</v>
      </c>
      <c r="M374" s="314">
        <v>45383</v>
      </c>
      <c r="N374" s="314">
        <v>45412</v>
      </c>
      <c r="O374" s="315">
        <v>0</v>
      </c>
      <c r="P374">
        <v>1</v>
      </c>
    </row>
    <row r="375" spans="10:16" hidden="1">
      <c r="J375" t="s">
        <v>950</v>
      </c>
      <c r="K375" t="s">
        <v>581</v>
      </c>
      <c r="L375">
        <v>31</v>
      </c>
      <c r="M375" s="314">
        <v>45413</v>
      </c>
      <c r="N375" s="314">
        <v>45443</v>
      </c>
      <c r="O375" s="315">
        <v>0</v>
      </c>
      <c r="P375">
        <v>1</v>
      </c>
    </row>
    <row r="376" spans="10:16" hidden="1">
      <c r="J376" t="s">
        <v>951</v>
      </c>
      <c r="K376" t="s">
        <v>583</v>
      </c>
      <c r="L376">
        <v>122</v>
      </c>
      <c r="M376" s="314">
        <v>45444</v>
      </c>
      <c r="N376" s="314">
        <v>45565</v>
      </c>
      <c r="O376" s="315">
        <v>0</v>
      </c>
      <c r="P376">
        <v>1</v>
      </c>
    </row>
    <row r="377" spans="10:16" hidden="1">
      <c r="J377" t="s">
        <v>952</v>
      </c>
      <c r="K377" t="s">
        <v>585</v>
      </c>
      <c r="L377">
        <v>92</v>
      </c>
      <c r="M377" s="314">
        <v>45566</v>
      </c>
      <c r="N377" s="314">
        <v>45657</v>
      </c>
      <c r="O377" s="315">
        <v>0</v>
      </c>
      <c r="P377">
        <v>1</v>
      </c>
    </row>
    <row r="378" spans="10:16" hidden="1">
      <c r="J378" t="s">
        <v>953</v>
      </c>
      <c r="K378" t="s">
        <v>587</v>
      </c>
      <c r="L378">
        <v>188</v>
      </c>
      <c r="M378" s="314">
        <v>45658</v>
      </c>
      <c r="N378" s="314">
        <v>45845</v>
      </c>
      <c r="O378" s="315">
        <v>0</v>
      </c>
      <c r="P378">
        <v>1</v>
      </c>
    </row>
    <row r="379" spans="10:16" hidden="1">
      <c r="J379" t="s">
        <v>954</v>
      </c>
      <c r="K379" t="s">
        <v>589</v>
      </c>
      <c r="L379">
        <v>976</v>
      </c>
      <c r="M379" s="314">
        <v>45846</v>
      </c>
      <c r="N379" s="314">
        <v>46821</v>
      </c>
      <c r="O379" s="315">
        <v>82800000</v>
      </c>
      <c r="P379">
        <v>1</v>
      </c>
    </row>
    <row r="380" spans="10:16" hidden="1">
      <c r="J380" t="s">
        <v>955</v>
      </c>
      <c r="K380" t="s">
        <v>591</v>
      </c>
      <c r="L380">
        <v>60</v>
      </c>
      <c r="M380" s="314">
        <v>46822</v>
      </c>
      <c r="N380" s="314">
        <v>46881</v>
      </c>
      <c r="O380" s="315">
        <v>9200000</v>
      </c>
      <c r="P380">
        <v>1</v>
      </c>
    </row>
    <row r="381" spans="10:16" hidden="1">
      <c r="J381" t="s">
        <v>956</v>
      </c>
      <c r="K381" t="s">
        <v>593</v>
      </c>
      <c r="L381">
        <v>60</v>
      </c>
      <c r="M381" s="314">
        <v>46882</v>
      </c>
      <c r="N381" s="314">
        <v>46941</v>
      </c>
      <c r="O381" s="315">
        <v>0</v>
      </c>
      <c r="P381">
        <v>1</v>
      </c>
    </row>
    <row r="382" spans="10:16">
      <c r="J382" t="s">
        <v>957</v>
      </c>
      <c r="L382">
        <v>1193</v>
      </c>
      <c r="M382" s="314">
        <v>45383</v>
      </c>
      <c r="N382" s="314">
        <v>46575</v>
      </c>
      <c r="O382" s="315">
        <v>51750000</v>
      </c>
      <c r="P382">
        <v>8</v>
      </c>
    </row>
    <row r="383" spans="10:16" hidden="1">
      <c r="J383" t="s">
        <v>958</v>
      </c>
      <c r="K383" t="s">
        <v>579</v>
      </c>
      <c r="L383">
        <v>30</v>
      </c>
      <c r="M383" s="314">
        <v>45383</v>
      </c>
      <c r="N383" s="314">
        <v>45412</v>
      </c>
      <c r="O383" s="315">
        <v>0</v>
      </c>
      <c r="P383">
        <v>1</v>
      </c>
    </row>
    <row r="384" spans="10:16" hidden="1">
      <c r="J384" t="s">
        <v>959</v>
      </c>
      <c r="K384" t="s">
        <v>581</v>
      </c>
      <c r="L384">
        <v>31</v>
      </c>
      <c r="M384" s="314">
        <v>45413</v>
      </c>
      <c r="N384" s="314">
        <v>45443</v>
      </c>
      <c r="O384" s="315">
        <v>0</v>
      </c>
      <c r="P384">
        <v>1</v>
      </c>
    </row>
    <row r="385" spans="10:16" hidden="1">
      <c r="J385" t="s">
        <v>960</v>
      </c>
      <c r="K385" t="s">
        <v>583</v>
      </c>
      <c r="L385">
        <v>122</v>
      </c>
      <c r="M385" s="314">
        <v>45444</v>
      </c>
      <c r="N385" s="314">
        <v>45565</v>
      </c>
      <c r="O385" s="315">
        <v>0</v>
      </c>
      <c r="P385">
        <v>1</v>
      </c>
    </row>
    <row r="386" spans="10:16" hidden="1">
      <c r="J386" t="s">
        <v>961</v>
      </c>
      <c r="K386" t="s">
        <v>585</v>
      </c>
      <c r="L386">
        <v>92</v>
      </c>
      <c r="M386" s="314">
        <v>45566</v>
      </c>
      <c r="N386" s="314">
        <v>45657</v>
      </c>
      <c r="O386" s="315">
        <v>0</v>
      </c>
      <c r="P386">
        <v>1</v>
      </c>
    </row>
    <row r="387" spans="10:16" hidden="1">
      <c r="J387" t="s">
        <v>962</v>
      </c>
      <c r="K387" t="s">
        <v>587</v>
      </c>
      <c r="L387">
        <v>188</v>
      </c>
      <c r="M387" s="314">
        <v>45658</v>
      </c>
      <c r="N387" s="314">
        <v>45845</v>
      </c>
      <c r="O387" s="315">
        <v>0</v>
      </c>
      <c r="P387">
        <v>1</v>
      </c>
    </row>
    <row r="388" spans="10:16" hidden="1">
      <c r="J388" t="s">
        <v>963</v>
      </c>
      <c r="K388" t="s">
        <v>589</v>
      </c>
      <c r="L388">
        <v>610</v>
      </c>
      <c r="M388" s="314">
        <v>45846</v>
      </c>
      <c r="N388" s="314">
        <v>46455</v>
      </c>
      <c r="O388" s="315">
        <v>46575000</v>
      </c>
      <c r="P388">
        <v>1</v>
      </c>
    </row>
    <row r="389" spans="10:16" hidden="1">
      <c r="J389" t="s">
        <v>964</v>
      </c>
      <c r="K389" t="s">
        <v>591</v>
      </c>
      <c r="L389">
        <v>60</v>
      </c>
      <c r="M389" s="314">
        <v>46456</v>
      </c>
      <c r="N389" s="314">
        <v>46515</v>
      </c>
      <c r="O389" s="315">
        <v>5175000</v>
      </c>
      <c r="P389">
        <v>1</v>
      </c>
    </row>
    <row r="390" spans="10:16" hidden="1">
      <c r="J390" t="s">
        <v>965</v>
      </c>
      <c r="K390" t="s">
        <v>593</v>
      </c>
      <c r="L390">
        <v>60</v>
      </c>
      <c r="M390" s="314">
        <v>46516</v>
      </c>
      <c r="N390" s="314">
        <v>46575</v>
      </c>
      <c r="O390" s="315">
        <v>0</v>
      </c>
      <c r="P390">
        <v>1</v>
      </c>
    </row>
    <row r="391" spans="10:16">
      <c r="J391" t="s">
        <v>966</v>
      </c>
      <c r="L391">
        <v>1559</v>
      </c>
      <c r="M391" s="314">
        <v>45383</v>
      </c>
      <c r="N391" s="314">
        <v>46941</v>
      </c>
      <c r="O391" s="315">
        <v>103500000</v>
      </c>
      <c r="P391">
        <v>8</v>
      </c>
    </row>
    <row r="392" spans="10:16" hidden="1">
      <c r="J392" t="s">
        <v>967</v>
      </c>
      <c r="K392" t="s">
        <v>579</v>
      </c>
      <c r="L392">
        <v>30</v>
      </c>
      <c r="M392" s="314">
        <v>45383</v>
      </c>
      <c r="N392" s="314">
        <v>45412</v>
      </c>
      <c r="O392" s="315">
        <v>0</v>
      </c>
      <c r="P392">
        <v>1</v>
      </c>
    </row>
    <row r="393" spans="10:16" hidden="1">
      <c r="J393" t="s">
        <v>968</v>
      </c>
      <c r="K393" t="s">
        <v>581</v>
      </c>
      <c r="L393">
        <v>31</v>
      </c>
      <c r="M393" s="314">
        <v>45413</v>
      </c>
      <c r="N393" s="314">
        <v>45443</v>
      </c>
      <c r="O393" s="315">
        <v>0</v>
      </c>
      <c r="P393">
        <v>1</v>
      </c>
    </row>
    <row r="394" spans="10:16" hidden="1">
      <c r="J394" t="s">
        <v>969</v>
      </c>
      <c r="K394" t="s">
        <v>583</v>
      </c>
      <c r="L394">
        <v>122</v>
      </c>
      <c r="M394" s="314">
        <v>45444</v>
      </c>
      <c r="N394" s="314">
        <v>45565</v>
      </c>
      <c r="O394" s="315">
        <v>0</v>
      </c>
      <c r="P394">
        <v>1</v>
      </c>
    </row>
    <row r="395" spans="10:16" hidden="1">
      <c r="J395" t="s">
        <v>970</v>
      </c>
      <c r="K395" t="s">
        <v>585</v>
      </c>
      <c r="L395">
        <v>92</v>
      </c>
      <c r="M395" s="314">
        <v>45566</v>
      </c>
      <c r="N395" s="314">
        <v>45657</v>
      </c>
      <c r="O395" s="315">
        <v>0</v>
      </c>
      <c r="P395">
        <v>1</v>
      </c>
    </row>
    <row r="396" spans="10:16" hidden="1">
      <c r="J396" t="s">
        <v>971</v>
      </c>
      <c r="K396" t="s">
        <v>587</v>
      </c>
      <c r="L396">
        <v>188</v>
      </c>
      <c r="M396" s="314">
        <v>45658</v>
      </c>
      <c r="N396" s="314">
        <v>45845</v>
      </c>
      <c r="O396" s="315">
        <v>0</v>
      </c>
      <c r="P396">
        <v>1</v>
      </c>
    </row>
    <row r="397" spans="10:16" hidden="1">
      <c r="J397" t="s">
        <v>972</v>
      </c>
      <c r="K397" t="s">
        <v>589</v>
      </c>
      <c r="L397">
        <v>976</v>
      </c>
      <c r="M397" s="314">
        <v>45846</v>
      </c>
      <c r="N397" s="314">
        <v>46821</v>
      </c>
      <c r="O397" s="315">
        <v>93150000</v>
      </c>
      <c r="P397">
        <v>1</v>
      </c>
    </row>
    <row r="398" spans="10:16" hidden="1">
      <c r="J398" t="s">
        <v>973</v>
      </c>
      <c r="K398" t="s">
        <v>591</v>
      </c>
      <c r="L398">
        <v>60</v>
      </c>
      <c r="M398" s="314">
        <v>46822</v>
      </c>
      <c r="N398" s="314">
        <v>46881</v>
      </c>
      <c r="O398" s="315">
        <v>10350000</v>
      </c>
      <c r="P398">
        <v>1</v>
      </c>
    </row>
    <row r="399" spans="10:16" hidden="1">
      <c r="J399" t="s">
        <v>974</v>
      </c>
      <c r="K399" t="s">
        <v>593</v>
      </c>
      <c r="L399">
        <v>60</v>
      </c>
      <c r="M399" s="314">
        <v>46882</v>
      </c>
      <c r="N399" s="314">
        <v>46941</v>
      </c>
      <c r="O399" s="315">
        <v>0</v>
      </c>
      <c r="P399">
        <v>1</v>
      </c>
    </row>
    <row r="400" spans="10:16">
      <c r="J400" t="s">
        <v>975</v>
      </c>
      <c r="L400">
        <v>828</v>
      </c>
      <c r="M400" s="314">
        <v>45383</v>
      </c>
      <c r="N400" s="314">
        <v>46210</v>
      </c>
      <c r="O400" s="315">
        <v>8050000</v>
      </c>
      <c r="P400">
        <v>8</v>
      </c>
    </row>
    <row r="401" spans="10:16" hidden="1">
      <c r="J401" t="s">
        <v>976</v>
      </c>
      <c r="K401" t="s">
        <v>579</v>
      </c>
      <c r="L401">
        <v>30</v>
      </c>
      <c r="M401" s="314">
        <v>45383</v>
      </c>
      <c r="N401" s="314">
        <v>45412</v>
      </c>
      <c r="O401" s="315">
        <v>0</v>
      </c>
      <c r="P401">
        <v>1</v>
      </c>
    </row>
    <row r="402" spans="10:16" hidden="1">
      <c r="J402" t="s">
        <v>977</v>
      </c>
      <c r="K402" t="s">
        <v>581</v>
      </c>
      <c r="L402">
        <v>31</v>
      </c>
      <c r="M402" s="314">
        <v>45413</v>
      </c>
      <c r="N402" s="314">
        <v>45443</v>
      </c>
      <c r="O402" s="315">
        <v>0</v>
      </c>
      <c r="P402">
        <v>1</v>
      </c>
    </row>
    <row r="403" spans="10:16" hidden="1">
      <c r="J403" t="s">
        <v>978</v>
      </c>
      <c r="K403" t="s">
        <v>583</v>
      </c>
      <c r="L403">
        <v>122</v>
      </c>
      <c r="M403" s="314">
        <v>45444</v>
      </c>
      <c r="N403" s="314">
        <v>45565</v>
      </c>
      <c r="O403" s="315">
        <v>0</v>
      </c>
      <c r="P403">
        <v>1</v>
      </c>
    </row>
    <row r="404" spans="10:16" hidden="1">
      <c r="J404" t="s">
        <v>979</v>
      </c>
      <c r="K404" t="s">
        <v>585</v>
      </c>
      <c r="L404">
        <v>92</v>
      </c>
      <c r="M404" s="314">
        <v>45566</v>
      </c>
      <c r="N404" s="314">
        <v>45657</v>
      </c>
      <c r="O404" s="315">
        <v>0</v>
      </c>
      <c r="P404">
        <v>1</v>
      </c>
    </row>
    <row r="405" spans="10:16" hidden="1">
      <c r="J405" t="s">
        <v>980</v>
      </c>
      <c r="K405" t="s">
        <v>587</v>
      </c>
      <c r="L405">
        <v>188</v>
      </c>
      <c r="M405" s="314">
        <v>45658</v>
      </c>
      <c r="N405" s="314">
        <v>45845</v>
      </c>
      <c r="O405" s="315">
        <v>0</v>
      </c>
      <c r="P405">
        <v>1</v>
      </c>
    </row>
    <row r="406" spans="10:16" hidden="1">
      <c r="J406" t="s">
        <v>981</v>
      </c>
      <c r="K406" t="s">
        <v>589</v>
      </c>
      <c r="L406">
        <v>305</v>
      </c>
      <c r="M406" s="314">
        <v>45846</v>
      </c>
      <c r="N406" s="314">
        <v>46150</v>
      </c>
      <c r="O406" s="315">
        <v>7245000</v>
      </c>
      <c r="P406">
        <v>1</v>
      </c>
    </row>
    <row r="407" spans="10:16" hidden="1">
      <c r="J407" t="s">
        <v>982</v>
      </c>
      <c r="K407" t="s">
        <v>591</v>
      </c>
      <c r="L407">
        <v>30</v>
      </c>
      <c r="M407" s="314">
        <v>46151</v>
      </c>
      <c r="N407" s="314">
        <v>46180</v>
      </c>
      <c r="O407" s="315">
        <v>805000</v>
      </c>
      <c r="P407">
        <v>1</v>
      </c>
    </row>
    <row r="408" spans="10:16" hidden="1">
      <c r="J408" t="s">
        <v>983</v>
      </c>
      <c r="K408" t="s">
        <v>593</v>
      </c>
      <c r="L408">
        <v>30</v>
      </c>
      <c r="M408" s="314">
        <v>46181</v>
      </c>
      <c r="N408" s="314">
        <v>46210</v>
      </c>
      <c r="O408" s="315">
        <v>0</v>
      </c>
      <c r="P408">
        <v>1</v>
      </c>
    </row>
    <row r="409" spans="10:16">
      <c r="J409" t="s">
        <v>984</v>
      </c>
      <c r="L409">
        <v>1499</v>
      </c>
      <c r="M409" s="314">
        <v>45383</v>
      </c>
      <c r="N409" s="314">
        <v>46881</v>
      </c>
      <c r="O409" s="315">
        <v>41400000</v>
      </c>
      <c r="P409">
        <v>8</v>
      </c>
    </row>
    <row r="410" spans="10:16" hidden="1">
      <c r="J410" t="s">
        <v>985</v>
      </c>
      <c r="K410" t="s">
        <v>579</v>
      </c>
      <c r="L410">
        <v>30</v>
      </c>
      <c r="M410" s="314">
        <v>45383</v>
      </c>
      <c r="N410" s="314">
        <v>45412</v>
      </c>
      <c r="O410" s="315">
        <v>0</v>
      </c>
      <c r="P410">
        <v>1</v>
      </c>
    </row>
    <row r="411" spans="10:16" hidden="1">
      <c r="J411" t="s">
        <v>986</v>
      </c>
      <c r="K411" t="s">
        <v>581</v>
      </c>
      <c r="L411">
        <v>31</v>
      </c>
      <c r="M411" s="314">
        <v>45413</v>
      </c>
      <c r="N411" s="314">
        <v>45443</v>
      </c>
      <c r="O411" s="315">
        <v>0</v>
      </c>
      <c r="P411">
        <v>1</v>
      </c>
    </row>
    <row r="412" spans="10:16" hidden="1">
      <c r="J412" t="s">
        <v>987</v>
      </c>
      <c r="K412" t="s">
        <v>583</v>
      </c>
      <c r="L412">
        <v>122</v>
      </c>
      <c r="M412" s="314">
        <v>45444</v>
      </c>
      <c r="N412" s="314">
        <v>45565</v>
      </c>
      <c r="O412" s="315">
        <v>0</v>
      </c>
      <c r="P412">
        <v>1</v>
      </c>
    </row>
    <row r="413" spans="10:16" hidden="1">
      <c r="J413" t="s">
        <v>988</v>
      </c>
      <c r="K413" t="s">
        <v>585</v>
      </c>
      <c r="L413">
        <v>92</v>
      </c>
      <c r="M413" s="314">
        <v>45566</v>
      </c>
      <c r="N413" s="314">
        <v>45657</v>
      </c>
      <c r="O413" s="315">
        <v>0</v>
      </c>
      <c r="P413">
        <v>1</v>
      </c>
    </row>
    <row r="414" spans="10:16" hidden="1">
      <c r="J414" t="s">
        <v>989</v>
      </c>
      <c r="K414" t="s">
        <v>587</v>
      </c>
      <c r="L414">
        <v>188</v>
      </c>
      <c r="M414" s="314">
        <v>45658</v>
      </c>
      <c r="N414" s="314">
        <v>45845</v>
      </c>
      <c r="O414" s="315">
        <v>0</v>
      </c>
      <c r="P414">
        <v>1</v>
      </c>
    </row>
    <row r="415" spans="10:16" hidden="1">
      <c r="J415" t="s">
        <v>990</v>
      </c>
      <c r="K415" t="s">
        <v>589</v>
      </c>
      <c r="L415">
        <v>976</v>
      </c>
      <c r="M415" s="314">
        <v>45846</v>
      </c>
      <c r="N415" s="314">
        <v>46821</v>
      </c>
      <c r="O415" s="315">
        <v>37260000</v>
      </c>
      <c r="P415">
        <v>1</v>
      </c>
    </row>
    <row r="416" spans="10:16" hidden="1">
      <c r="J416" t="s">
        <v>991</v>
      </c>
      <c r="K416" t="s">
        <v>591</v>
      </c>
      <c r="L416">
        <v>30</v>
      </c>
      <c r="M416" s="314">
        <v>46822</v>
      </c>
      <c r="N416" s="314">
        <v>46851</v>
      </c>
      <c r="O416" s="315">
        <v>4140000</v>
      </c>
      <c r="P416">
        <v>1</v>
      </c>
    </row>
    <row r="417" spans="10:16" hidden="1">
      <c r="J417" t="s">
        <v>992</v>
      </c>
      <c r="K417" t="s">
        <v>593</v>
      </c>
      <c r="L417">
        <v>30</v>
      </c>
      <c r="M417" s="314">
        <v>46852</v>
      </c>
      <c r="N417" s="314">
        <v>46881</v>
      </c>
      <c r="O417" s="315">
        <v>0</v>
      </c>
      <c r="P417">
        <v>1</v>
      </c>
    </row>
    <row r="418" spans="10:16">
      <c r="J418" t="s">
        <v>993</v>
      </c>
      <c r="L418">
        <v>1009</v>
      </c>
      <c r="M418" s="314">
        <v>45383</v>
      </c>
      <c r="N418" s="314">
        <v>46391</v>
      </c>
      <c r="O418" s="315">
        <v>12650000</v>
      </c>
      <c r="P418">
        <v>8</v>
      </c>
    </row>
    <row r="419" spans="10:16" hidden="1">
      <c r="J419" t="s">
        <v>994</v>
      </c>
      <c r="K419" t="s">
        <v>579</v>
      </c>
      <c r="L419">
        <v>30</v>
      </c>
      <c r="M419" s="314">
        <v>45383</v>
      </c>
      <c r="N419" s="314">
        <v>45412</v>
      </c>
      <c r="O419" s="315">
        <v>0</v>
      </c>
      <c r="P419">
        <v>1</v>
      </c>
    </row>
    <row r="420" spans="10:16" hidden="1">
      <c r="J420" t="s">
        <v>995</v>
      </c>
      <c r="K420" t="s">
        <v>581</v>
      </c>
      <c r="L420">
        <v>31</v>
      </c>
      <c r="M420" s="314">
        <v>45413</v>
      </c>
      <c r="N420" s="314">
        <v>45443</v>
      </c>
      <c r="O420" s="315">
        <v>0</v>
      </c>
      <c r="P420">
        <v>1</v>
      </c>
    </row>
    <row r="421" spans="10:16" hidden="1">
      <c r="J421" t="s">
        <v>996</v>
      </c>
      <c r="K421" t="s">
        <v>583</v>
      </c>
      <c r="L421">
        <v>122</v>
      </c>
      <c r="M421" s="314">
        <v>45444</v>
      </c>
      <c r="N421" s="314">
        <v>45565</v>
      </c>
      <c r="O421" s="315">
        <v>0</v>
      </c>
      <c r="P421">
        <v>1</v>
      </c>
    </row>
    <row r="422" spans="10:16" hidden="1">
      <c r="J422" t="s">
        <v>997</v>
      </c>
      <c r="K422" t="s">
        <v>585</v>
      </c>
      <c r="L422">
        <v>92</v>
      </c>
      <c r="M422" s="314">
        <v>45566</v>
      </c>
      <c r="N422" s="314">
        <v>45657</v>
      </c>
      <c r="O422" s="315">
        <v>0</v>
      </c>
      <c r="P422">
        <v>1</v>
      </c>
    </row>
    <row r="423" spans="10:16" hidden="1">
      <c r="J423" t="s">
        <v>998</v>
      </c>
      <c r="K423" t="s">
        <v>587</v>
      </c>
      <c r="L423">
        <v>188</v>
      </c>
      <c r="M423" s="314">
        <v>45658</v>
      </c>
      <c r="N423" s="314">
        <v>45845</v>
      </c>
      <c r="O423" s="315">
        <v>0</v>
      </c>
      <c r="P423">
        <v>1</v>
      </c>
    </row>
    <row r="424" spans="10:16" hidden="1">
      <c r="J424" t="s">
        <v>999</v>
      </c>
      <c r="K424" t="s">
        <v>589</v>
      </c>
      <c r="L424">
        <v>456</v>
      </c>
      <c r="M424" s="314">
        <v>45846</v>
      </c>
      <c r="N424" s="314">
        <v>46301</v>
      </c>
      <c r="O424" s="315">
        <v>11385000</v>
      </c>
      <c r="P424">
        <v>1</v>
      </c>
    </row>
    <row r="425" spans="10:16" hidden="1">
      <c r="J425" t="s">
        <v>1000</v>
      </c>
      <c r="K425" t="s">
        <v>591</v>
      </c>
      <c r="L425">
        <v>45</v>
      </c>
      <c r="M425" s="314">
        <v>46302</v>
      </c>
      <c r="N425" s="314">
        <v>46346</v>
      </c>
      <c r="O425" s="315">
        <v>1265000</v>
      </c>
      <c r="P425">
        <v>1</v>
      </c>
    </row>
    <row r="426" spans="10:16" hidden="1">
      <c r="J426" t="s">
        <v>1001</v>
      </c>
      <c r="K426" t="s">
        <v>593</v>
      </c>
      <c r="L426">
        <v>45</v>
      </c>
      <c r="M426" s="314">
        <v>46347</v>
      </c>
      <c r="N426" s="314">
        <v>46391</v>
      </c>
      <c r="O426" s="315">
        <v>0</v>
      </c>
      <c r="P426">
        <v>1</v>
      </c>
    </row>
    <row r="427" spans="10:16">
      <c r="J427" t="s">
        <v>1002</v>
      </c>
      <c r="L427">
        <v>1559</v>
      </c>
      <c r="M427" s="314">
        <v>45383</v>
      </c>
      <c r="N427" s="314">
        <v>46941</v>
      </c>
      <c r="O427" s="315">
        <v>8050000</v>
      </c>
      <c r="P427">
        <v>8</v>
      </c>
    </row>
    <row r="428" spans="10:16" hidden="1">
      <c r="J428" t="s">
        <v>1003</v>
      </c>
      <c r="K428" t="s">
        <v>579</v>
      </c>
      <c r="L428">
        <v>30</v>
      </c>
      <c r="M428" s="314">
        <v>45383</v>
      </c>
      <c r="N428" s="314">
        <v>45412</v>
      </c>
      <c r="O428" s="315">
        <v>0</v>
      </c>
      <c r="P428">
        <v>1</v>
      </c>
    </row>
    <row r="429" spans="10:16" hidden="1">
      <c r="J429" t="s">
        <v>1004</v>
      </c>
      <c r="K429" t="s">
        <v>581</v>
      </c>
      <c r="L429">
        <v>31</v>
      </c>
      <c r="M429" s="314">
        <v>45413</v>
      </c>
      <c r="N429" s="314">
        <v>45443</v>
      </c>
      <c r="O429" s="315">
        <v>0</v>
      </c>
      <c r="P429">
        <v>1</v>
      </c>
    </row>
    <row r="430" spans="10:16" hidden="1">
      <c r="J430" t="s">
        <v>1005</v>
      </c>
      <c r="K430" t="s">
        <v>583</v>
      </c>
      <c r="L430">
        <v>122</v>
      </c>
      <c r="M430" s="314">
        <v>45444</v>
      </c>
      <c r="N430" s="314">
        <v>45565</v>
      </c>
      <c r="O430" s="315">
        <v>0</v>
      </c>
      <c r="P430">
        <v>1</v>
      </c>
    </row>
    <row r="431" spans="10:16" hidden="1">
      <c r="J431" t="s">
        <v>1006</v>
      </c>
      <c r="K431" t="s">
        <v>585</v>
      </c>
      <c r="L431">
        <v>92</v>
      </c>
      <c r="M431" s="314">
        <v>45566</v>
      </c>
      <c r="N431" s="314">
        <v>45657</v>
      </c>
      <c r="O431" s="315">
        <v>0</v>
      </c>
      <c r="P431">
        <v>1</v>
      </c>
    </row>
    <row r="432" spans="10:16" hidden="1">
      <c r="J432" t="s">
        <v>1007</v>
      </c>
      <c r="K432" t="s">
        <v>587</v>
      </c>
      <c r="L432">
        <v>188</v>
      </c>
      <c r="M432" s="314">
        <v>45658</v>
      </c>
      <c r="N432" s="314">
        <v>45845</v>
      </c>
      <c r="O432" s="315">
        <v>0</v>
      </c>
      <c r="P432">
        <v>1</v>
      </c>
    </row>
    <row r="433" spans="10:16" hidden="1">
      <c r="J433" t="s">
        <v>1008</v>
      </c>
      <c r="K433" t="s">
        <v>589</v>
      </c>
      <c r="L433">
        <v>976</v>
      </c>
      <c r="M433" s="314">
        <v>45846</v>
      </c>
      <c r="N433" s="314">
        <v>46821</v>
      </c>
      <c r="O433" s="315">
        <v>7245000</v>
      </c>
      <c r="P433">
        <v>1</v>
      </c>
    </row>
    <row r="434" spans="10:16" hidden="1">
      <c r="J434" t="s">
        <v>1009</v>
      </c>
      <c r="K434" t="s">
        <v>591</v>
      </c>
      <c r="L434">
        <v>60</v>
      </c>
      <c r="M434" s="314">
        <v>46822</v>
      </c>
      <c r="N434" s="314">
        <v>46881</v>
      </c>
      <c r="O434" s="315">
        <v>805000</v>
      </c>
      <c r="P434">
        <v>1</v>
      </c>
    </row>
    <row r="435" spans="10:16" hidden="1">
      <c r="J435" t="s">
        <v>1010</v>
      </c>
      <c r="K435" t="s">
        <v>593</v>
      </c>
      <c r="L435">
        <v>60</v>
      </c>
      <c r="M435" s="314">
        <v>46882</v>
      </c>
      <c r="N435" s="314">
        <v>46941</v>
      </c>
      <c r="O435" s="315">
        <v>0</v>
      </c>
      <c r="P435">
        <v>1</v>
      </c>
    </row>
    <row r="436" spans="10:16">
      <c r="J436" t="s">
        <v>1011</v>
      </c>
      <c r="L436">
        <v>1193</v>
      </c>
      <c r="M436" s="314">
        <v>45383</v>
      </c>
      <c r="N436" s="314">
        <v>46575</v>
      </c>
      <c r="O436" s="315">
        <v>43700000</v>
      </c>
      <c r="P436">
        <v>8</v>
      </c>
    </row>
    <row r="437" spans="10:16" hidden="1">
      <c r="J437" t="s">
        <v>1012</v>
      </c>
      <c r="K437" t="s">
        <v>579</v>
      </c>
      <c r="L437">
        <v>30</v>
      </c>
      <c r="M437" s="314">
        <v>45383</v>
      </c>
      <c r="N437" s="314">
        <v>45412</v>
      </c>
      <c r="O437" s="315">
        <v>0</v>
      </c>
      <c r="P437">
        <v>1</v>
      </c>
    </row>
    <row r="438" spans="10:16" hidden="1">
      <c r="J438" t="s">
        <v>1013</v>
      </c>
      <c r="K438" t="s">
        <v>581</v>
      </c>
      <c r="L438">
        <v>31</v>
      </c>
      <c r="M438" s="314">
        <v>45413</v>
      </c>
      <c r="N438" s="314">
        <v>45443</v>
      </c>
      <c r="O438" s="315">
        <v>0</v>
      </c>
      <c r="P438">
        <v>1</v>
      </c>
    </row>
    <row r="439" spans="10:16" hidden="1">
      <c r="J439" t="s">
        <v>1014</v>
      </c>
      <c r="K439" t="s">
        <v>583</v>
      </c>
      <c r="L439">
        <v>122</v>
      </c>
      <c r="M439" s="314">
        <v>45444</v>
      </c>
      <c r="N439" s="314">
        <v>45565</v>
      </c>
      <c r="O439" s="315">
        <v>0</v>
      </c>
      <c r="P439">
        <v>1</v>
      </c>
    </row>
    <row r="440" spans="10:16" hidden="1">
      <c r="J440" t="s">
        <v>1015</v>
      </c>
      <c r="K440" t="s">
        <v>585</v>
      </c>
      <c r="L440">
        <v>92</v>
      </c>
      <c r="M440" s="314">
        <v>45566</v>
      </c>
      <c r="N440" s="314">
        <v>45657</v>
      </c>
      <c r="O440" s="315">
        <v>0</v>
      </c>
      <c r="P440">
        <v>1</v>
      </c>
    </row>
    <row r="441" spans="10:16" hidden="1">
      <c r="J441" t="s">
        <v>1016</v>
      </c>
      <c r="K441" t="s">
        <v>587</v>
      </c>
      <c r="L441">
        <v>188</v>
      </c>
      <c r="M441" s="314">
        <v>45658</v>
      </c>
      <c r="N441" s="314">
        <v>45845</v>
      </c>
      <c r="O441" s="315">
        <v>0</v>
      </c>
      <c r="P441">
        <v>1</v>
      </c>
    </row>
    <row r="442" spans="10:16" hidden="1">
      <c r="J442" t="s">
        <v>1017</v>
      </c>
      <c r="K442" t="s">
        <v>589</v>
      </c>
      <c r="L442">
        <v>610</v>
      </c>
      <c r="M442" s="314">
        <v>45846</v>
      </c>
      <c r="N442" s="314">
        <v>46455</v>
      </c>
      <c r="O442" s="315">
        <v>39330000</v>
      </c>
      <c r="P442">
        <v>1</v>
      </c>
    </row>
    <row r="443" spans="10:16" hidden="1">
      <c r="J443" t="s">
        <v>1018</v>
      </c>
      <c r="K443" t="s">
        <v>591</v>
      </c>
      <c r="L443">
        <v>60</v>
      </c>
      <c r="M443" s="314">
        <v>46456</v>
      </c>
      <c r="N443" s="314">
        <v>46515</v>
      </c>
      <c r="O443" s="315">
        <v>4370000</v>
      </c>
      <c r="P443">
        <v>1</v>
      </c>
    </row>
    <row r="444" spans="10:16" hidden="1">
      <c r="J444" t="s">
        <v>1019</v>
      </c>
      <c r="K444" t="s">
        <v>593</v>
      </c>
      <c r="L444">
        <v>60</v>
      </c>
      <c r="M444" s="314">
        <v>46516</v>
      </c>
      <c r="N444" s="314">
        <v>46575</v>
      </c>
      <c r="O444" s="315">
        <v>0</v>
      </c>
      <c r="P444">
        <v>1</v>
      </c>
    </row>
    <row r="445" spans="10:16">
      <c r="J445" t="s">
        <v>1020</v>
      </c>
      <c r="L445">
        <v>1559</v>
      </c>
      <c r="M445" s="314">
        <v>45383</v>
      </c>
      <c r="N445" s="314">
        <v>46941</v>
      </c>
      <c r="O445" s="315">
        <v>40250000</v>
      </c>
      <c r="P445">
        <v>8</v>
      </c>
    </row>
    <row r="446" spans="10:16" hidden="1">
      <c r="J446" t="s">
        <v>1021</v>
      </c>
      <c r="K446" t="s">
        <v>579</v>
      </c>
      <c r="L446">
        <v>30</v>
      </c>
      <c r="M446" s="314">
        <v>45383</v>
      </c>
      <c r="N446" s="314">
        <v>45412</v>
      </c>
      <c r="O446" s="315">
        <v>0</v>
      </c>
      <c r="P446">
        <v>1</v>
      </c>
    </row>
    <row r="447" spans="10:16" hidden="1">
      <c r="J447" t="s">
        <v>1022</v>
      </c>
      <c r="K447" t="s">
        <v>581</v>
      </c>
      <c r="L447">
        <v>31</v>
      </c>
      <c r="M447" s="314">
        <v>45413</v>
      </c>
      <c r="N447" s="314">
        <v>45443</v>
      </c>
      <c r="O447" s="315">
        <v>0</v>
      </c>
      <c r="P447">
        <v>1</v>
      </c>
    </row>
    <row r="448" spans="10:16" hidden="1">
      <c r="J448" t="s">
        <v>1023</v>
      </c>
      <c r="K448" t="s">
        <v>583</v>
      </c>
      <c r="L448">
        <v>122</v>
      </c>
      <c r="M448" s="314">
        <v>45444</v>
      </c>
      <c r="N448" s="314">
        <v>45565</v>
      </c>
      <c r="O448" s="315">
        <v>0</v>
      </c>
      <c r="P448">
        <v>1</v>
      </c>
    </row>
    <row r="449" spans="10:16" hidden="1">
      <c r="J449" t="s">
        <v>1024</v>
      </c>
      <c r="K449" t="s">
        <v>585</v>
      </c>
      <c r="L449">
        <v>92</v>
      </c>
      <c r="M449" s="314">
        <v>45566</v>
      </c>
      <c r="N449" s="314">
        <v>45657</v>
      </c>
      <c r="O449" s="315">
        <v>0</v>
      </c>
      <c r="P449">
        <v>1</v>
      </c>
    </row>
    <row r="450" spans="10:16" hidden="1">
      <c r="J450" t="s">
        <v>1025</v>
      </c>
      <c r="K450" t="s">
        <v>587</v>
      </c>
      <c r="L450">
        <v>188</v>
      </c>
      <c r="M450" s="314">
        <v>45658</v>
      </c>
      <c r="N450" s="314">
        <v>45845</v>
      </c>
      <c r="O450" s="315">
        <v>0</v>
      </c>
      <c r="P450">
        <v>1</v>
      </c>
    </row>
    <row r="451" spans="10:16" hidden="1">
      <c r="J451" t="s">
        <v>1026</v>
      </c>
      <c r="K451" t="s">
        <v>589</v>
      </c>
      <c r="L451">
        <v>976</v>
      </c>
      <c r="M451" s="314">
        <v>45846</v>
      </c>
      <c r="N451" s="314">
        <v>46821</v>
      </c>
      <c r="O451" s="315">
        <v>36225000</v>
      </c>
      <c r="P451">
        <v>1</v>
      </c>
    </row>
    <row r="452" spans="10:16" hidden="1">
      <c r="J452" t="s">
        <v>1027</v>
      </c>
      <c r="K452" t="s">
        <v>591</v>
      </c>
      <c r="L452">
        <v>60</v>
      </c>
      <c r="M452" s="314">
        <v>46822</v>
      </c>
      <c r="N452" s="314">
        <v>46881</v>
      </c>
      <c r="O452" s="315">
        <v>4025000</v>
      </c>
      <c r="P452">
        <v>1</v>
      </c>
    </row>
    <row r="453" spans="10:16" hidden="1">
      <c r="J453" t="s">
        <v>1028</v>
      </c>
      <c r="K453" t="s">
        <v>593</v>
      </c>
      <c r="L453">
        <v>60</v>
      </c>
      <c r="M453" s="314">
        <v>46882</v>
      </c>
      <c r="N453" s="314">
        <v>46941</v>
      </c>
      <c r="O453" s="315">
        <v>0</v>
      </c>
      <c r="P453">
        <v>1</v>
      </c>
    </row>
    <row r="454" spans="10:16">
      <c r="J454" t="s">
        <v>1029</v>
      </c>
      <c r="L454">
        <v>825</v>
      </c>
      <c r="M454" s="314">
        <v>45383</v>
      </c>
      <c r="N454" s="314">
        <v>46207</v>
      </c>
      <c r="O454" s="315">
        <v>6724050</v>
      </c>
      <c r="P454">
        <v>8</v>
      </c>
    </row>
    <row r="455" spans="10:16" hidden="1">
      <c r="J455" t="s">
        <v>1030</v>
      </c>
      <c r="K455" t="s">
        <v>579</v>
      </c>
      <c r="L455">
        <v>30</v>
      </c>
      <c r="M455" s="314">
        <v>45383</v>
      </c>
      <c r="N455" s="314">
        <v>45412</v>
      </c>
      <c r="O455" s="315">
        <v>0</v>
      </c>
      <c r="P455">
        <v>1</v>
      </c>
    </row>
    <row r="456" spans="10:16" hidden="1">
      <c r="J456" t="s">
        <v>1031</v>
      </c>
      <c r="K456" t="s">
        <v>581</v>
      </c>
      <c r="L456">
        <v>31</v>
      </c>
      <c r="M456" s="314">
        <v>45413</v>
      </c>
      <c r="N456" s="314">
        <v>45443</v>
      </c>
      <c r="O456" s="315">
        <v>0</v>
      </c>
      <c r="P456">
        <v>1</v>
      </c>
    </row>
    <row r="457" spans="10:16" hidden="1">
      <c r="J457" t="s">
        <v>1032</v>
      </c>
      <c r="K457" t="s">
        <v>583</v>
      </c>
      <c r="L457">
        <v>122</v>
      </c>
      <c r="M457" s="314">
        <v>45444</v>
      </c>
      <c r="N457" s="314">
        <v>45565</v>
      </c>
      <c r="O457" s="315">
        <v>0</v>
      </c>
      <c r="P457">
        <v>1</v>
      </c>
    </row>
    <row r="458" spans="10:16" hidden="1">
      <c r="J458" t="s">
        <v>1033</v>
      </c>
      <c r="K458" t="s">
        <v>585</v>
      </c>
      <c r="L458">
        <v>92</v>
      </c>
      <c r="M458" s="314">
        <v>45566</v>
      </c>
      <c r="N458" s="314">
        <v>45657</v>
      </c>
      <c r="O458" s="315">
        <v>0</v>
      </c>
      <c r="P458">
        <v>1</v>
      </c>
    </row>
    <row r="459" spans="10:16" hidden="1">
      <c r="J459" t="s">
        <v>1034</v>
      </c>
      <c r="K459" t="s">
        <v>587</v>
      </c>
      <c r="L459">
        <v>188</v>
      </c>
      <c r="M459" s="314">
        <v>45658</v>
      </c>
      <c r="N459" s="314">
        <v>45845</v>
      </c>
      <c r="O459" s="315">
        <v>0</v>
      </c>
      <c r="P459">
        <v>1</v>
      </c>
    </row>
    <row r="460" spans="10:16" hidden="1">
      <c r="J460" t="s">
        <v>1035</v>
      </c>
      <c r="K460" t="s">
        <v>589</v>
      </c>
      <c r="L460">
        <v>302</v>
      </c>
      <c r="M460" s="314">
        <v>45846</v>
      </c>
      <c r="N460" s="314">
        <v>46147</v>
      </c>
      <c r="O460" s="315">
        <v>6051645</v>
      </c>
      <c r="P460">
        <v>1</v>
      </c>
    </row>
    <row r="461" spans="10:16" hidden="1">
      <c r="J461" t="s">
        <v>1036</v>
      </c>
      <c r="K461" t="s">
        <v>591</v>
      </c>
      <c r="L461">
        <v>30</v>
      </c>
      <c r="M461" s="314">
        <v>46148</v>
      </c>
      <c r="N461" s="314">
        <v>46177</v>
      </c>
      <c r="O461" s="315">
        <v>672405</v>
      </c>
      <c r="P461">
        <v>1</v>
      </c>
    </row>
    <row r="462" spans="10:16" hidden="1">
      <c r="J462" t="s">
        <v>1037</v>
      </c>
      <c r="K462" t="s">
        <v>593</v>
      </c>
      <c r="L462">
        <v>30</v>
      </c>
      <c r="M462" s="314">
        <v>46178</v>
      </c>
      <c r="N462" s="314">
        <v>46207</v>
      </c>
      <c r="O462" s="315">
        <v>0</v>
      </c>
      <c r="P462">
        <v>1</v>
      </c>
    </row>
    <row r="463" spans="10:16">
      <c r="J463" t="s">
        <v>1038</v>
      </c>
      <c r="L463">
        <v>1559</v>
      </c>
      <c r="M463" s="314">
        <v>45383</v>
      </c>
      <c r="N463" s="314">
        <v>46941</v>
      </c>
      <c r="O463" s="315">
        <v>17250000</v>
      </c>
      <c r="P463">
        <v>8</v>
      </c>
    </row>
    <row r="464" spans="10:16" hidden="1">
      <c r="J464" t="s">
        <v>1039</v>
      </c>
      <c r="K464" t="s">
        <v>579</v>
      </c>
      <c r="L464">
        <v>30</v>
      </c>
      <c r="M464" s="314">
        <v>45383</v>
      </c>
      <c r="N464" s="314">
        <v>45412</v>
      </c>
      <c r="O464" s="315">
        <v>0</v>
      </c>
      <c r="P464">
        <v>1</v>
      </c>
    </row>
    <row r="465" spans="10:16" hidden="1">
      <c r="J465" t="s">
        <v>1040</v>
      </c>
      <c r="K465" t="s">
        <v>581</v>
      </c>
      <c r="L465">
        <v>31</v>
      </c>
      <c r="M465" s="314">
        <v>45413</v>
      </c>
      <c r="N465" s="314">
        <v>45443</v>
      </c>
      <c r="O465" s="315">
        <v>0</v>
      </c>
      <c r="P465">
        <v>1</v>
      </c>
    </row>
    <row r="466" spans="10:16" hidden="1">
      <c r="J466" t="s">
        <v>1041</v>
      </c>
      <c r="K466" t="s">
        <v>583</v>
      </c>
      <c r="L466">
        <v>122</v>
      </c>
      <c r="M466" s="314">
        <v>45444</v>
      </c>
      <c r="N466" s="314">
        <v>45565</v>
      </c>
      <c r="O466" s="315">
        <v>0</v>
      </c>
      <c r="P466">
        <v>1</v>
      </c>
    </row>
    <row r="467" spans="10:16" hidden="1">
      <c r="J467" t="s">
        <v>1042</v>
      </c>
      <c r="K467" t="s">
        <v>585</v>
      </c>
      <c r="L467">
        <v>92</v>
      </c>
      <c r="M467" s="314">
        <v>45566</v>
      </c>
      <c r="N467" s="314">
        <v>45657</v>
      </c>
      <c r="O467" s="315">
        <v>0</v>
      </c>
      <c r="P467">
        <v>1</v>
      </c>
    </row>
    <row r="468" spans="10:16" hidden="1">
      <c r="J468" t="s">
        <v>1043</v>
      </c>
      <c r="K468" t="s">
        <v>587</v>
      </c>
      <c r="L468">
        <v>188</v>
      </c>
      <c r="M468" s="314">
        <v>45658</v>
      </c>
      <c r="N468" s="314">
        <v>45845</v>
      </c>
      <c r="O468" s="315">
        <v>0</v>
      </c>
      <c r="P468">
        <v>1</v>
      </c>
    </row>
    <row r="469" spans="10:16" hidden="1">
      <c r="J469" t="s">
        <v>1044</v>
      </c>
      <c r="K469" t="s">
        <v>589</v>
      </c>
      <c r="L469">
        <v>976</v>
      </c>
      <c r="M469" s="314">
        <v>45846</v>
      </c>
      <c r="N469" s="314">
        <v>46821</v>
      </c>
      <c r="O469" s="315">
        <v>15525000</v>
      </c>
      <c r="P469">
        <v>1</v>
      </c>
    </row>
    <row r="470" spans="10:16" hidden="1">
      <c r="J470" t="s">
        <v>1045</v>
      </c>
      <c r="K470" t="s">
        <v>591</v>
      </c>
      <c r="L470">
        <v>60</v>
      </c>
      <c r="M470" s="314">
        <v>46822</v>
      </c>
      <c r="N470" s="314">
        <v>46881</v>
      </c>
      <c r="O470" s="315">
        <v>1725000</v>
      </c>
      <c r="P470">
        <v>1</v>
      </c>
    </row>
    <row r="471" spans="10:16" hidden="1">
      <c r="J471" t="s">
        <v>1046</v>
      </c>
      <c r="K471" t="s">
        <v>593</v>
      </c>
      <c r="L471">
        <v>60</v>
      </c>
      <c r="M471" s="314">
        <v>46882</v>
      </c>
      <c r="N471" s="314">
        <v>46941</v>
      </c>
      <c r="O471" s="315">
        <v>0</v>
      </c>
      <c r="P471">
        <v>1</v>
      </c>
    </row>
    <row r="472" spans="10:16">
      <c r="J472" t="s">
        <v>1047</v>
      </c>
      <c r="L472">
        <v>1193</v>
      </c>
      <c r="M472" s="314">
        <v>45383</v>
      </c>
      <c r="N472" s="314">
        <v>46575</v>
      </c>
      <c r="O472" s="315">
        <v>97750000</v>
      </c>
      <c r="P472">
        <v>8</v>
      </c>
    </row>
    <row r="473" spans="10:16" hidden="1">
      <c r="J473" t="s">
        <v>1048</v>
      </c>
      <c r="K473" t="s">
        <v>579</v>
      </c>
      <c r="L473">
        <v>30</v>
      </c>
      <c r="M473" s="314">
        <v>45383</v>
      </c>
      <c r="N473" s="314">
        <v>45412</v>
      </c>
      <c r="O473" s="315">
        <v>0</v>
      </c>
      <c r="P473">
        <v>1</v>
      </c>
    </row>
    <row r="474" spans="10:16" hidden="1">
      <c r="J474" t="s">
        <v>1049</v>
      </c>
      <c r="K474" t="s">
        <v>581</v>
      </c>
      <c r="L474">
        <v>31</v>
      </c>
      <c r="M474" s="314">
        <v>45413</v>
      </c>
      <c r="N474" s="314">
        <v>45443</v>
      </c>
      <c r="O474" s="315">
        <v>0</v>
      </c>
      <c r="P474">
        <v>1</v>
      </c>
    </row>
    <row r="475" spans="10:16" hidden="1">
      <c r="J475" t="s">
        <v>1050</v>
      </c>
      <c r="K475" t="s">
        <v>583</v>
      </c>
      <c r="L475">
        <v>122</v>
      </c>
      <c r="M475" s="314">
        <v>45444</v>
      </c>
      <c r="N475" s="314">
        <v>45565</v>
      </c>
      <c r="O475" s="315">
        <v>0</v>
      </c>
      <c r="P475">
        <v>1</v>
      </c>
    </row>
    <row r="476" spans="10:16" hidden="1">
      <c r="J476" t="s">
        <v>1051</v>
      </c>
      <c r="K476" t="s">
        <v>585</v>
      </c>
      <c r="L476">
        <v>92</v>
      </c>
      <c r="M476" s="314">
        <v>45566</v>
      </c>
      <c r="N476" s="314">
        <v>45657</v>
      </c>
      <c r="O476" s="315">
        <v>0</v>
      </c>
      <c r="P476">
        <v>1</v>
      </c>
    </row>
    <row r="477" spans="10:16" hidden="1">
      <c r="J477" t="s">
        <v>1052</v>
      </c>
      <c r="K477" t="s">
        <v>587</v>
      </c>
      <c r="L477">
        <v>188</v>
      </c>
      <c r="M477" s="314">
        <v>45658</v>
      </c>
      <c r="N477" s="314">
        <v>45845</v>
      </c>
      <c r="O477" s="315">
        <v>0</v>
      </c>
      <c r="P477">
        <v>1</v>
      </c>
    </row>
    <row r="478" spans="10:16" hidden="1">
      <c r="J478" t="s">
        <v>1053</v>
      </c>
      <c r="K478" t="s">
        <v>589</v>
      </c>
      <c r="L478">
        <v>610</v>
      </c>
      <c r="M478" s="314">
        <v>45846</v>
      </c>
      <c r="N478" s="314">
        <v>46455</v>
      </c>
      <c r="O478" s="315">
        <v>87975000</v>
      </c>
      <c r="P478">
        <v>1</v>
      </c>
    </row>
    <row r="479" spans="10:16" hidden="1">
      <c r="J479" t="s">
        <v>1054</v>
      </c>
      <c r="K479" t="s">
        <v>591</v>
      </c>
      <c r="L479">
        <v>60</v>
      </c>
      <c r="M479" s="314">
        <v>46456</v>
      </c>
      <c r="N479" s="314">
        <v>46515</v>
      </c>
      <c r="O479" s="315">
        <v>9775000</v>
      </c>
      <c r="P479">
        <v>1</v>
      </c>
    </row>
    <row r="480" spans="10:16" hidden="1">
      <c r="J480" t="s">
        <v>1055</v>
      </c>
      <c r="K480" t="s">
        <v>593</v>
      </c>
      <c r="L480">
        <v>60</v>
      </c>
      <c r="M480" s="314">
        <v>46516</v>
      </c>
      <c r="N480" s="314">
        <v>46575</v>
      </c>
      <c r="O480" s="315">
        <v>0</v>
      </c>
      <c r="P480">
        <v>1</v>
      </c>
    </row>
    <row r="481" spans="10:16">
      <c r="J481" t="s">
        <v>1056</v>
      </c>
      <c r="L481">
        <v>1010</v>
      </c>
      <c r="M481" s="314">
        <v>45414</v>
      </c>
      <c r="N481" s="314">
        <v>46423</v>
      </c>
      <c r="O481" s="315">
        <v>59750000</v>
      </c>
      <c r="P481">
        <v>5</v>
      </c>
    </row>
    <row r="482" spans="10:16" hidden="1">
      <c r="J482" t="s">
        <v>1057</v>
      </c>
      <c r="K482" t="s">
        <v>585</v>
      </c>
      <c r="L482">
        <v>92</v>
      </c>
      <c r="M482" s="314">
        <v>45414</v>
      </c>
      <c r="N482" s="314">
        <v>45505</v>
      </c>
      <c r="O482" s="315">
        <v>0</v>
      </c>
      <c r="P482">
        <v>1</v>
      </c>
    </row>
    <row r="483" spans="10:16" hidden="1">
      <c r="J483" t="s">
        <v>1058</v>
      </c>
      <c r="K483" t="s">
        <v>587</v>
      </c>
      <c r="L483">
        <v>188</v>
      </c>
      <c r="M483" s="314">
        <v>45506</v>
      </c>
      <c r="N483" s="314">
        <v>45693</v>
      </c>
      <c r="O483" s="315">
        <v>0</v>
      </c>
      <c r="P483">
        <v>1</v>
      </c>
    </row>
    <row r="484" spans="10:16" hidden="1">
      <c r="J484" t="s">
        <v>1059</v>
      </c>
      <c r="K484" t="s">
        <v>589</v>
      </c>
      <c r="L484">
        <v>610</v>
      </c>
      <c r="M484" s="314">
        <v>45694</v>
      </c>
      <c r="N484" s="314">
        <v>46303</v>
      </c>
      <c r="O484" s="315">
        <v>53775000</v>
      </c>
      <c r="P484">
        <v>1</v>
      </c>
    </row>
    <row r="485" spans="10:16" hidden="1">
      <c r="J485" t="s">
        <v>1060</v>
      </c>
      <c r="K485" t="s">
        <v>591</v>
      </c>
      <c r="L485">
        <v>60</v>
      </c>
      <c r="M485" s="314">
        <v>46304</v>
      </c>
      <c r="N485" s="314">
        <v>46363</v>
      </c>
      <c r="O485" s="315">
        <v>5975000</v>
      </c>
      <c r="P485">
        <v>1</v>
      </c>
    </row>
    <row r="486" spans="10:16" hidden="1">
      <c r="J486" t="s">
        <v>1061</v>
      </c>
      <c r="K486" t="s">
        <v>593</v>
      </c>
      <c r="L486">
        <v>60</v>
      </c>
      <c r="M486" s="314">
        <v>46364</v>
      </c>
      <c r="N486" s="314">
        <v>46423</v>
      </c>
      <c r="O486" s="315">
        <v>0</v>
      </c>
      <c r="P486">
        <v>1</v>
      </c>
    </row>
    <row r="487" spans="10:16">
      <c r="J487" t="s">
        <v>1062</v>
      </c>
      <c r="L487">
        <v>1010</v>
      </c>
      <c r="M487" s="314">
        <v>45313</v>
      </c>
      <c r="N487" s="314">
        <v>46322</v>
      </c>
      <c r="O487" s="315">
        <v>59800000</v>
      </c>
      <c r="P487">
        <v>5</v>
      </c>
    </row>
    <row r="488" spans="10:16" hidden="1">
      <c r="J488" t="s">
        <v>1063</v>
      </c>
      <c r="K488" t="s">
        <v>585</v>
      </c>
      <c r="L488">
        <v>92</v>
      </c>
      <c r="M488" s="314">
        <v>45313</v>
      </c>
      <c r="N488" s="314">
        <v>45404</v>
      </c>
      <c r="O488" s="315">
        <v>0</v>
      </c>
      <c r="P488">
        <v>1</v>
      </c>
    </row>
    <row r="489" spans="10:16" hidden="1">
      <c r="J489" t="s">
        <v>1064</v>
      </c>
      <c r="K489" t="s">
        <v>587</v>
      </c>
      <c r="L489">
        <v>188</v>
      </c>
      <c r="M489" s="314">
        <v>45405</v>
      </c>
      <c r="N489" s="314">
        <v>45592</v>
      </c>
      <c r="O489" s="315">
        <v>0</v>
      </c>
      <c r="P489">
        <v>1</v>
      </c>
    </row>
    <row r="490" spans="10:16" hidden="1">
      <c r="J490" t="s">
        <v>1065</v>
      </c>
      <c r="K490" t="s">
        <v>589</v>
      </c>
      <c r="L490">
        <v>610</v>
      </c>
      <c r="M490" s="314">
        <v>45593</v>
      </c>
      <c r="N490" s="314">
        <v>46202</v>
      </c>
      <c r="O490" s="315">
        <v>53820000</v>
      </c>
      <c r="P490">
        <v>1</v>
      </c>
    </row>
    <row r="491" spans="10:16" hidden="1">
      <c r="J491" t="s">
        <v>1066</v>
      </c>
      <c r="K491" t="s">
        <v>591</v>
      </c>
      <c r="L491">
        <v>60</v>
      </c>
      <c r="M491" s="314">
        <v>46203</v>
      </c>
      <c r="N491" s="314">
        <v>46262</v>
      </c>
      <c r="O491" s="315">
        <v>5980000</v>
      </c>
      <c r="P491">
        <v>1</v>
      </c>
    </row>
    <row r="492" spans="10:16" hidden="1">
      <c r="J492" t="s">
        <v>1067</v>
      </c>
      <c r="K492" t="s">
        <v>593</v>
      </c>
      <c r="L492">
        <v>60</v>
      </c>
      <c r="M492" s="314">
        <v>46263</v>
      </c>
      <c r="N492" s="314">
        <v>46322</v>
      </c>
      <c r="O492" s="315">
        <v>0</v>
      </c>
      <c r="P492">
        <v>1</v>
      </c>
    </row>
    <row r="493" spans="10:16">
      <c r="J493" t="s">
        <v>1068</v>
      </c>
      <c r="L493">
        <v>1284</v>
      </c>
      <c r="M493" s="314">
        <v>45707</v>
      </c>
      <c r="N493" s="314">
        <v>46990</v>
      </c>
      <c r="O493" s="315">
        <v>84982529.799999997</v>
      </c>
      <c r="P493">
        <v>4</v>
      </c>
    </row>
    <row r="494" spans="10:16" hidden="1">
      <c r="J494" t="s">
        <v>1069</v>
      </c>
      <c r="K494" t="s">
        <v>587</v>
      </c>
      <c r="L494">
        <v>188</v>
      </c>
      <c r="M494" s="314">
        <v>45707</v>
      </c>
      <c r="N494" s="314">
        <v>45894</v>
      </c>
      <c r="O494" s="315">
        <v>0</v>
      </c>
      <c r="P494">
        <v>1</v>
      </c>
    </row>
    <row r="495" spans="10:16" hidden="1">
      <c r="J495" t="s">
        <v>1070</v>
      </c>
      <c r="K495" t="s">
        <v>589</v>
      </c>
      <c r="L495">
        <v>976</v>
      </c>
      <c r="M495" s="314">
        <v>45895</v>
      </c>
      <c r="N495" s="314">
        <v>46870</v>
      </c>
      <c r="O495" s="315">
        <v>76484276.819999993</v>
      </c>
      <c r="P495">
        <v>1</v>
      </c>
    </row>
    <row r="496" spans="10:16" hidden="1">
      <c r="J496" t="s">
        <v>1071</v>
      </c>
      <c r="K496" t="s">
        <v>591</v>
      </c>
      <c r="L496">
        <v>60</v>
      </c>
      <c r="M496" s="314">
        <v>46871</v>
      </c>
      <c r="N496" s="314">
        <v>46930</v>
      </c>
      <c r="O496" s="315">
        <v>8498252.9800000004</v>
      </c>
      <c r="P496">
        <v>1</v>
      </c>
    </row>
    <row r="497" spans="10:16" hidden="1">
      <c r="J497" t="s">
        <v>1072</v>
      </c>
      <c r="K497" t="s">
        <v>593</v>
      </c>
      <c r="L497">
        <v>60</v>
      </c>
      <c r="M497" s="314">
        <v>46931</v>
      </c>
      <c r="N497" s="314">
        <v>46990</v>
      </c>
      <c r="O497" s="315">
        <v>0</v>
      </c>
      <c r="P497">
        <v>1</v>
      </c>
    </row>
    <row r="498" spans="10:16">
      <c r="J498" t="s">
        <v>1073</v>
      </c>
      <c r="L498">
        <v>918</v>
      </c>
      <c r="M498" s="314">
        <v>45729</v>
      </c>
      <c r="N498" s="314">
        <v>46646</v>
      </c>
      <c r="O498" s="315">
        <v>49158084</v>
      </c>
      <c r="P498">
        <v>4</v>
      </c>
    </row>
    <row r="499" spans="10:16" hidden="1">
      <c r="J499" t="s">
        <v>1074</v>
      </c>
      <c r="K499" t="s">
        <v>587</v>
      </c>
      <c r="L499">
        <v>188</v>
      </c>
      <c r="M499" s="314">
        <v>45729</v>
      </c>
      <c r="N499" s="314">
        <v>45916</v>
      </c>
      <c r="O499" s="315">
        <v>0</v>
      </c>
      <c r="P499">
        <v>1</v>
      </c>
    </row>
    <row r="500" spans="10:16" hidden="1">
      <c r="J500" t="s">
        <v>1075</v>
      </c>
      <c r="K500" t="s">
        <v>589</v>
      </c>
      <c r="L500">
        <v>610</v>
      </c>
      <c r="M500" s="314">
        <v>45917</v>
      </c>
      <c r="N500" s="314">
        <v>46526</v>
      </c>
      <c r="O500" s="315">
        <v>44242275.600000001</v>
      </c>
      <c r="P500">
        <v>1</v>
      </c>
    </row>
    <row r="501" spans="10:16" hidden="1">
      <c r="J501" t="s">
        <v>1076</v>
      </c>
      <c r="K501" t="s">
        <v>591</v>
      </c>
      <c r="L501">
        <v>60</v>
      </c>
      <c r="M501" s="314">
        <v>46527</v>
      </c>
      <c r="N501" s="314">
        <v>46586</v>
      </c>
      <c r="O501" s="315">
        <v>4915808.4000000004</v>
      </c>
      <c r="P501">
        <v>1</v>
      </c>
    </row>
    <row r="502" spans="10:16" hidden="1">
      <c r="J502" t="s">
        <v>1077</v>
      </c>
      <c r="K502" t="s">
        <v>593</v>
      </c>
      <c r="L502">
        <v>60</v>
      </c>
      <c r="M502" s="314">
        <v>46587</v>
      </c>
      <c r="N502" s="314">
        <v>46646</v>
      </c>
      <c r="O502" s="315">
        <v>0</v>
      </c>
      <c r="P502">
        <v>1</v>
      </c>
    </row>
    <row r="503" spans="10:16">
      <c r="J503" t="s">
        <v>1078</v>
      </c>
      <c r="L503">
        <v>1284</v>
      </c>
      <c r="M503" s="314">
        <v>45729</v>
      </c>
      <c r="N503" s="314">
        <v>47012</v>
      </c>
      <c r="O503" s="315">
        <v>118480348.5</v>
      </c>
      <c r="P503">
        <v>4</v>
      </c>
    </row>
    <row r="504" spans="10:16" hidden="1">
      <c r="J504" t="s">
        <v>1079</v>
      </c>
      <c r="K504" t="s">
        <v>587</v>
      </c>
      <c r="L504">
        <v>188</v>
      </c>
      <c r="M504" s="314">
        <v>45729</v>
      </c>
      <c r="N504" s="314">
        <v>45916</v>
      </c>
      <c r="O504" s="315">
        <v>0</v>
      </c>
      <c r="P504">
        <v>1</v>
      </c>
    </row>
    <row r="505" spans="10:16" hidden="1">
      <c r="J505" t="s">
        <v>1080</v>
      </c>
      <c r="K505" t="s">
        <v>589</v>
      </c>
      <c r="L505">
        <v>976</v>
      </c>
      <c r="M505" s="314">
        <v>45917</v>
      </c>
      <c r="N505" s="314">
        <v>46892</v>
      </c>
      <c r="O505" s="315">
        <v>106632313.65000001</v>
      </c>
      <c r="P505">
        <v>1</v>
      </c>
    </row>
    <row r="506" spans="10:16" hidden="1">
      <c r="J506" t="s">
        <v>1081</v>
      </c>
      <c r="K506" t="s">
        <v>591</v>
      </c>
      <c r="L506">
        <v>60</v>
      </c>
      <c r="M506" s="314">
        <v>46893</v>
      </c>
      <c r="N506" s="314">
        <v>46952</v>
      </c>
      <c r="O506" s="315">
        <v>11848034.85</v>
      </c>
      <c r="P506">
        <v>1</v>
      </c>
    </row>
    <row r="507" spans="10:16" hidden="1">
      <c r="J507" t="s">
        <v>1082</v>
      </c>
      <c r="K507" t="s">
        <v>593</v>
      </c>
      <c r="L507">
        <v>60</v>
      </c>
      <c r="M507" s="314">
        <v>46953</v>
      </c>
      <c r="N507" s="314">
        <v>47012</v>
      </c>
      <c r="O507" s="315">
        <v>0</v>
      </c>
      <c r="P507">
        <v>1</v>
      </c>
    </row>
    <row r="508" spans="10:16">
      <c r="J508" t="s">
        <v>1083</v>
      </c>
      <c r="L508">
        <v>1284</v>
      </c>
      <c r="M508" s="314">
        <v>45646</v>
      </c>
      <c r="N508" s="314">
        <v>46929</v>
      </c>
      <c r="O508" s="315">
        <v>43700000</v>
      </c>
      <c r="P508">
        <v>4</v>
      </c>
    </row>
    <row r="509" spans="10:16" hidden="1">
      <c r="J509" t="s">
        <v>1084</v>
      </c>
      <c r="K509" t="s">
        <v>587</v>
      </c>
      <c r="L509">
        <v>188</v>
      </c>
      <c r="M509" s="314">
        <v>45646</v>
      </c>
      <c r="N509" s="314">
        <v>45833</v>
      </c>
      <c r="O509" s="315">
        <v>0</v>
      </c>
      <c r="P509">
        <v>1</v>
      </c>
    </row>
    <row r="510" spans="10:16" hidden="1">
      <c r="J510" t="s">
        <v>1085</v>
      </c>
      <c r="K510" t="s">
        <v>589</v>
      </c>
      <c r="L510">
        <v>976</v>
      </c>
      <c r="M510" s="314">
        <v>45834</v>
      </c>
      <c r="N510" s="314">
        <v>46809</v>
      </c>
      <c r="O510" s="315">
        <v>39330000</v>
      </c>
      <c r="P510">
        <v>1</v>
      </c>
    </row>
    <row r="511" spans="10:16" hidden="1">
      <c r="J511" t="s">
        <v>1086</v>
      </c>
      <c r="K511" t="s">
        <v>591</v>
      </c>
      <c r="L511">
        <v>60</v>
      </c>
      <c r="M511" s="314">
        <v>46810</v>
      </c>
      <c r="N511" s="314">
        <v>46869</v>
      </c>
      <c r="O511" s="315">
        <v>4370000</v>
      </c>
      <c r="P511">
        <v>1</v>
      </c>
    </row>
    <row r="512" spans="10:16" hidden="1">
      <c r="J512" t="s">
        <v>1087</v>
      </c>
      <c r="K512" t="s">
        <v>593</v>
      </c>
      <c r="L512">
        <v>60</v>
      </c>
      <c r="M512" s="314">
        <v>46870</v>
      </c>
      <c r="N512" s="314">
        <v>46929</v>
      </c>
      <c r="O512" s="315">
        <v>0</v>
      </c>
      <c r="P512">
        <v>1</v>
      </c>
    </row>
    <row r="513" spans="10:16">
      <c r="J513" t="s">
        <v>1088</v>
      </c>
      <c r="L513">
        <v>1284</v>
      </c>
      <c r="M513" s="314">
        <v>45734</v>
      </c>
      <c r="N513" s="314">
        <v>47017</v>
      </c>
      <c r="O513" s="315">
        <v>132249724</v>
      </c>
      <c r="P513">
        <v>4</v>
      </c>
    </row>
    <row r="514" spans="10:16" hidden="1">
      <c r="J514" t="s">
        <v>1089</v>
      </c>
      <c r="K514" t="s">
        <v>587</v>
      </c>
      <c r="L514">
        <v>188</v>
      </c>
      <c r="M514" s="314">
        <v>45734</v>
      </c>
      <c r="N514" s="314">
        <v>45921</v>
      </c>
      <c r="O514" s="315">
        <v>0</v>
      </c>
      <c r="P514">
        <v>1</v>
      </c>
    </row>
    <row r="515" spans="10:16" hidden="1">
      <c r="J515" t="s">
        <v>1090</v>
      </c>
      <c r="K515" t="s">
        <v>589</v>
      </c>
      <c r="L515">
        <v>976</v>
      </c>
      <c r="M515" s="314">
        <v>45922</v>
      </c>
      <c r="N515" s="314">
        <v>46897</v>
      </c>
      <c r="O515" s="315">
        <v>119024751.59999999</v>
      </c>
      <c r="P515">
        <v>1</v>
      </c>
    </row>
    <row r="516" spans="10:16" hidden="1">
      <c r="J516" t="s">
        <v>1091</v>
      </c>
      <c r="K516" t="s">
        <v>591</v>
      </c>
      <c r="L516">
        <v>60</v>
      </c>
      <c r="M516" s="314">
        <v>46898</v>
      </c>
      <c r="N516" s="314">
        <v>46957</v>
      </c>
      <c r="O516" s="315">
        <v>13224972.4</v>
      </c>
      <c r="P516">
        <v>1</v>
      </c>
    </row>
    <row r="517" spans="10:16" hidden="1">
      <c r="J517" t="s">
        <v>1092</v>
      </c>
      <c r="K517" t="s">
        <v>593</v>
      </c>
      <c r="L517">
        <v>60</v>
      </c>
      <c r="M517" s="314">
        <v>46958</v>
      </c>
      <c r="N517" s="314">
        <v>47017</v>
      </c>
      <c r="O517" s="315">
        <v>0</v>
      </c>
      <c r="P517">
        <v>1</v>
      </c>
    </row>
    <row r="518" spans="10:16">
      <c r="J518" t="s">
        <v>1093</v>
      </c>
      <c r="L518">
        <v>918</v>
      </c>
      <c r="M518" s="314">
        <v>45707</v>
      </c>
      <c r="N518" s="314">
        <v>46624</v>
      </c>
      <c r="O518" s="315">
        <v>88550000</v>
      </c>
      <c r="P518">
        <v>4</v>
      </c>
    </row>
    <row r="519" spans="10:16" hidden="1">
      <c r="J519" t="s">
        <v>1094</v>
      </c>
      <c r="K519" t="s">
        <v>587</v>
      </c>
      <c r="L519">
        <v>188</v>
      </c>
      <c r="M519" s="314">
        <v>45707</v>
      </c>
      <c r="N519" s="314">
        <v>45894</v>
      </c>
      <c r="O519" s="315">
        <v>0</v>
      </c>
      <c r="P519">
        <v>1</v>
      </c>
    </row>
    <row r="520" spans="10:16" hidden="1">
      <c r="J520" t="s">
        <v>1095</v>
      </c>
      <c r="K520" t="s">
        <v>589</v>
      </c>
      <c r="L520">
        <v>610</v>
      </c>
      <c r="M520" s="314">
        <v>45895</v>
      </c>
      <c r="N520" s="314">
        <v>46504</v>
      </c>
      <c r="O520" s="315">
        <v>79695000</v>
      </c>
      <c r="P520">
        <v>1</v>
      </c>
    </row>
    <row r="521" spans="10:16" hidden="1">
      <c r="J521" t="s">
        <v>1096</v>
      </c>
      <c r="K521" t="s">
        <v>591</v>
      </c>
      <c r="L521">
        <v>60</v>
      </c>
      <c r="M521" s="314">
        <v>46505</v>
      </c>
      <c r="N521" s="314">
        <v>46564</v>
      </c>
      <c r="O521" s="315">
        <v>8855000</v>
      </c>
      <c r="P521">
        <v>1</v>
      </c>
    </row>
    <row r="522" spans="10:16" hidden="1">
      <c r="J522" t="s">
        <v>1097</v>
      </c>
      <c r="K522" t="s">
        <v>593</v>
      </c>
      <c r="L522">
        <v>60</v>
      </c>
      <c r="M522" s="314">
        <v>46565</v>
      </c>
      <c r="N522" s="314">
        <v>46624</v>
      </c>
      <c r="O522" s="315">
        <v>0</v>
      </c>
      <c r="P522">
        <v>1</v>
      </c>
    </row>
    <row r="523" spans="10:16">
      <c r="J523" t="s">
        <v>1098</v>
      </c>
      <c r="L523">
        <v>918</v>
      </c>
      <c r="M523" s="314">
        <v>45707</v>
      </c>
      <c r="N523" s="314">
        <v>46624</v>
      </c>
      <c r="O523" s="315">
        <v>153703250</v>
      </c>
      <c r="P523">
        <v>4</v>
      </c>
    </row>
    <row r="524" spans="10:16" hidden="1">
      <c r="J524" t="s">
        <v>1099</v>
      </c>
      <c r="K524" t="s">
        <v>587</v>
      </c>
      <c r="L524">
        <v>188</v>
      </c>
      <c r="M524" s="314">
        <v>45707</v>
      </c>
      <c r="N524" s="314">
        <v>45894</v>
      </c>
      <c r="O524" s="315">
        <v>0</v>
      </c>
      <c r="P524">
        <v>1</v>
      </c>
    </row>
    <row r="525" spans="10:16" hidden="1">
      <c r="J525" t="s">
        <v>1100</v>
      </c>
      <c r="K525" t="s">
        <v>589</v>
      </c>
      <c r="L525">
        <v>610</v>
      </c>
      <c r="M525" s="314">
        <v>45895</v>
      </c>
      <c r="N525" s="314">
        <v>46504</v>
      </c>
      <c r="O525" s="315">
        <v>138332925</v>
      </c>
      <c r="P525">
        <v>1</v>
      </c>
    </row>
    <row r="526" spans="10:16" hidden="1">
      <c r="J526" t="s">
        <v>1101</v>
      </c>
      <c r="K526" t="s">
        <v>591</v>
      </c>
      <c r="L526">
        <v>60</v>
      </c>
      <c r="M526" s="314">
        <v>46505</v>
      </c>
      <c r="N526" s="314">
        <v>46564</v>
      </c>
      <c r="O526" s="315">
        <v>15370325</v>
      </c>
      <c r="P526">
        <v>1</v>
      </c>
    </row>
    <row r="527" spans="10:16" hidden="1">
      <c r="J527" t="s">
        <v>1102</v>
      </c>
      <c r="K527" t="s">
        <v>593</v>
      </c>
      <c r="L527">
        <v>60</v>
      </c>
      <c r="M527" s="314">
        <v>46565</v>
      </c>
      <c r="N527" s="314">
        <v>46624</v>
      </c>
      <c r="O527" s="315">
        <v>0</v>
      </c>
      <c r="P527">
        <v>1</v>
      </c>
    </row>
    <row r="528" spans="10:16">
      <c r="J528" t="s">
        <v>1103</v>
      </c>
      <c r="L528">
        <v>918</v>
      </c>
      <c r="M528" s="314">
        <v>45729</v>
      </c>
      <c r="N528" s="314">
        <v>46646</v>
      </c>
      <c r="O528" s="315">
        <v>82587652.5</v>
      </c>
      <c r="P528">
        <v>4</v>
      </c>
    </row>
    <row r="529" spans="10:16" hidden="1">
      <c r="J529" t="s">
        <v>1104</v>
      </c>
      <c r="K529" t="s">
        <v>587</v>
      </c>
      <c r="L529">
        <v>188</v>
      </c>
      <c r="M529" s="314">
        <v>45729</v>
      </c>
      <c r="N529" s="314">
        <v>45916</v>
      </c>
      <c r="O529" s="315">
        <v>0</v>
      </c>
      <c r="P529">
        <v>1</v>
      </c>
    </row>
    <row r="530" spans="10:16" hidden="1">
      <c r="J530" t="s">
        <v>1105</v>
      </c>
      <c r="K530" t="s">
        <v>589</v>
      </c>
      <c r="L530">
        <v>610</v>
      </c>
      <c r="M530" s="314">
        <v>45917</v>
      </c>
      <c r="N530" s="314">
        <v>46526</v>
      </c>
      <c r="O530" s="315">
        <v>74328887.25</v>
      </c>
      <c r="P530">
        <v>1</v>
      </c>
    </row>
    <row r="531" spans="10:16" hidden="1">
      <c r="J531" t="s">
        <v>1106</v>
      </c>
      <c r="K531" t="s">
        <v>591</v>
      </c>
      <c r="L531">
        <v>60</v>
      </c>
      <c r="M531" s="314">
        <v>46527</v>
      </c>
      <c r="N531" s="314">
        <v>46586</v>
      </c>
      <c r="O531" s="315">
        <v>8258765.25</v>
      </c>
      <c r="P531">
        <v>1</v>
      </c>
    </row>
    <row r="532" spans="10:16" hidden="1">
      <c r="J532" t="s">
        <v>1107</v>
      </c>
      <c r="K532" t="s">
        <v>593</v>
      </c>
      <c r="L532">
        <v>60</v>
      </c>
      <c r="M532" s="314">
        <v>46587</v>
      </c>
      <c r="N532" s="314">
        <v>46646</v>
      </c>
      <c r="O532" s="315">
        <v>0</v>
      </c>
      <c r="P532">
        <v>1</v>
      </c>
    </row>
    <row r="533" spans="10:16">
      <c r="J533" t="s">
        <v>1108</v>
      </c>
      <c r="L533">
        <v>1284</v>
      </c>
      <c r="M533" s="314">
        <v>45706</v>
      </c>
      <c r="N533" s="314">
        <v>46989</v>
      </c>
      <c r="O533" s="315">
        <v>56525881</v>
      </c>
      <c r="P533">
        <v>4</v>
      </c>
    </row>
    <row r="534" spans="10:16" hidden="1">
      <c r="J534" t="s">
        <v>1109</v>
      </c>
      <c r="K534" t="s">
        <v>587</v>
      </c>
      <c r="L534">
        <v>188</v>
      </c>
      <c r="M534" s="314">
        <v>45706</v>
      </c>
      <c r="N534" s="314">
        <v>45893</v>
      </c>
      <c r="O534" s="315">
        <v>0</v>
      </c>
      <c r="P534">
        <v>1</v>
      </c>
    </row>
    <row r="535" spans="10:16" hidden="1">
      <c r="J535" t="s">
        <v>1110</v>
      </c>
      <c r="K535" t="s">
        <v>589</v>
      </c>
      <c r="L535">
        <v>976</v>
      </c>
      <c r="M535" s="314">
        <v>45894</v>
      </c>
      <c r="N535" s="314">
        <v>46869</v>
      </c>
      <c r="O535" s="315">
        <v>50873292.899999999</v>
      </c>
      <c r="P535">
        <v>1</v>
      </c>
    </row>
    <row r="536" spans="10:16" hidden="1">
      <c r="J536" t="s">
        <v>1111</v>
      </c>
      <c r="K536" t="s">
        <v>591</v>
      </c>
      <c r="L536">
        <v>60</v>
      </c>
      <c r="M536" s="314">
        <v>46870</v>
      </c>
      <c r="N536" s="314">
        <v>46929</v>
      </c>
      <c r="O536" s="315">
        <v>5652588.0999999996</v>
      </c>
      <c r="P536">
        <v>1</v>
      </c>
    </row>
    <row r="537" spans="10:16" hidden="1">
      <c r="J537" t="s">
        <v>1112</v>
      </c>
      <c r="K537" t="s">
        <v>593</v>
      </c>
      <c r="L537">
        <v>60</v>
      </c>
      <c r="M537" s="314">
        <v>46930</v>
      </c>
      <c r="N537" s="314">
        <v>46989</v>
      </c>
      <c r="O537" s="315">
        <v>0</v>
      </c>
      <c r="P537">
        <v>1</v>
      </c>
    </row>
    <row r="538" spans="10:16">
      <c r="J538" t="s">
        <v>1113</v>
      </c>
      <c r="L538">
        <v>1284</v>
      </c>
      <c r="M538" s="314">
        <v>45707</v>
      </c>
      <c r="N538" s="314">
        <v>46990</v>
      </c>
      <c r="O538" s="315">
        <v>172333443.19999999</v>
      </c>
      <c r="P538">
        <v>4</v>
      </c>
    </row>
    <row r="539" spans="10:16" hidden="1">
      <c r="J539" t="s">
        <v>1114</v>
      </c>
      <c r="K539" t="s">
        <v>587</v>
      </c>
      <c r="L539">
        <v>188</v>
      </c>
      <c r="M539" s="314">
        <v>45707</v>
      </c>
      <c r="N539" s="314">
        <v>45894</v>
      </c>
      <c r="O539" s="315">
        <v>0</v>
      </c>
      <c r="P539">
        <v>1</v>
      </c>
    </row>
    <row r="540" spans="10:16" hidden="1">
      <c r="J540" t="s">
        <v>1115</v>
      </c>
      <c r="K540" t="s">
        <v>589</v>
      </c>
      <c r="L540">
        <v>976</v>
      </c>
      <c r="M540" s="314">
        <v>45895</v>
      </c>
      <c r="N540" s="314">
        <v>46870</v>
      </c>
      <c r="O540" s="315">
        <v>155100098.88</v>
      </c>
      <c r="P540">
        <v>1</v>
      </c>
    </row>
    <row r="541" spans="10:16" hidden="1">
      <c r="J541" t="s">
        <v>1116</v>
      </c>
      <c r="K541" t="s">
        <v>591</v>
      </c>
      <c r="L541">
        <v>60</v>
      </c>
      <c r="M541" s="314">
        <v>46871</v>
      </c>
      <c r="N541" s="314">
        <v>46930</v>
      </c>
      <c r="O541" s="315">
        <v>17233344.32</v>
      </c>
      <c r="P541">
        <v>1</v>
      </c>
    </row>
    <row r="542" spans="10:16" hidden="1">
      <c r="J542" t="s">
        <v>1117</v>
      </c>
      <c r="K542" t="s">
        <v>593</v>
      </c>
      <c r="L542">
        <v>60</v>
      </c>
      <c r="M542" s="314">
        <v>46931</v>
      </c>
      <c r="N542" s="314">
        <v>46990</v>
      </c>
      <c r="O542" s="315">
        <v>0</v>
      </c>
      <c r="P542">
        <v>1</v>
      </c>
    </row>
    <row r="543" spans="10:16">
      <c r="J543" t="s">
        <v>1118</v>
      </c>
      <c r="L543">
        <v>1284</v>
      </c>
      <c r="M543" s="314">
        <v>45707</v>
      </c>
      <c r="N543" s="314">
        <v>46990</v>
      </c>
      <c r="O543" s="315">
        <v>55680637.899999999</v>
      </c>
      <c r="P543">
        <v>4</v>
      </c>
    </row>
    <row r="544" spans="10:16" hidden="1">
      <c r="J544" t="s">
        <v>1119</v>
      </c>
      <c r="K544" t="s">
        <v>587</v>
      </c>
      <c r="L544">
        <v>188</v>
      </c>
      <c r="M544" s="314">
        <v>45707</v>
      </c>
      <c r="N544" s="314">
        <v>45894</v>
      </c>
      <c r="O544" s="315">
        <v>0</v>
      </c>
      <c r="P544">
        <v>1</v>
      </c>
    </row>
    <row r="545" spans="10:16" hidden="1">
      <c r="J545" t="s">
        <v>1120</v>
      </c>
      <c r="K545" t="s">
        <v>589</v>
      </c>
      <c r="L545">
        <v>976</v>
      </c>
      <c r="M545" s="314">
        <v>45895</v>
      </c>
      <c r="N545" s="314">
        <v>46870</v>
      </c>
      <c r="O545" s="315">
        <v>50112574.109999999</v>
      </c>
      <c r="P545">
        <v>1</v>
      </c>
    </row>
    <row r="546" spans="10:16" hidden="1">
      <c r="J546" t="s">
        <v>1121</v>
      </c>
      <c r="K546" t="s">
        <v>591</v>
      </c>
      <c r="L546">
        <v>60</v>
      </c>
      <c r="M546" s="314">
        <v>46871</v>
      </c>
      <c r="N546" s="314">
        <v>46930</v>
      </c>
      <c r="O546" s="315">
        <v>5568063.79</v>
      </c>
      <c r="P546">
        <v>1</v>
      </c>
    </row>
    <row r="547" spans="10:16" hidden="1">
      <c r="J547" t="s">
        <v>1122</v>
      </c>
      <c r="K547" t="s">
        <v>593</v>
      </c>
      <c r="L547">
        <v>60</v>
      </c>
      <c r="M547" s="314">
        <v>46931</v>
      </c>
      <c r="N547" s="314">
        <v>46990</v>
      </c>
      <c r="O547" s="315">
        <v>0</v>
      </c>
      <c r="P547">
        <v>1</v>
      </c>
    </row>
    <row r="548" spans="10:16">
      <c r="J548" t="s">
        <v>1123</v>
      </c>
      <c r="L548">
        <v>918</v>
      </c>
      <c r="M548" s="314">
        <v>45810</v>
      </c>
      <c r="N548" s="314">
        <v>46727</v>
      </c>
      <c r="O548" s="315">
        <v>34688953.630000003</v>
      </c>
      <c r="P548">
        <v>4</v>
      </c>
    </row>
    <row r="549" spans="10:16" hidden="1">
      <c r="J549" t="s">
        <v>1124</v>
      </c>
      <c r="K549" t="s">
        <v>587</v>
      </c>
      <c r="L549">
        <v>188</v>
      </c>
      <c r="M549" s="314">
        <v>45810</v>
      </c>
      <c r="N549" s="314">
        <v>45997</v>
      </c>
      <c r="O549" s="315">
        <v>0</v>
      </c>
      <c r="P549">
        <v>1</v>
      </c>
    </row>
    <row r="550" spans="10:16" hidden="1">
      <c r="J550" t="s">
        <v>1125</v>
      </c>
      <c r="K550" t="s">
        <v>589</v>
      </c>
      <c r="L550">
        <v>610</v>
      </c>
      <c r="M550" s="314">
        <v>45998</v>
      </c>
      <c r="N550" s="314">
        <v>46607</v>
      </c>
      <c r="O550" s="315">
        <v>31220058.260000002</v>
      </c>
      <c r="P550">
        <v>1</v>
      </c>
    </row>
    <row r="551" spans="10:16" hidden="1">
      <c r="J551" t="s">
        <v>1126</v>
      </c>
      <c r="K551" t="s">
        <v>591</v>
      </c>
      <c r="L551">
        <v>60</v>
      </c>
      <c r="M551" s="314">
        <v>46608</v>
      </c>
      <c r="N551" s="314">
        <v>46667</v>
      </c>
      <c r="O551" s="315">
        <v>3468895.36</v>
      </c>
      <c r="P551">
        <v>1</v>
      </c>
    </row>
    <row r="552" spans="10:16" hidden="1">
      <c r="J552" t="s">
        <v>1127</v>
      </c>
      <c r="K552" t="s">
        <v>593</v>
      </c>
      <c r="L552">
        <v>60</v>
      </c>
      <c r="M552" s="314">
        <v>46668</v>
      </c>
      <c r="N552" s="314">
        <v>46727</v>
      </c>
      <c r="O552" s="315">
        <v>0</v>
      </c>
      <c r="P552">
        <v>1</v>
      </c>
    </row>
    <row r="553" spans="10:16">
      <c r="J553" t="s">
        <v>1128</v>
      </c>
      <c r="L553">
        <v>1284</v>
      </c>
      <c r="M553" s="314">
        <v>45847</v>
      </c>
      <c r="N553" s="314">
        <v>47130</v>
      </c>
      <c r="O553" s="315">
        <v>116758476.5</v>
      </c>
      <c r="P553">
        <v>4</v>
      </c>
    </row>
    <row r="554" spans="10:16" hidden="1">
      <c r="J554" t="s">
        <v>1129</v>
      </c>
      <c r="K554" t="s">
        <v>587</v>
      </c>
      <c r="L554">
        <v>188</v>
      </c>
      <c r="M554" s="314">
        <v>45847</v>
      </c>
      <c r="N554" s="314">
        <v>46034</v>
      </c>
      <c r="O554" s="315">
        <v>0</v>
      </c>
      <c r="P554">
        <v>1</v>
      </c>
    </row>
    <row r="555" spans="10:16" hidden="1">
      <c r="J555" t="s">
        <v>1130</v>
      </c>
      <c r="K555" t="s">
        <v>589</v>
      </c>
      <c r="L555">
        <v>976</v>
      </c>
      <c r="M555" s="314">
        <v>46035</v>
      </c>
      <c r="N555" s="314">
        <v>47010</v>
      </c>
      <c r="O555" s="315">
        <v>105082628.84999999</v>
      </c>
      <c r="P555">
        <v>1</v>
      </c>
    </row>
    <row r="556" spans="10:16" hidden="1">
      <c r="J556" t="s">
        <v>1131</v>
      </c>
      <c r="K556" t="s">
        <v>591</v>
      </c>
      <c r="L556">
        <v>60</v>
      </c>
      <c r="M556" s="314">
        <v>47011</v>
      </c>
      <c r="N556" s="314">
        <v>47070</v>
      </c>
      <c r="O556" s="315">
        <v>11675847.65</v>
      </c>
      <c r="P556">
        <v>1</v>
      </c>
    </row>
    <row r="557" spans="10:16" hidden="1">
      <c r="J557" t="s">
        <v>1132</v>
      </c>
      <c r="K557" t="s">
        <v>593</v>
      </c>
      <c r="L557">
        <v>60</v>
      </c>
      <c r="M557" s="314">
        <v>47071</v>
      </c>
      <c r="N557" s="314">
        <v>47130</v>
      </c>
      <c r="O557" s="315">
        <v>0</v>
      </c>
      <c r="P557">
        <v>1</v>
      </c>
    </row>
    <row r="558" spans="10:16">
      <c r="J558" t="s">
        <v>1133</v>
      </c>
      <c r="L558">
        <v>918</v>
      </c>
      <c r="M558" s="314">
        <v>45761</v>
      </c>
      <c r="N558" s="314">
        <v>46678</v>
      </c>
      <c r="O558" s="315">
        <v>64047339.850000001</v>
      </c>
      <c r="P558">
        <v>4</v>
      </c>
    </row>
    <row r="559" spans="10:16" hidden="1">
      <c r="J559" t="s">
        <v>1134</v>
      </c>
      <c r="K559" t="s">
        <v>587</v>
      </c>
      <c r="L559">
        <v>188</v>
      </c>
      <c r="M559" s="314">
        <v>45761</v>
      </c>
      <c r="N559" s="314">
        <v>45948</v>
      </c>
      <c r="O559" s="315">
        <v>0</v>
      </c>
      <c r="P559">
        <v>1</v>
      </c>
    </row>
    <row r="560" spans="10:16" hidden="1">
      <c r="J560" t="s">
        <v>1135</v>
      </c>
      <c r="K560" t="s">
        <v>589</v>
      </c>
      <c r="L560">
        <v>610</v>
      </c>
      <c r="M560" s="314">
        <v>45949</v>
      </c>
      <c r="N560" s="314">
        <v>46558</v>
      </c>
      <c r="O560" s="315">
        <v>57642605.869999997</v>
      </c>
      <c r="P560">
        <v>1</v>
      </c>
    </row>
    <row r="561" spans="10:16" hidden="1">
      <c r="J561" t="s">
        <v>1136</v>
      </c>
      <c r="K561" t="s">
        <v>591</v>
      </c>
      <c r="L561">
        <v>60</v>
      </c>
      <c r="M561" s="314">
        <v>46559</v>
      </c>
      <c r="N561" s="314">
        <v>46618</v>
      </c>
      <c r="O561" s="315">
        <v>6404733.9900000002</v>
      </c>
      <c r="P561">
        <v>1</v>
      </c>
    </row>
    <row r="562" spans="10:16" hidden="1">
      <c r="J562" t="s">
        <v>1137</v>
      </c>
      <c r="K562" t="s">
        <v>593</v>
      </c>
      <c r="L562">
        <v>60</v>
      </c>
      <c r="M562" s="314">
        <v>46619</v>
      </c>
      <c r="N562" s="314">
        <v>46678</v>
      </c>
      <c r="O562" s="315">
        <v>0</v>
      </c>
      <c r="P562">
        <v>1</v>
      </c>
    </row>
    <row r="563" spans="10:16">
      <c r="J563" t="s">
        <v>1138</v>
      </c>
      <c r="L563">
        <v>918</v>
      </c>
      <c r="M563" s="314">
        <v>45792</v>
      </c>
      <c r="N563" s="314">
        <v>46709</v>
      </c>
      <c r="O563" s="315">
        <v>87745000</v>
      </c>
      <c r="P563">
        <v>4</v>
      </c>
    </row>
    <row r="564" spans="10:16" hidden="1">
      <c r="J564" t="s">
        <v>1139</v>
      </c>
      <c r="K564" t="s">
        <v>587</v>
      </c>
      <c r="L564">
        <v>188</v>
      </c>
      <c r="M564" s="314">
        <v>45792</v>
      </c>
      <c r="N564" s="314">
        <v>45979</v>
      </c>
      <c r="O564" s="315">
        <v>0</v>
      </c>
      <c r="P564">
        <v>1</v>
      </c>
    </row>
    <row r="565" spans="10:16" hidden="1">
      <c r="J565" t="s">
        <v>1140</v>
      </c>
      <c r="K565" t="s">
        <v>589</v>
      </c>
      <c r="L565">
        <v>610</v>
      </c>
      <c r="M565" s="314">
        <v>45980</v>
      </c>
      <c r="N565" s="314">
        <v>46589</v>
      </c>
      <c r="O565" s="315">
        <v>78970500</v>
      </c>
      <c r="P565">
        <v>1</v>
      </c>
    </row>
    <row r="566" spans="10:16" hidden="1">
      <c r="J566" t="s">
        <v>1141</v>
      </c>
      <c r="K566" t="s">
        <v>591</v>
      </c>
      <c r="L566">
        <v>60</v>
      </c>
      <c r="M566" s="314">
        <v>46590</v>
      </c>
      <c r="N566" s="314">
        <v>46649</v>
      </c>
      <c r="O566" s="315">
        <v>8774500</v>
      </c>
      <c r="P566">
        <v>1</v>
      </c>
    </row>
    <row r="567" spans="10:16" hidden="1">
      <c r="J567" t="s">
        <v>1142</v>
      </c>
      <c r="K567" t="s">
        <v>593</v>
      </c>
      <c r="L567">
        <v>60</v>
      </c>
      <c r="M567" s="314">
        <v>46650</v>
      </c>
      <c r="N567" s="314">
        <v>46709</v>
      </c>
      <c r="O567" s="315">
        <v>0</v>
      </c>
      <c r="P567">
        <v>1</v>
      </c>
    </row>
    <row r="568" spans="10:16">
      <c r="J568" t="s">
        <v>1143</v>
      </c>
      <c r="L568">
        <v>1243</v>
      </c>
      <c r="M568" s="314">
        <v>45771</v>
      </c>
      <c r="N568" s="314">
        <v>47013</v>
      </c>
      <c r="O568" s="315">
        <v>157324356.13</v>
      </c>
      <c r="P568">
        <v>4</v>
      </c>
    </row>
    <row r="569" spans="10:16" hidden="1">
      <c r="J569" t="s">
        <v>1144</v>
      </c>
      <c r="K569" t="s">
        <v>587</v>
      </c>
      <c r="L569">
        <v>188</v>
      </c>
      <c r="M569" s="314">
        <v>45771</v>
      </c>
      <c r="N569" s="314">
        <v>45958</v>
      </c>
      <c r="O569" s="315">
        <v>0</v>
      </c>
      <c r="P569">
        <v>1</v>
      </c>
    </row>
    <row r="570" spans="10:16" hidden="1">
      <c r="J570" t="s">
        <v>1145</v>
      </c>
      <c r="K570" t="s">
        <v>589</v>
      </c>
      <c r="L570">
        <v>1025</v>
      </c>
      <c r="M570" s="314">
        <v>45959</v>
      </c>
      <c r="N570" s="314">
        <v>46983</v>
      </c>
      <c r="O570" s="315">
        <v>141591920.52000001</v>
      </c>
      <c r="P570">
        <v>1</v>
      </c>
    </row>
    <row r="571" spans="10:16" hidden="1">
      <c r="J571" t="s">
        <v>1146</v>
      </c>
      <c r="K571" t="s">
        <v>591</v>
      </c>
      <c r="L571">
        <v>15</v>
      </c>
      <c r="M571" s="314">
        <v>46984</v>
      </c>
      <c r="N571" s="314">
        <v>46998</v>
      </c>
      <c r="O571" s="315">
        <v>15732435.609999999</v>
      </c>
      <c r="P571">
        <v>1</v>
      </c>
    </row>
    <row r="572" spans="10:16" hidden="1">
      <c r="J572" t="s">
        <v>1147</v>
      </c>
      <c r="K572" t="s">
        <v>593</v>
      </c>
      <c r="L572">
        <v>15</v>
      </c>
      <c r="M572" s="314">
        <v>46999</v>
      </c>
      <c r="N572" s="314">
        <v>47013</v>
      </c>
      <c r="O572" s="315">
        <v>0</v>
      </c>
      <c r="P572">
        <v>1</v>
      </c>
    </row>
    <row r="573" spans="10:16">
      <c r="J573" t="s">
        <v>1148</v>
      </c>
      <c r="L573">
        <v>883</v>
      </c>
      <c r="M573" s="314">
        <v>45897</v>
      </c>
      <c r="N573" s="314">
        <v>46779</v>
      </c>
      <c r="O573" s="315">
        <v>19550000</v>
      </c>
      <c r="P573">
        <v>4</v>
      </c>
    </row>
    <row r="574" spans="10:16" hidden="1">
      <c r="J574" t="s">
        <v>1149</v>
      </c>
      <c r="K574" t="s">
        <v>587</v>
      </c>
      <c r="L574">
        <v>188</v>
      </c>
      <c r="M574" s="314">
        <v>45897</v>
      </c>
      <c r="N574" s="314">
        <v>46084</v>
      </c>
      <c r="O574" s="315">
        <v>0</v>
      </c>
      <c r="P574">
        <v>1</v>
      </c>
    </row>
    <row r="575" spans="10:16" hidden="1">
      <c r="J575" t="s">
        <v>1150</v>
      </c>
      <c r="K575" t="s">
        <v>589</v>
      </c>
      <c r="L575">
        <v>665</v>
      </c>
      <c r="M575" s="314">
        <v>46085</v>
      </c>
      <c r="N575" s="314">
        <v>46749</v>
      </c>
      <c r="O575" s="315">
        <v>17595000</v>
      </c>
      <c r="P575">
        <v>1</v>
      </c>
    </row>
    <row r="576" spans="10:16" hidden="1">
      <c r="J576" t="s">
        <v>1151</v>
      </c>
      <c r="K576" t="s">
        <v>591</v>
      </c>
      <c r="L576">
        <v>15</v>
      </c>
      <c r="M576" s="314">
        <v>46750</v>
      </c>
      <c r="N576" s="314">
        <v>46764</v>
      </c>
      <c r="O576" s="315">
        <v>1955000</v>
      </c>
      <c r="P576">
        <v>1</v>
      </c>
    </row>
    <row r="577" spans="10:16" hidden="1">
      <c r="J577" t="s">
        <v>1152</v>
      </c>
      <c r="K577" t="s">
        <v>593</v>
      </c>
      <c r="L577">
        <v>15</v>
      </c>
      <c r="M577" s="314">
        <v>46765</v>
      </c>
      <c r="N577" s="314">
        <v>46779</v>
      </c>
      <c r="O577" s="315">
        <v>0</v>
      </c>
      <c r="P577">
        <v>1</v>
      </c>
    </row>
    <row r="578" spans="10:16">
      <c r="J578" t="s">
        <v>1153</v>
      </c>
      <c r="L578">
        <v>883</v>
      </c>
      <c r="M578" s="314">
        <v>45875</v>
      </c>
      <c r="N578" s="314">
        <v>46757</v>
      </c>
      <c r="O578" s="315">
        <v>69000000</v>
      </c>
      <c r="P578">
        <v>4</v>
      </c>
    </row>
    <row r="579" spans="10:16" hidden="1">
      <c r="J579" t="s">
        <v>1154</v>
      </c>
      <c r="K579" t="s">
        <v>587</v>
      </c>
      <c r="L579">
        <v>188</v>
      </c>
      <c r="M579" s="314">
        <v>45875</v>
      </c>
      <c r="N579" s="314">
        <v>46062</v>
      </c>
      <c r="O579" s="315">
        <v>0</v>
      </c>
      <c r="P579">
        <v>1</v>
      </c>
    </row>
    <row r="580" spans="10:16" hidden="1">
      <c r="J580" t="s">
        <v>1155</v>
      </c>
      <c r="K580" t="s">
        <v>589</v>
      </c>
      <c r="L580">
        <v>665</v>
      </c>
      <c r="M580" s="314">
        <v>46063</v>
      </c>
      <c r="N580" s="314">
        <v>46727</v>
      </c>
      <c r="O580" s="315">
        <v>62100000</v>
      </c>
      <c r="P580">
        <v>1</v>
      </c>
    </row>
    <row r="581" spans="10:16" hidden="1">
      <c r="J581" t="s">
        <v>1156</v>
      </c>
      <c r="K581" t="s">
        <v>591</v>
      </c>
      <c r="L581">
        <v>15</v>
      </c>
      <c r="M581" s="314">
        <v>46728</v>
      </c>
      <c r="N581" s="314">
        <v>46742</v>
      </c>
      <c r="O581" s="315">
        <v>6900000</v>
      </c>
      <c r="P581">
        <v>1</v>
      </c>
    </row>
    <row r="582" spans="10:16" hidden="1">
      <c r="J582" t="s">
        <v>1157</v>
      </c>
      <c r="K582" t="s">
        <v>593</v>
      </c>
      <c r="L582">
        <v>15</v>
      </c>
      <c r="M582" s="314">
        <v>46743</v>
      </c>
      <c r="N582" s="314">
        <v>46757</v>
      </c>
      <c r="O582" s="315">
        <v>0</v>
      </c>
      <c r="P582">
        <v>1</v>
      </c>
    </row>
    <row r="583" spans="10:16">
      <c r="J583" t="s">
        <v>1158</v>
      </c>
      <c r="L583">
        <v>550</v>
      </c>
      <c r="M583" s="314">
        <v>46006</v>
      </c>
      <c r="N583" s="314">
        <v>46555</v>
      </c>
      <c r="O583" s="315">
        <v>28750000</v>
      </c>
      <c r="P583">
        <v>4</v>
      </c>
    </row>
    <row r="584" spans="10:16" hidden="1">
      <c r="J584" t="s">
        <v>1159</v>
      </c>
      <c r="K584" t="s">
        <v>587</v>
      </c>
      <c r="L584">
        <v>188</v>
      </c>
      <c r="M584" s="314">
        <v>46006</v>
      </c>
      <c r="N584" s="314">
        <v>46193</v>
      </c>
      <c r="O584" s="315">
        <v>0</v>
      </c>
      <c r="P584">
        <v>1</v>
      </c>
    </row>
    <row r="585" spans="10:16" hidden="1">
      <c r="J585" t="s">
        <v>1160</v>
      </c>
      <c r="K585" t="s">
        <v>589</v>
      </c>
      <c r="L585">
        <v>332</v>
      </c>
      <c r="M585" s="314">
        <v>46194</v>
      </c>
      <c r="N585" s="314">
        <v>46525</v>
      </c>
      <c r="O585" s="315">
        <v>25875000</v>
      </c>
      <c r="P585">
        <v>1</v>
      </c>
    </row>
    <row r="586" spans="10:16" hidden="1">
      <c r="J586" t="s">
        <v>1161</v>
      </c>
      <c r="K586" t="s">
        <v>591</v>
      </c>
      <c r="L586">
        <v>15</v>
      </c>
      <c r="M586" s="314">
        <v>46526</v>
      </c>
      <c r="N586" s="314">
        <v>46540</v>
      </c>
      <c r="O586" s="315">
        <v>2875000</v>
      </c>
      <c r="P586">
        <v>1</v>
      </c>
    </row>
    <row r="587" spans="10:16" hidden="1">
      <c r="J587" t="s">
        <v>1162</v>
      </c>
      <c r="K587" t="s">
        <v>593</v>
      </c>
      <c r="L587">
        <v>15</v>
      </c>
      <c r="M587" s="314">
        <v>46541</v>
      </c>
      <c r="N587" s="314">
        <v>46555</v>
      </c>
      <c r="O587" s="315">
        <v>0</v>
      </c>
      <c r="P587">
        <v>1</v>
      </c>
    </row>
    <row r="588" spans="10:16">
      <c r="J588" t="s">
        <v>1163</v>
      </c>
      <c r="L588">
        <v>730</v>
      </c>
      <c r="M588" s="314">
        <v>45589</v>
      </c>
      <c r="N588" s="314">
        <v>46318</v>
      </c>
      <c r="O588" s="315">
        <v>10746806.060000001</v>
      </c>
      <c r="P588">
        <v>4</v>
      </c>
    </row>
    <row r="589" spans="10:16" hidden="1">
      <c r="J589" t="s">
        <v>1164</v>
      </c>
      <c r="K589" t="s">
        <v>587</v>
      </c>
      <c r="L589">
        <v>188</v>
      </c>
      <c r="M589" s="314">
        <v>45589</v>
      </c>
      <c r="N589" s="314">
        <v>45776</v>
      </c>
      <c r="O589" s="315">
        <v>0</v>
      </c>
      <c r="P589">
        <v>1</v>
      </c>
    </row>
    <row r="590" spans="10:16" hidden="1">
      <c r="J590" t="s">
        <v>1165</v>
      </c>
      <c r="K590" t="s">
        <v>589</v>
      </c>
      <c r="L590">
        <v>512</v>
      </c>
      <c r="M590" s="314">
        <v>45777</v>
      </c>
      <c r="N590" s="314">
        <v>46288</v>
      </c>
      <c r="O590" s="315">
        <v>9672125.4600000009</v>
      </c>
      <c r="P590">
        <v>1</v>
      </c>
    </row>
    <row r="591" spans="10:16" hidden="1">
      <c r="J591" t="s">
        <v>1166</v>
      </c>
      <c r="K591" t="s">
        <v>591</v>
      </c>
      <c r="L591">
        <v>15</v>
      </c>
      <c r="M591" s="314">
        <v>46289</v>
      </c>
      <c r="N591" s="314">
        <v>46303</v>
      </c>
      <c r="O591" s="315">
        <v>1074680.6100000001</v>
      </c>
      <c r="P591">
        <v>1</v>
      </c>
    </row>
    <row r="592" spans="10:16" hidden="1">
      <c r="J592" t="s">
        <v>1167</v>
      </c>
      <c r="K592" t="s">
        <v>593</v>
      </c>
      <c r="L592">
        <v>15</v>
      </c>
      <c r="M592" s="314">
        <v>46304</v>
      </c>
      <c r="N592" s="314">
        <v>46318</v>
      </c>
      <c r="O592" s="315">
        <v>0</v>
      </c>
      <c r="P592">
        <v>1</v>
      </c>
    </row>
    <row r="593" spans="10:16">
      <c r="J593" t="s">
        <v>1168</v>
      </c>
      <c r="L593">
        <v>883</v>
      </c>
      <c r="M593" s="314">
        <v>45578</v>
      </c>
      <c r="N593" s="314">
        <v>46460</v>
      </c>
      <c r="O593" s="315">
        <v>242258338.75</v>
      </c>
      <c r="P593">
        <v>4</v>
      </c>
    </row>
    <row r="594" spans="10:16" hidden="1">
      <c r="J594" t="s">
        <v>1169</v>
      </c>
      <c r="K594" t="s">
        <v>587</v>
      </c>
      <c r="L594">
        <v>188</v>
      </c>
      <c r="M594" s="314">
        <v>45578</v>
      </c>
      <c r="N594" s="314">
        <v>45765</v>
      </c>
      <c r="O594" s="315">
        <v>0</v>
      </c>
      <c r="P594">
        <v>1</v>
      </c>
    </row>
    <row r="595" spans="10:16" hidden="1">
      <c r="J595" t="s">
        <v>1170</v>
      </c>
      <c r="K595" t="s">
        <v>589</v>
      </c>
      <c r="L595">
        <v>665</v>
      </c>
      <c r="M595" s="314">
        <v>45766</v>
      </c>
      <c r="N595" s="314">
        <v>46430</v>
      </c>
      <c r="O595" s="315">
        <v>218032504.88</v>
      </c>
      <c r="P595">
        <v>1</v>
      </c>
    </row>
    <row r="596" spans="10:16" hidden="1">
      <c r="J596" t="s">
        <v>1171</v>
      </c>
      <c r="K596" t="s">
        <v>591</v>
      </c>
      <c r="L596">
        <v>15</v>
      </c>
      <c r="M596" s="314">
        <v>46431</v>
      </c>
      <c r="N596" s="314">
        <v>46445</v>
      </c>
      <c r="O596" s="315">
        <v>24225833.879999999</v>
      </c>
      <c r="P596">
        <v>1</v>
      </c>
    </row>
    <row r="597" spans="10:16" hidden="1">
      <c r="J597" t="s">
        <v>1172</v>
      </c>
      <c r="K597" t="s">
        <v>593</v>
      </c>
      <c r="L597">
        <v>15</v>
      </c>
      <c r="M597" s="314">
        <v>46446</v>
      </c>
      <c r="N597" s="314">
        <v>46460</v>
      </c>
      <c r="O597" s="315">
        <v>0</v>
      </c>
      <c r="P597">
        <v>1</v>
      </c>
    </row>
    <row r="598" spans="10:16">
      <c r="J598" t="s">
        <v>1173</v>
      </c>
      <c r="L598">
        <v>883</v>
      </c>
      <c r="M598" s="314">
        <v>45589</v>
      </c>
      <c r="N598" s="314">
        <v>46471</v>
      </c>
      <c r="O598" s="315">
        <v>145614552.5</v>
      </c>
      <c r="P598">
        <v>4</v>
      </c>
    </row>
    <row r="599" spans="10:16" hidden="1">
      <c r="J599" t="s">
        <v>1174</v>
      </c>
      <c r="K599" t="s">
        <v>587</v>
      </c>
      <c r="L599">
        <v>188</v>
      </c>
      <c r="M599" s="314">
        <v>45589</v>
      </c>
      <c r="N599" s="314">
        <v>45776</v>
      </c>
      <c r="O599" s="315">
        <v>0</v>
      </c>
      <c r="P599">
        <v>1</v>
      </c>
    </row>
    <row r="600" spans="10:16" hidden="1">
      <c r="J600" t="s">
        <v>1175</v>
      </c>
      <c r="K600" t="s">
        <v>589</v>
      </c>
      <c r="L600">
        <v>665</v>
      </c>
      <c r="M600" s="314">
        <v>45777</v>
      </c>
      <c r="N600" s="314">
        <v>46441</v>
      </c>
      <c r="O600" s="315">
        <v>131053097.25</v>
      </c>
      <c r="P600">
        <v>1</v>
      </c>
    </row>
    <row r="601" spans="10:16" hidden="1">
      <c r="J601" t="s">
        <v>1176</v>
      </c>
      <c r="K601" t="s">
        <v>591</v>
      </c>
      <c r="L601">
        <v>15</v>
      </c>
      <c r="M601" s="314">
        <v>46442</v>
      </c>
      <c r="N601" s="314">
        <v>46456</v>
      </c>
      <c r="O601" s="315">
        <v>14561455.25</v>
      </c>
      <c r="P601">
        <v>1</v>
      </c>
    </row>
    <row r="602" spans="10:16" hidden="1">
      <c r="J602" t="s">
        <v>1177</v>
      </c>
      <c r="K602" t="s">
        <v>593</v>
      </c>
      <c r="L602">
        <v>15</v>
      </c>
      <c r="M602" s="314">
        <v>46457</v>
      </c>
      <c r="N602" s="314">
        <v>46471</v>
      </c>
      <c r="O602" s="315">
        <v>0</v>
      </c>
      <c r="P602">
        <v>1</v>
      </c>
    </row>
    <row r="603" spans="10:16">
      <c r="J603" t="s">
        <v>1178</v>
      </c>
      <c r="L603">
        <v>1243</v>
      </c>
      <c r="M603" s="314">
        <v>45603</v>
      </c>
      <c r="N603" s="314">
        <v>46845</v>
      </c>
      <c r="O603" s="315">
        <v>282926773.62</v>
      </c>
      <c r="P603">
        <v>4</v>
      </c>
    </row>
    <row r="604" spans="10:16" hidden="1">
      <c r="J604" t="s">
        <v>1179</v>
      </c>
      <c r="K604" t="s">
        <v>587</v>
      </c>
      <c r="L604">
        <v>188</v>
      </c>
      <c r="M604" s="314">
        <v>45603</v>
      </c>
      <c r="N604" s="314">
        <v>45790</v>
      </c>
      <c r="O604" s="315">
        <v>0</v>
      </c>
      <c r="P604">
        <v>1</v>
      </c>
    </row>
    <row r="605" spans="10:16" hidden="1">
      <c r="J605" t="s">
        <v>1180</v>
      </c>
      <c r="K605" t="s">
        <v>589</v>
      </c>
      <c r="L605">
        <v>1025</v>
      </c>
      <c r="M605" s="314">
        <v>45791</v>
      </c>
      <c r="N605" s="314">
        <v>46815</v>
      </c>
      <c r="O605" s="315">
        <v>254634096.25999999</v>
      </c>
      <c r="P605">
        <v>1</v>
      </c>
    </row>
    <row r="606" spans="10:16" hidden="1">
      <c r="J606" t="s">
        <v>1181</v>
      </c>
      <c r="K606" t="s">
        <v>591</v>
      </c>
      <c r="L606">
        <v>15</v>
      </c>
      <c r="M606" s="314">
        <v>46816</v>
      </c>
      <c r="N606" s="314">
        <v>46830</v>
      </c>
      <c r="O606" s="315">
        <v>28292677.359999999</v>
      </c>
      <c r="P606">
        <v>1</v>
      </c>
    </row>
    <row r="607" spans="10:16" hidden="1">
      <c r="J607" t="s">
        <v>1182</v>
      </c>
      <c r="K607" t="s">
        <v>593</v>
      </c>
      <c r="L607">
        <v>15</v>
      </c>
      <c r="M607" s="314">
        <v>46831</v>
      </c>
      <c r="N607" s="314">
        <v>46845</v>
      </c>
      <c r="O607" s="315">
        <v>0</v>
      </c>
      <c r="P607">
        <v>1</v>
      </c>
    </row>
    <row r="608" spans="10:16">
      <c r="J608" t="s">
        <v>1183</v>
      </c>
      <c r="L608">
        <v>1243</v>
      </c>
      <c r="M608" s="314">
        <v>45589</v>
      </c>
      <c r="N608" s="314">
        <v>46831</v>
      </c>
      <c r="O608" s="315">
        <v>146941169.5</v>
      </c>
      <c r="P608">
        <v>4</v>
      </c>
    </row>
    <row r="609" spans="10:16" hidden="1">
      <c r="J609" t="s">
        <v>1184</v>
      </c>
      <c r="K609" t="s">
        <v>587</v>
      </c>
      <c r="L609">
        <v>188</v>
      </c>
      <c r="M609" s="314">
        <v>45589</v>
      </c>
      <c r="N609" s="314">
        <v>45776</v>
      </c>
      <c r="O609" s="315">
        <v>0</v>
      </c>
      <c r="P609">
        <v>1</v>
      </c>
    </row>
    <row r="610" spans="10:16" hidden="1">
      <c r="J610" t="s">
        <v>1185</v>
      </c>
      <c r="K610" t="s">
        <v>589</v>
      </c>
      <c r="L610">
        <v>1025</v>
      </c>
      <c r="M610" s="314">
        <v>45777</v>
      </c>
      <c r="N610" s="314">
        <v>46801</v>
      </c>
      <c r="O610" s="315">
        <v>132247052.55</v>
      </c>
      <c r="P610">
        <v>1</v>
      </c>
    </row>
    <row r="611" spans="10:16" hidden="1">
      <c r="J611" t="s">
        <v>1186</v>
      </c>
      <c r="K611" t="s">
        <v>591</v>
      </c>
      <c r="L611">
        <v>15</v>
      </c>
      <c r="M611" s="314">
        <v>46802</v>
      </c>
      <c r="N611" s="314">
        <v>46816</v>
      </c>
      <c r="O611" s="315">
        <v>14694116.949999999</v>
      </c>
      <c r="P611">
        <v>1</v>
      </c>
    </row>
    <row r="612" spans="10:16" hidden="1">
      <c r="J612" t="s">
        <v>1187</v>
      </c>
      <c r="K612" t="s">
        <v>593</v>
      </c>
      <c r="L612">
        <v>15</v>
      </c>
      <c r="M612" s="314">
        <v>46817</v>
      </c>
      <c r="N612" s="314">
        <v>46831</v>
      </c>
      <c r="O612" s="315">
        <v>0</v>
      </c>
      <c r="P612">
        <v>1</v>
      </c>
    </row>
    <row r="613" spans="10:16">
      <c r="J613" t="s">
        <v>1188</v>
      </c>
      <c r="L613">
        <v>1243</v>
      </c>
      <c r="M613" s="314">
        <v>45560</v>
      </c>
      <c r="N613" s="314">
        <v>46802</v>
      </c>
      <c r="O613" s="315">
        <v>118754739</v>
      </c>
      <c r="P613">
        <v>4</v>
      </c>
    </row>
    <row r="614" spans="10:16" hidden="1">
      <c r="J614" t="s">
        <v>1189</v>
      </c>
      <c r="K614" t="s">
        <v>587</v>
      </c>
      <c r="L614">
        <v>188</v>
      </c>
      <c r="M614" s="314">
        <v>45560</v>
      </c>
      <c r="N614" s="314">
        <v>45747</v>
      </c>
      <c r="O614" s="315">
        <v>0</v>
      </c>
      <c r="P614">
        <v>1</v>
      </c>
    </row>
    <row r="615" spans="10:16" hidden="1">
      <c r="J615" t="s">
        <v>1190</v>
      </c>
      <c r="K615" t="s">
        <v>589</v>
      </c>
      <c r="L615">
        <v>1025</v>
      </c>
      <c r="M615" s="314">
        <v>45748</v>
      </c>
      <c r="N615" s="314">
        <v>46772</v>
      </c>
      <c r="O615" s="315">
        <v>106879265.09999999</v>
      </c>
      <c r="P615">
        <v>1</v>
      </c>
    </row>
    <row r="616" spans="10:16" hidden="1">
      <c r="J616" t="s">
        <v>1191</v>
      </c>
      <c r="K616" t="s">
        <v>591</v>
      </c>
      <c r="L616">
        <v>15</v>
      </c>
      <c r="M616" s="314">
        <v>46773</v>
      </c>
      <c r="N616" s="314">
        <v>46787</v>
      </c>
      <c r="O616" s="315">
        <v>11875473.9</v>
      </c>
      <c r="P616">
        <v>1</v>
      </c>
    </row>
    <row r="617" spans="10:16" hidden="1">
      <c r="J617" t="s">
        <v>1192</v>
      </c>
      <c r="K617" t="s">
        <v>593</v>
      </c>
      <c r="L617">
        <v>15</v>
      </c>
      <c r="M617" s="314">
        <v>46788</v>
      </c>
      <c r="N617" s="314">
        <v>46802</v>
      </c>
      <c r="O617" s="315">
        <v>0</v>
      </c>
      <c r="P617">
        <v>1</v>
      </c>
    </row>
    <row r="618" spans="10:16">
      <c r="J618" t="s">
        <v>1193</v>
      </c>
      <c r="L618">
        <v>1243</v>
      </c>
      <c r="M618" s="314">
        <v>45561</v>
      </c>
      <c r="N618" s="314">
        <v>46803</v>
      </c>
      <c r="O618" s="315">
        <v>235546911.15000001</v>
      </c>
      <c r="P618">
        <v>4</v>
      </c>
    </row>
    <row r="619" spans="10:16" hidden="1">
      <c r="J619" t="s">
        <v>1194</v>
      </c>
      <c r="K619" t="s">
        <v>587</v>
      </c>
      <c r="L619">
        <v>188</v>
      </c>
      <c r="M619" s="314">
        <v>45561</v>
      </c>
      <c r="N619" s="314">
        <v>45748</v>
      </c>
      <c r="O619" s="315">
        <v>0</v>
      </c>
      <c r="P619">
        <v>1</v>
      </c>
    </row>
    <row r="620" spans="10:16" hidden="1">
      <c r="J620" t="s">
        <v>1195</v>
      </c>
      <c r="K620" t="s">
        <v>589</v>
      </c>
      <c r="L620">
        <v>1025</v>
      </c>
      <c r="M620" s="314">
        <v>45749</v>
      </c>
      <c r="N620" s="314">
        <v>46773</v>
      </c>
      <c r="O620" s="315">
        <v>211992220.03999999</v>
      </c>
      <c r="P620">
        <v>1</v>
      </c>
    </row>
    <row r="621" spans="10:16" hidden="1">
      <c r="J621" t="s">
        <v>1196</v>
      </c>
      <c r="K621" t="s">
        <v>591</v>
      </c>
      <c r="L621">
        <v>15</v>
      </c>
      <c r="M621" s="314">
        <v>46774</v>
      </c>
      <c r="N621" s="314">
        <v>46788</v>
      </c>
      <c r="O621" s="315">
        <v>23554691.109999999</v>
      </c>
      <c r="P621">
        <v>1</v>
      </c>
    </row>
    <row r="622" spans="10:16" hidden="1">
      <c r="J622" t="s">
        <v>1197</v>
      </c>
      <c r="K622" t="s">
        <v>593</v>
      </c>
      <c r="L622">
        <v>15</v>
      </c>
      <c r="M622" s="314">
        <v>46789</v>
      </c>
      <c r="N622" s="314">
        <v>46803</v>
      </c>
      <c r="O622" s="315">
        <v>0</v>
      </c>
      <c r="P622">
        <v>1</v>
      </c>
    </row>
    <row r="623" spans="10:16">
      <c r="J623" t="s">
        <v>1198</v>
      </c>
      <c r="L623">
        <v>678</v>
      </c>
      <c r="M623" s="314">
        <v>46004</v>
      </c>
      <c r="N623" s="314">
        <v>46681</v>
      </c>
      <c r="O623" s="315">
        <v>30431665.699999999</v>
      </c>
      <c r="P623">
        <v>3</v>
      </c>
    </row>
    <row r="624" spans="10:16" hidden="1">
      <c r="J624" t="s">
        <v>1199</v>
      </c>
      <c r="K624" t="s">
        <v>589</v>
      </c>
      <c r="L624">
        <v>558</v>
      </c>
      <c r="M624" s="314">
        <v>46004</v>
      </c>
      <c r="N624" s="314">
        <v>46561</v>
      </c>
      <c r="O624" s="315">
        <v>27388499.129999999</v>
      </c>
      <c r="P624">
        <v>1</v>
      </c>
    </row>
    <row r="625" spans="10:16" hidden="1">
      <c r="J625" t="s">
        <v>1200</v>
      </c>
      <c r="K625" t="s">
        <v>591</v>
      </c>
      <c r="L625">
        <v>60</v>
      </c>
      <c r="M625" s="314">
        <v>46562</v>
      </c>
      <c r="N625" s="314">
        <v>46621</v>
      </c>
      <c r="O625" s="315">
        <v>3043166.57</v>
      </c>
      <c r="P625">
        <v>1</v>
      </c>
    </row>
    <row r="626" spans="10:16" hidden="1">
      <c r="J626" t="s">
        <v>1201</v>
      </c>
      <c r="K626" t="s">
        <v>593</v>
      </c>
      <c r="L626">
        <v>60</v>
      </c>
      <c r="M626" s="314">
        <v>46622</v>
      </c>
      <c r="N626" s="314">
        <v>46681</v>
      </c>
      <c r="O626" s="315">
        <v>0</v>
      </c>
      <c r="P626">
        <v>1</v>
      </c>
    </row>
    <row r="627" spans="10:16">
      <c r="J627" t="s">
        <v>1202</v>
      </c>
      <c r="L627">
        <v>1012</v>
      </c>
      <c r="M627" s="314">
        <v>46033</v>
      </c>
      <c r="N627" s="314">
        <v>47044</v>
      </c>
      <c r="O627" s="315">
        <v>37933893.100000001</v>
      </c>
      <c r="P627">
        <v>3</v>
      </c>
    </row>
    <row r="628" spans="10:16" hidden="1">
      <c r="J628" t="s">
        <v>1203</v>
      </c>
      <c r="K628" t="s">
        <v>589</v>
      </c>
      <c r="L628">
        <v>892</v>
      </c>
      <c r="M628" s="314">
        <v>46033</v>
      </c>
      <c r="N628" s="314">
        <v>46924</v>
      </c>
      <c r="O628" s="315">
        <v>34140503.789999999</v>
      </c>
      <c r="P628">
        <v>1</v>
      </c>
    </row>
    <row r="629" spans="10:16" hidden="1">
      <c r="J629" t="s">
        <v>1204</v>
      </c>
      <c r="K629" t="s">
        <v>591</v>
      </c>
      <c r="L629">
        <v>60</v>
      </c>
      <c r="M629" s="314">
        <v>46925</v>
      </c>
      <c r="N629" s="314">
        <v>46984</v>
      </c>
      <c r="O629" s="315">
        <v>3793389.31</v>
      </c>
      <c r="P629">
        <v>1</v>
      </c>
    </row>
    <row r="630" spans="10:16" hidden="1">
      <c r="J630" t="s">
        <v>1205</v>
      </c>
      <c r="K630" t="s">
        <v>593</v>
      </c>
      <c r="L630">
        <v>60</v>
      </c>
      <c r="M630" s="314">
        <v>46985</v>
      </c>
      <c r="N630" s="314">
        <v>47044</v>
      </c>
      <c r="O630" s="315">
        <v>0</v>
      </c>
      <c r="P630">
        <v>1</v>
      </c>
    </row>
    <row r="631" spans="10:16">
      <c r="J631" t="s">
        <v>1206</v>
      </c>
      <c r="L631">
        <v>993</v>
      </c>
      <c r="M631" s="314">
        <v>46011</v>
      </c>
      <c r="N631" s="314">
        <v>47003</v>
      </c>
      <c r="O631" s="315">
        <v>43412500</v>
      </c>
      <c r="P631">
        <v>3</v>
      </c>
    </row>
    <row r="632" spans="10:16" hidden="1">
      <c r="J632" t="s">
        <v>1207</v>
      </c>
      <c r="K632" t="s">
        <v>589</v>
      </c>
      <c r="L632">
        <v>873</v>
      </c>
      <c r="M632" s="314">
        <v>46011</v>
      </c>
      <c r="N632" s="314">
        <v>46883</v>
      </c>
      <c r="O632" s="315">
        <v>39071250</v>
      </c>
      <c r="P632">
        <v>1</v>
      </c>
    </row>
    <row r="633" spans="10:16" hidden="1">
      <c r="J633" t="s">
        <v>1208</v>
      </c>
      <c r="K633" t="s">
        <v>591</v>
      </c>
      <c r="L633">
        <v>60</v>
      </c>
      <c r="M633" s="314">
        <v>46884</v>
      </c>
      <c r="N633" s="314">
        <v>46943</v>
      </c>
      <c r="O633" s="315">
        <v>4341250</v>
      </c>
      <c r="P633">
        <v>1</v>
      </c>
    </row>
    <row r="634" spans="10:16" hidden="1">
      <c r="J634" t="s">
        <v>1209</v>
      </c>
      <c r="K634" t="s">
        <v>593</v>
      </c>
      <c r="L634">
        <v>60</v>
      </c>
      <c r="M634" s="314">
        <v>46944</v>
      </c>
      <c r="N634" s="314">
        <v>47003</v>
      </c>
      <c r="O634" s="315">
        <v>0</v>
      </c>
      <c r="P634">
        <v>1</v>
      </c>
    </row>
    <row r="635" spans="10:16">
      <c r="J635" t="s">
        <v>1210</v>
      </c>
      <c r="L635">
        <v>1096</v>
      </c>
      <c r="M635" s="314">
        <v>45973</v>
      </c>
      <c r="N635" s="314">
        <v>47068</v>
      </c>
      <c r="O635" s="315">
        <v>68354965</v>
      </c>
      <c r="P635">
        <v>3</v>
      </c>
    </row>
    <row r="636" spans="10:16" hidden="1">
      <c r="J636" t="s">
        <v>1211</v>
      </c>
      <c r="K636" t="s">
        <v>589</v>
      </c>
      <c r="L636">
        <v>976</v>
      </c>
      <c r="M636" s="314">
        <v>45973</v>
      </c>
      <c r="N636" s="314">
        <v>46948</v>
      </c>
      <c r="O636" s="315">
        <v>61519468.5</v>
      </c>
      <c r="P636">
        <v>1</v>
      </c>
    </row>
    <row r="637" spans="10:16" hidden="1">
      <c r="J637" t="s">
        <v>1212</v>
      </c>
      <c r="K637" t="s">
        <v>591</v>
      </c>
      <c r="L637">
        <v>60</v>
      </c>
      <c r="M637" s="314">
        <v>46949</v>
      </c>
      <c r="N637" s="314">
        <v>47008</v>
      </c>
      <c r="O637" s="315">
        <v>6835496.5</v>
      </c>
      <c r="P637">
        <v>1</v>
      </c>
    </row>
    <row r="638" spans="10:16" hidden="1">
      <c r="J638" t="s">
        <v>1213</v>
      </c>
      <c r="K638" t="s">
        <v>593</v>
      </c>
      <c r="L638">
        <v>60</v>
      </c>
      <c r="M638" s="314">
        <v>47009</v>
      </c>
      <c r="N638" s="314">
        <v>47068</v>
      </c>
      <c r="O638" s="315">
        <v>0</v>
      </c>
      <c r="P638">
        <v>1</v>
      </c>
    </row>
    <row r="639" spans="10:16">
      <c r="J639" t="s">
        <v>1214</v>
      </c>
      <c r="L639">
        <v>1012</v>
      </c>
      <c r="M639" s="314">
        <v>45952</v>
      </c>
      <c r="N639" s="314">
        <v>46963</v>
      </c>
      <c r="O639" s="315">
        <v>47026323</v>
      </c>
      <c r="P639">
        <v>3</v>
      </c>
    </row>
    <row r="640" spans="10:16" hidden="1">
      <c r="J640" t="s">
        <v>1215</v>
      </c>
      <c r="K640" t="s">
        <v>589</v>
      </c>
      <c r="L640">
        <v>892</v>
      </c>
      <c r="M640" s="314">
        <v>45952</v>
      </c>
      <c r="N640" s="314">
        <v>46843</v>
      </c>
      <c r="O640" s="315">
        <v>42323690.700000003</v>
      </c>
      <c r="P640">
        <v>1</v>
      </c>
    </row>
    <row r="641" spans="10:16" hidden="1">
      <c r="J641" t="s">
        <v>1216</v>
      </c>
      <c r="K641" t="s">
        <v>591</v>
      </c>
      <c r="L641">
        <v>60</v>
      </c>
      <c r="M641" s="314">
        <v>46844</v>
      </c>
      <c r="N641" s="314">
        <v>46903</v>
      </c>
      <c r="O641" s="315">
        <v>4702632.3</v>
      </c>
      <c r="P641">
        <v>1</v>
      </c>
    </row>
    <row r="642" spans="10:16" hidden="1">
      <c r="J642" t="s">
        <v>1217</v>
      </c>
      <c r="K642" t="s">
        <v>593</v>
      </c>
      <c r="L642">
        <v>60</v>
      </c>
      <c r="M642" s="314">
        <v>46904</v>
      </c>
      <c r="N642" s="314">
        <v>46963</v>
      </c>
      <c r="O642" s="315">
        <v>0</v>
      </c>
      <c r="P642">
        <v>1</v>
      </c>
    </row>
    <row r="643" spans="10:16">
      <c r="J643" t="s">
        <v>1218</v>
      </c>
      <c r="L643">
        <v>1021</v>
      </c>
      <c r="M643" s="314">
        <v>45985</v>
      </c>
      <c r="N643" s="314">
        <v>47005</v>
      </c>
      <c r="O643" s="315">
        <v>25754250</v>
      </c>
      <c r="P643">
        <v>3</v>
      </c>
    </row>
    <row r="644" spans="10:16" hidden="1">
      <c r="J644" t="s">
        <v>1219</v>
      </c>
      <c r="K644" t="s">
        <v>589</v>
      </c>
      <c r="L644">
        <v>901</v>
      </c>
      <c r="M644" s="314">
        <v>45985</v>
      </c>
      <c r="N644" s="314">
        <v>46885</v>
      </c>
      <c r="O644" s="315">
        <v>23178825</v>
      </c>
      <c r="P644">
        <v>1</v>
      </c>
    </row>
    <row r="645" spans="10:16" hidden="1">
      <c r="J645" t="s">
        <v>1220</v>
      </c>
      <c r="K645" t="s">
        <v>591</v>
      </c>
      <c r="L645">
        <v>60</v>
      </c>
      <c r="M645" s="314">
        <v>46886</v>
      </c>
      <c r="N645" s="314">
        <v>46945</v>
      </c>
      <c r="O645" s="315">
        <v>2575425</v>
      </c>
      <c r="P645">
        <v>1</v>
      </c>
    </row>
    <row r="646" spans="10:16" hidden="1">
      <c r="J646" t="s">
        <v>1221</v>
      </c>
      <c r="K646" t="s">
        <v>593</v>
      </c>
      <c r="L646">
        <v>60</v>
      </c>
      <c r="M646" s="314">
        <v>46946</v>
      </c>
      <c r="N646" s="314">
        <v>47005</v>
      </c>
      <c r="O646" s="315">
        <v>0</v>
      </c>
      <c r="P646">
        <v>1</v>
      </c>
    </row>
    <row r="647" spans="10:16">
      <c r="J647" t="s">
        <v>1222</v>
      </c>
      <c r="L647">
        <v>1096</v>
      </c>
      <c r="M647" s="314">
        <v>45967</v>
      </c>
      <c r="N647" s="314">
        <v>47062</v>
      </c>
      <c r="O647" s="315">
        <v>21801222.75</v>
      </c>
      <c r="P647">
        <v>3</v>
      </c>
    </row>
    <row r="648" spans="10:16" hidden="1">
      <c r="J648" t="s">
        <v>1223</v>
      </c>
      <c r="K648" t="s">
        <v>589</v>
      </c>
      <c r="L648">
        <v>976</v>
      </c>
      <c r="M648" s="314">
        <v>45967</v>
      </c>
      <c r="N648" s="314">
        <v>46942</v>
      </c>
      <c r="O648" s="315">
        <v>19621100.48</v>
      </c>
      <c r="P648">
        <v>1</v>
      </c>
    </row>
    <row r="649" spans="10:16" hidden="1">
      <c r="J649" t="s">
        <v>1224</v>
      </c>
      <c r="K649" t="s">
        <v>591</v>
      </c>
      <c r="L649">
        <v>60</v>
      </c>
      <c r="M649" s="314">
        <v>46943</v>
      </c>
      <c r="N649" s="314">
        <v>47002</v>
      </c>
      <c r="O649" s="315">
        <v>2180122.2799999998</v>
      </c>
      <c r="P649">
        <v>1</v>
      </c>
    </row>
    <row r="650" spans="10:16" hidden="1">
      <c r="J650" t="s">
        <v>1225</v>
      </c>
      <c r="K650" t="s">
        <v>593</v>
      </c>
      <c r="L650">
        <v>60</v>
      </c>
      <c r="M650" s="314">
        <v>47003</v>
      </c>
      <c r="N650" s="314">
        <v>47062</v>
      </c>
      <c r="O650" s="315">
        <v>0</v>
      </c>
      <c r="P650">
        <v>1</v>
      </c>
    </row>
    <row r="651" spans="10:16">
      <c r="J651" t="s">
        <v>1226</v>
      </c>
      <c r="L651">
        <v>684</v>
      </c>
      <c r="M651" s="314">
        <v>45948</v>
      </c>
      <c r="N651" s="314">
        <v>46631</v>
      </c>
      <c r="O651" s="315">
        <v>20790349.75</v>
      </c>
      <c r="P651">
        <v>3</v>
      </c>
    </row>
    <row r="652" spans="10:16" hidden="1">
      <c r="J652" t="s">
        <v>1227</v>
      </c>
      <c r="K652" t="s">
        <v>589</v>
      </c>
      <c r="L652">
        <v>564</v>
      </c>
      <c r="M652" s="314">
        <v>45948</v>
      </c>
      <c r="N652" s="314">
        <v>46511</v>
      </c>
      <c r="O652" s="315">
        <v>18711314.780000001</v>
      </c>
      <c r="P652">
        <v>1</v>
      </c>
    </row>
    <row r="653" spans="10:16" hidden="1">
      <c r="J653" t="s">
        <v>1228</v>
      </c>
      <c r="K653" t="s">
        <v>591</v>
      </c>
      <c r="L653">
        <v>60</v>
      </c>
      <c r="M653" s="314">
        <v>46512</v>
      </c>
      <c r="N653" s="314">
        <v>46571</v>
      </c>
      <c r="O653" s="315">
        <v>2079034.98</v>
      </c>
      <c r="P653">
        <v>1</v>
      </c>
    </row>
    <row r="654" spans="10:16" hidden="1">
      <c r="J654" t="s">
        <v>1229</v>
      </c>
      <c r="K654" t="s">
        <v>593</v>
      </c>
      <c r="L654">
        <v>60</v>
      </c>
      <c r="M654" s="314">
        <v>46572</v>
      </c>
      <c r="N654" s="314">
        <v>46631</v>
      </c>
      <c r="O654" s="315">
        <v>0</v>
      </c>
      <c r="P654">
        <v>1</v>
      </c>
    </row>
    <row r="655" spans="10:16">
      <c r="J655" t="s">
        <v>1230</v>
      </c>
      <c r="L655">
        <v>1023</v>
      </c>
      <c r="M655" s="314">
        <v>45386</v>
      </c>
      <c r="N655" s="314">
        <v>46408</v>
      </c>
      <c r="O655" s="315">
        <v>221143052.28</v>
      </c>
      <c r="P655">
        <v>3</v>
      </c>
    </row>
    <row r="656" spans="10:16" hidden="1">
      <c r="J656" t="s">
        <v>1231</v>
      </c>
      <c r="K656" t="s">
        <v>589</v>
      </c>
      <c r="L656">
        <v>903</v>
      </c>
      <c r="M656" s="314">
        <v>45386</v>
      </c>
      <c r="N656" s="314">
        <v>46288</v>
      </c>
      <c r="O656" s="315">
        <v>199028747.05000001</v>
      </c>
      <c r="P656">
        <v>1</v>
      </c>
    </row>
    <row r="657" spans="10:16" hidden="1">
      <c r="J657" t="s">
        <v>1232</v>
      </c>
      <c r="K657" t="s">
        <v>591</v>
      </c>
      <c r="L657">
        <v>60</v>
      </c>
      <c r="M657" s="314">
        <v>46289</v>
      </c>
      <c r="N657" s="314">
        <v>46348</v>
      </c>
      <c r="O657" s="315">
        <v>22114305.23</v>
      </c>
      <c r="P657">
        <v>1</v>
      </c>
    </row>
    <row r="658" spans="10:16" hidden="1">
      <c r="J658" t="s">
        <v>1233</v>
      </c>
      <c r="K658" t="s">
        <v>593</v>
      </c>
      <c r="L658">
        <v>60</v>
      </c>
      <c r="M658" s="314">
        <v>46349</v>
      </c>
      <c r="N658" s="314">
        <v>46408</v>
      </c>
      <c r="O658" s="315">
        <v>0</v>
      </c>
      <c r="P658">
        <v>1</v>
      </c>
    </row>
    <row r="659" spans="10:16">
      <c r="J659" t="s">
        <v>1234</v>
      </c>
      <c r="L659">
        <v>1039</v>
      </c>
      <c r="M659" s="314">
        <v>45370</v>
      </c>
      <c r="N659" s="314">
        <v>46408</v>
      </c>
      <c r="O659" s="315">
        <v>122816423.28</v>
      </c>
      <c r="P659">
        <v>3</v>
      </c>
    </row>
    <row r="660" spans="10:16" hidden="1">
      <c r="J660" t="s">
        <v>1235</v>
      </c>
      <c r="K660" t="s">
        <v>589</v>
      </c>
      <c r="L660">
        <v>919</v>
      </c>
      <c r="M660" s="314">
        <v>45370</v>
      </c>
      <c r="N660" s="314">
        <v>46288</v>
      </c>
      <c r="O660" s="315">
        <v>110534780.95</v>
      </c>
      <c r="P660">
        <v>1</v>
      </c>
    </row>
    <row r="661" spans="10:16" hidden="1">
      <c r="J661" t="s">
        <v>1236</v>
      </c>
      <c r="K661" t="s">
        <v>591</v>
      </c>
      <c r="L661">
        <v>60</v>
      </c>
      <c r="M661" s="314">
        <v>46289</v>
      </c>
      <c r="N661" s="314">
        <v>46348</v>
      </c>
      <c r="O661" s="315">
        <v>12281642.33</v>
      </c>
      <c r="P661">
        <v>1</v>
      </c>
    </row>
    <row r="662" spans="10:16" hidden="1">
      <c r="J662" t="s">
        <v>1237</v>
      </c>
      <c r="K662" t="s">
        <v>593</v>
      </c>
      <c r="L662">
        <v>60</v>
      </c>
      <c r="M662" s="314">
        <v>46349</v>
      </c>
      <c r="N662" s="314">
        <v>46408</v>
      </c>
      <c r="O662" s="315">
        <v>0</v>
      </c>
      <c r="P662">
        <v>1</v>
      </c>
    </row>
    <row r="663" spans="10:16">
      <c r="J663" t="s">
        <v>1238</v>
      </c>
      <c r="L663">
        <v>1827</v>
      </c>
      <c r="M663" s="314">
        <v>45796</v>
      </c>
      <c r="N663" s="314">
        <v>11097</v>
      </c>
      <c r="O663" s="315">
        <v>336544740</v>
      </c>
      <c r="P663">
        <v>3</v>
      </c>
    </row>
    <row r="664" spans="10:16" hidden="1">
      <c r="J664" t="s">
        <v>1239</v>
      </c>
      <c r="K664" t="s">
        <v>589</v>
      </c>
      <c r="L664">
        <v>1707</v>
      </c>
      <c r="M664" s="314">
        <v>45796</v>
      </c>
      <c r="N664" s="314">
        <v>10977</v>
      </c>
      <c r="O664" s="315">
        <v>302890266</v>
      </c>
      <c r="P664">
        <v>1</v>
      </c>
    </row>
    <row r="665" spans="10:16" hidden="1">
      <c r="J665" t="s">
        <v>1240</v>
      </c>
      <c r="K665" t="s">
        <v>591</v>
      </c>
      <c r="L665">
        <v>60</v>
      </c>
      <c r="M665" s="314">
        <v>10978</v>
      </c>
      <c r="N665" s="314">
        <v>11037</v>
      </c>
      <c r="O665" s="315">
        <v>33654474</v>
      </c>
      <c r="P665">
        <v>1</v>
      </c>
    </row>
    <row r="666" spans="10:16" hidden="1">
      <c r="J666" t="s">
        <v>1241</v>
      </c>
      <c r="K666" t="s">
        <v>593</v>
      </c>
      <c r="L666">
        <v>60</v>
      </c>
      <c r="M666" s="314">
        <v>11038</v>
      </c>
      <c r="N666" s="314">
        <v>11097</v>
      </c>
      <c r="O666" s="315">
        <v>0</v>
      </c>
      <c r="P666">
        <v>1</v>
      </c>
    </row>
    <row r="667" spans="10:16">
      <c r="J667" t="s">
        <v>1242</v>
      </c>
      <c r="L667">
        <v>1827</v>
      </c>
      <c r="M667" s="314">
        <v>45158</v>
      </c>
      <c r="N667" s="314">
        <v>46984</v>
      </c>
      <c r="O667" s="315">
        <v>98670000</v>
      </c>
      <c r="P667">
        <v>3</v>
      </c>
    </row>
    <row r="668" spans="10:16" hidden="1">
      <c r="J668" t="s">
        <v>1243</v>
      </c>
      <c r="K668" t="s">
        <v>589</v>
      </c>
      <c r="L668">
        <v>1797</v>
      </c>
      <c r="M668" s="314">
        <v>45158</v>
      </c>
      <c r="N668" s="314">
        <v>46954</v>
      </c>
      <c r="O668" s="315">
        <v>88803000</v>
      </c>
      <c r="P668">
        <v>1</v>
      </c>
    </row>
    <row r="669" spans="10:16" hidden="1">
      <c r="J669" t="s">
        <v>1244</v>
      </c>
      <c r="K669" t="s">
        <v>591</v>
      </c>
      <c r="L669">
        <v>15</v>
      </c>
      <c r="M669" s="314">
        <v>46955</v>
      </c>
      <c r="N669" s="314">
        <v>46969</v>
      </c>
      <c r="O669" s="315">
        <v>9867000</v>
      </c>
      <c r="P669">
        <v>1</v>
      </c>
    </row>
    <row r="670" spans="10:16" hidden="1">
      <c r="J670" t="s">
        <v>1245</v>
      </c>
      <c r="K670" t="s">
        <v>593</v>
      </c>
      <c r="L670">
        <v>15</v>
      </c>
      <c r="M670" s="314">
        <v>46970</v>
      </c>
      <c r="N670" s="314">
        <v>46984</v>
      </c>
      <c r="O670" s="315">
        <v>0</v>
      </c>
      <c r="P670">
        <v>1</v>
      </c>
    </row>
    <row r="671" spans="10:16">
      <c r="J671" t="s">
        <v>1246</v>
      </c>
      <c r="L671">
        <v>1112</v>
      </c>
      <c r="M671" s="314">
        <v>45371</v>
      </c>
      <c r="N671" s="314">
        <v>46482</v>
      </c>
      <c r="O671" s="315">
        <v>117213916.06</v>
      </c>
      <c r="P671">
        <v>3</v>
      </c>
    </row>
    <row r="672" spans="10:16" hidden="1">
      <c r="J672" t="s">
        <v>1247</v>
      </c>
      <c r="K672" t="s">
        <v>589</v>
      </c>
      <c r="L672">
        <v>992</v>
      </c>
      <c r="M672" s="314">
        <v>45371</v>
      </c>
      <c r="N672" s="314">
        <v>46362</v>
      </c>
      <c r="O672" s="315">
        <v>105492524.45</v>
      </c>
      <c r="P672">
        <v>1</v>
      </c>
    </row>
    <row r="673" spans="10:16" hidden="1">
      <c r="J673" t="s">
        <v>1248</v>
      </c>
      <c r="K673" t="s">
        <v>591</v>
      </c>
      <c r="L673">
        <v>60</v>
      </c>
      <c r="M673" s="314">
        <v>46363</v>
      </c>
      <c r="N673" s="314">
        <v>46422</v>
      </c>
      <c r="O673" s="315">
        <v>11721391.609999999</v>
      </c>
      <c r="P673">
        <v>1</v>
      </c>
    </row>
    <row r="674" spans="10:16" hidden="1">
      <c r="J674" t="s">
        <v>1249</v>
      </c>
      <c r="K674" t="s">
        <v>593</v>
      </c>
      <c r="L674">
        <v>60</v>
      </c>
      <c r="M674" s="314">
        <v>46423</v>
      </c>
      <c r="N674" s="314">
        <v>46482</v>
      </c>
      <c r="O674" s="315">
        <v>0</v>
      </c>
      <c r="P674">
        <v>1</v>
      </c>
    </row>
    <row r="675" spans="10:16">
      <c r="J675" t="s">
        <v>1250</v>
      </c>
      <c r="L675">
        <v>926</v>
      </c>
      <c r="M675" s="314">
        <v>45315</v>
      </c>
      <c r="N675" s="314">
        <v>46240</v>
      </c>
      <c r="O675" s="315">
        <v>37841428.420000002</v>
      </c>
      <c r="P675">
        <v>3</v>
      </c>
    </row>
    <row r="676" spans="10:16" hidden="1">
      <c r="J676" t="s">
        <v>1251</v>
      </c>
      <c r="K676" t="s">
        <v>589</v>
      </c>
      <c r="L676">
        <v>806</v>
      </c>
      <c r="M676" s="314">
        <v>45315</v>
      </c>
      <c r="N676" s="314">
        <v>46120</v>
      </c>
      <c r="O676" s="315">
        <v>34057285.579999998</v>
      </c>
      <c r="P676">
        <v>1</v>
      </c>
    </row>
    <row r="677" spans="10:16" hidden="1">
      <c r="J677" t="s">
        <v>1252</v>
      </c>
      <c r="K677" t="s">
        <v>591</v>
      </c>
      <c r="L677">
        <v>60</v>
      </c>
      <c r="M677" s="314">
        <v>46121</v>
      </c>
      <c r="N677" s="314">
        <v>46180</v>
      </c>
      <c r="O677" s="315">
        <v>3784142.84</v>
      </c>
      <c r="P677">
        <v>1</v>
      </c>
    </row>
    <row r="678" spans="10:16" hidden="1">
      <c r="J678" t="s">
        <v>1253</v>
      </c>
      <c r="K678" t="s">
        <v>593</v>
      </c>
      <c r="L678">
        <v>60</v>
      </c>
      <c r="M678" s="314">
        <v>46181</v>
      </c>
      <c r="N678" s="314">
        <v>46240</v>
      </c>
      <c r="O678" s="315">
        <v>0</v>
      </c>
      <c r="P678">
        <v>1</v>
      </c>
    </row>
    <row r="679" spans="10:16">
      <c r="J679" t="s">
        <v>1254</v>
      </c>
      <c r="L679">
        <v>532</v>
      </c>
      <c r="M679" s="314">
        <v>45491</v>
      </c>
      <c r="N679" s="314">
        <v>46022</v>
      </c>
      <c r="O679" s="315">
        <v>20939976.25</v>
      </c>
      <c r="P679">
        <v>3</v>
      </c>
    </row>
    <row r="680" spans="10:16" hidden="1">
      <c r="J680" t="s">
        <v>1255</v>
      </c>
      <c r="K680" t="s">
        <v>589</v>
      </c>
      <c r="L680">
        <v>442</v>
      </c>
      <c r="M680" s="314">
        <v>45491</v>
      </c>
      <c r="N680" s="314">
        <v>45932</v>
      </c>
      <c r="O680" s="315">
        <v>18845978.629999999</v>
      </c>
      <c r="P680">
        <v>1</v>
      </c>
    </row>
    <row r="681" spans="10:16" hidden="1">
      <c r="J681" t="s">
        <v>1256</v>
      </c>
      <c r="K681" t="s">
        <v>591</v>
      </c>
      <c r="L681">
        <v>45</v>
      </c>
      <c r="M681" s="314">
        <v>45933</v>
      </c>
      <c r="N681" s="314">
        <v>45977</v>
      </c>
      <c r="O681" s="315">
        <v>2093997.63</v>
      </c>
      <c r="P681">
        <v>1</v>
      </c>
    </row>
    <row r="682" spans="10:16" hidden="1">
      <c r="J682" t="s">
        <v>1257</v>
      </c>
      <c r="K682" t="s">
        <v>593</v>
      </c>
      <c r="L682">
        <v>45</v>
      </c>
      <c r="M682" s="314">
        <v>45978</v>
      </c>
      <c r="N682" s="314">
        <v>46022</v>
      </c>
      <c r="O682" s="315">
        <v>0</v>
      </c>
      <c r="P682">
        <v>1</v>
      </c>
    </row>
    <row r="683" spans="10:16">
      <c r="J683" t="s">
        <v>1258</v>
      </c>
      <c r="L683">
        <v>1067</v>
      </c>
      <c r="M683" s="314">
        <v>45299</v>
      </c>
      <c r="N683" s="314">
        <v>46365</v>
      </c>
      <c r="O683" s="315">
        <v>78223592.25</v>
      </c>
      <c r="P683">
        <v>3</v>
      </c>
    </row>
    <row r="684" spans="10:16" hidden="1">
      <c r="J684" t="s">
        <v>1259</v>
      </c>
      <c r="K684" t="s">
        <v>589</v>
      </c>
      <c r="L684">
        <v>947</v>
      </c>
      <c r="M684" s="314">
        <v>45299</v>
      </c>
      <c r="N684" s="314">
        <v>46245</v>
      </c>
      <c r="O684" s="315">
        <v>70401233.030000001</v>
      </c>
      <c r="P684">
        <v>1</v>
      </c>
    </row>
    <row r="685" spans="10:16" hidden="1">
      <c r="J685" t="s">
        <v>1260</v>
      </c>
      <c r="K685" t="s">
        <v>591</v>
      </c>
      <c r="L685">
        <v>60</v>
      </c>
      <c r="M685" s="314">
        <v>46246</v>
      </c>
      <c r="N685" s="314">
        <v>46305</v>
      </c>
      <c r="O685" s="315">
        <v>7822359.2300000004</v>
      </c>
      <c r="P685">
        <v>1</v>
      </c>
    </row>
    <row r="686" spans="10:16" hidden="1">
      <c r="J686" t="s">
        <v>1261</v>
      </c>
      <c r="K686" t="s">
        <v>593</v>
      </c>
      <c r="L686">
        <v>60</v>
      </c>
      <c r="M686" s="314">
        <v>46306</v>
      </c>
      <c r="N686" s="314">
        <v>46365</v>
      </c>
      <c r="O686" s="315">
        <v>0</v>
      </c>
      <c r="P686">
        <v>1</v>
      </c>
    </row>
    <row r="687" spans="10:16">
      <c r="J687" t="s">
        <v>1262</v>
      </c>
      <c r="L687">
        <v>1021</v>
      </c>
      <c r="M687" s="314">
        <v>45290</v>
      </c>
      <c r="N687" s="314">
        <v>46310</v>
      </c>
      <c r="O687" s="315">
        <v>63665782.5</v>
      </c>
      <c r="P687">
        <v>3</v>
      </c>
    </row>
    <row r="688" spans="10:16" hidden="1">
      <c r="J688" t="s">
        <v>1263</v>
      </c>
      <c r="K688" t="s">
        <v>589</v>
      </c>
      <c r="L688">
        <v>901</v>
      </c>
      <c r="M688" s="314">
        <v>45290</v>
      </c>
      <c r="N688" s="314">
        <v>46190</v>
      </c>
      <c r="O688" s="315">
        <v>57299204.25</v>
      </c>
      <c r="P688">
        <v>1</v>
      </c>
    </row>
    <row r="689" spans="10:16" hidden="1">
      <c r="J689" t="s">
        <v>1264</v>
      </c>
      <c r="K689" t="s">
        <v>591</v>
      </c>
      <c r="L689">
        <v>60</v>
      </c>
      <c r="M689" s="314">
        <v>46191</v>
      </c>
      <c r="N689" s="314">
        <v>46250</v>
      </c>
      <c r="O689" s="315">
        <v>6366578.25</v>
      </c>
      <c r="P689">
        <v>1</v>
      </c>
    </row>
    <row r="690" spans="10:16" hidden="1">
      <c r="J690" t="s">
        <v>1265</v>
      </c>
      <c r="K690" t="s">
        <v>593</v>
      </c>
      <c r="L690">
        <v>60</v>
      </c>
      <c r="M690" s="314">
        <v>46251</v>
      </c>
      <c r="N690" s="314">
        <v>46310</v>
      </c>
      <c r="O690" s="315">
        <v>0</v>
      </c>
      <c r="P690">
        <v>1</v>
      </c>
    </row>
    <row r="691" spans="10:16">
      <c r="J691" t="s">
        <v>1266</v>
      </c>
      <c r="L691">
        <v>1004</v>
      </c>
      <c r="M691" s="314">
        <v>45410</v>
      </c>
      <c r="N691" s="314">
        <v>46413</v>
      </c>
      <c r="O691" s="315">
        <v>816500</v>
      </c>
      <c r="P691">
        <v>3</v>
      </c>
    </row>
    <row r="692" spans="10:16" hidden="1">
      <c r="J692" t="s">
        <v>1267</v>
      </c>
      <c r="K692" t="s">
        <v>589</v>
      </c>
      <c r="L692">
        <v>944</v>
      </c>
      <c r="M692" s="314">
        <v>45410</v>
      </c>
      <c r="N692" s="314">
        <v>46353</v>
      </c>
      <c r="O692" s="315">
        <v>734850</v>
      </c>
      <c r="P692">
        <v>1</v>
      </c>
    </row>
    <row r="693" spans="10:16" hidden="1">
      <c r="J693" t="s">
        <v>1268</v>
      </c>
      <c r="K693" t="s">
        <v>591</v>
      </c>
      <c r="L693">
        <v>30</v>
      </c>
      <c r="M693" s="314">
        <v>46354</v>
      </c>
      <c r="N693" s="314">
        <v>46383</v>
      </c>
      <c r="O693" s="315">
        <v>81650</v>
      </c>
      <c r="P693">
        <v>1</v>
      </c>
    </row>
    <row r="694" spans="10:16" hidden="1">
      <c r="J694" t="s">
        <v>1269</v>
      </c>
      <c r="K694" t="s">
        <v>593</v>
      </c>
      <c r="L694">
        <v>30</v>
      </c>
      <c r="M694" s="314">
        <v>46384</v>
      </c>
      <c r="N694" s="314">
        <v>46413</v>
      </c>
      <c r="O694" s="315">
        <v>0</v>
      </c>
      <c r="P694">
        <v>1</v>
      </c>
    </row>
    <row r="695" spans="10:16">
      <c r="J695" t="s">
        <v>1270</v>
      </c>
      <c r="L695">
        <v>944</v>
      </c>
      <c r="M695" s="314">
        <v>45598</v>
      </c>
      <c r="N695" s="314">
        <v>46541</v>
      </c>
      <c r="O695" s="315">
        <v>24830133</v>
      </c>
      <c r="P695">
        <v>3</v>
      </c>
    </row>
    <row r="696" spans="10:16" hidden="1">
      <c r="J696" t="s">
        <v>1271</v>
      </c>
      <c r="K696" t="s">
        <v>589</v>
      </c>
      <c r="L696">
        <v>824</v>
      </c>
      <c r="M696" s="314">
        <v>45598</v>
      </c>
      <c r="N696" s="314">
        <v>46421</v>
      </c>
      <c r="O696" s="315">
        <v>22347119.699999999</v>
      </c>
      <c r="P696">
        <v>1</v>
      </c>
    </row>
    <row r="697" spans="10:16" hidden="1">
      <c r="J697" t="s">
        <v>1272</v>
      </c>
      <c r="K697" t="s">
        <v>591</v>
      </c>
      <c r="L697">
        <v>60</v>
      </c>
      <c r="M697" s="314">
        <v>46422</v>
      </c>
      <c r="N697" s="314">
        <v>46481</v>
      </c>
      <c r="O697" s="315">
        <v>2483013.2999999998</v>
      </c>
      <c r="P697">
        <v>1</v>
      </c>
    </row>
    <row r="698" spans="10:16" hidden="1">
      <c r="J698" t="s">
        <v>1273</v>
      </c>
      <c r="K698" t="s">
        <v>593</v>
      </c>
      <c r="L698">
        <v>60</v>
      </c>
      <c r="M698" s="314">
        <v>46482</v>
      </c>
      <c r="N698" s="314">
        <v>46541</v>
      </c>
      <c r="O698" s="315">
        <v>0</v>
      </c>
      <c r="P698">
        <v>1</v>
      </c>
    </row>
    <row r="699" spans="10:16">
      <c r="J699" t="s">
        <v>1274</v>
      </c>
      <c r="L699">
        <v>1022</v>
      </c>
      <c r="M699" s="314">
        <v>45290</v>
      </c>
      <c r="N699" s="314">
        <v>46311</v>
      </c>
      <c r="O699" s="315">
        <v>44275000</v>
      </c>
      <c r="P699">
        <v>3</v>
      </c>
    </row>
    <row r="700" spans="10:16" hidden="1">
      <c r="J700" t="s">
        <v>1275</v>
      </c>
      <c r="K700" t="s">
        <v>589</v>
      </c>
      <c r="L700">
        <v>902</v>
      </c>
      <c r="M700" s="314">
        <v>45290</v>
      </c>
      <c r="N700" s="314">
        <v>46191</v>
      </c>
      <c r="O700" s="315">
        <v>39847500</v>
      </c>
      <c r="P700">
        <v>1</v>
      </c>
    </row>
    <row r="701" spans="10:16" hidden="1">
      <c r="J701" t="s">
        <v>1276</v>
      </c>
      <c r="K701" t="s">
        <v>591</v>
      </c>
      <c r="L701">
        <v>60</v>
      </c>
      <c r="M701" s="314">
        <v>46192</v>
      </c>
      <c r="N701" s="314">
        <v>46251</v>
      </c>
      <c r="O701" s="315">
        <v>4427500</v>
      </c>
      <c r="P701">
        <v>1</v>
      </c>
    </row>
    <row r="702" spans="10:16" hidden="1">
      <c r="J702" t="s">
        <v>1277</v>
      </c>
      <c r="K702" t="s">
        <v>593</v>
      </c>
      <c r="L702">
        <v>60</v>
      </c>
      <c r="M702" s="314">
        <v>46252</v>
      </c>
      <c r="N702" s="314">
        <v>46311</v>
      </c>
      <c r="O702" s="315">
        <v>0</v>
      </c>
      <c r="P702">
        <v>1</v>
      </c>
    </row>
    <row r="703" spans="10:16">
      <c r="J703" t="s">
        <v>1278</v>
      </c>
      <c r="L703">
        <v>1170</v>
      </c>
      <c r="M703" s="314">
        <v>45271</v>
      </c>
      <c r="N703" s="314">
        <v>46440</v>
      </c>
      <c r="O703" s="315">
        <v>56750066.600000001</v>
      </c>
      <c r="P703">
        <v>3</v>
      </c>
    </row>
    <row r="704" spans="10:16" hidden="1">
      <c r="J704" t="s">
        <v>1279</v>
      </c>
      <c r="K704" t="s">
        <v>589</v>
      </c>
      <c r="L704">
        <v>1050</v>
      </c>
      <c r="M704" s="314">
        <v>45271</v>
      </c>
      <c r="N704" s="314">
        <v>46320</v>
      </c>
      <c r="O704" s="315">
        <v>51075059.939999998</v>
      </c>
      <c r="P704">
        <v>1</v>
      </c>
    </row>
    <row r="705" spans="10:16" hidden="1">
      <c r="J705" t="s">
        <v>1280</v>
      </c>
      <c r="K705" t="s">
        <v>591</v>
      </c>
      <c r="L705">
        <v>60</v>
      </c>
      <c r="M705" s="314">
        <v>46321</v>
      </c>
      <c r="N705" s="314">
        <v>46380</v>
      </c>
      <c r="O705" s="315">
        <v>5675006.6600000001</v>
      </c>
      <c r="P705">
        <v>1</v>
      </c>
    </row>
    <row r="706" spans="10:16" hidden="1">
      <c r="J706" t="s">
        <v>1281</v>
      </c>
      <c r="K706" t="s">
        <v>593</v>
      </c>
      <c r="L706">
        <v>60</v>
      </c>
      <c r="M706" s="314">
        <v>46381</v>
      </c>
      <c r="N706" s="314">
        <v>46440</v>
      </c>
      <c r="O706" s="315">
        <v>0</v>
      </c>
      <c r="P706">
        <v>1</v>
      </c>
    </row>
    <row r="707" spans="10:16">
      <c r="J707" t="s">
        <v>1282</v>
      </c>
      <c r="L707">
        <v>1149</v>
      </c>
      <c r="M707" s="314">
        <v>45346</v>
      </c>
      <c r="N707" s="314">
        <v>46494</v>
      </c>
      <c r="O707" s="315">
        <v>43639020.100000001</v>
      </c>
      <c r="P707">
        <v>3</v>
      </c>
    </row>
    <row r="708" spans="10:16" hidden="1">
      <c r="J708" t="s">
        <v>1283</v>
      </c>
      <c r="K708" t="s">
        <v>589</v>
      </c>
      <c r="L708">
        <v>1029</v>
      </c>
      <c r="M708" s="314">
        <v>45346</v>
      </c>
      <c r="N708" s="314">
        <v>46374</v>
      </c>
      <c r="O708" s="315">
        <v>39275118.090000004</v>
      </c>
      <c r="P708">
        <v>1</v>
      </c>
    </row>
    <row r="709" spans="10:16" hidden="1">
      <c r="J709" t="s">
        <v>1284</v>
      </c>
      <c r="K709" t="s">
        <v>591</v>
      </c>
      <c r="L709">
        <v>60</v>
      </c>
      <c r="M709" s="314">
        <v>46375</v>
      </c>
      <c r="N709" s="314">
        <v>46434</v>
      </c>
      <c r="O709" s="315">
        <v>4363902.01</v>
      </c>
      <c r="P709">
        <v>1</v>
      </c>
    </row>
    <row r="710" spans="10:16" hidden="1">
      <c r="J710" t="s">
        <v>1285</v>
      </c>
      <c r="K710" t="s">
        <v>593</v>
      </c>
      <c r="L710">
        <v>60</v>
      </c>
      <c r="M710" s="314">
        <v>46435</v>
      </c>
      <c r="N710" s="314">
        <v>46494</v>
      </c>
      <c r="O710" s="315">
        <v>0</v>
      </c>
      <c r="P710">
        <v>1</v>
      </c>
    </row>
    <row r="711" spans="10:16">
      <c r="J711" t="s">
        <v>1286</v>
      </c>
      <c r="L711">
        <v>1094</v>
      </c>
      <c r="M711" s="314">
        <v>45566</v>
      </c>
      <c r="N711" s="314">
        <v>46659</v>
      </c>
      <c r="O711" s="315">
        <v>29432727.16</v>
      </c>
      <c r="P711">
        <v>3</v>
      </c>
    </row>
    <row r="712" spans="10:16" hidden="1">
      <c r="J712" t="s">
        <v>1287</v>
      </c>
      <c r="K712" t="s">
        <v>589</v>
      </c>
      <c r="L712">
        <v>974</v>
      </c>
      <c r="M712" s="314">
        <v>45566</v>
      </c>
      <c r="N712" s="314">
        <v>46539</v>
      </c>
      <c r="O712" s="315">
        <v>26489454.440000001</v>
      </c>
      <c r="P712">
        <v>1</v>
      </c>
    </row>
    <row r="713" spans="10:16" hidden="1">
      <c r="J713" t="s">
        <v>1288</v>
      </c>
      <c r="K713" t="s">
        <v>591</v>
      </c>
      <c r="L713">
        <v>60</v>
      </c>
      <c r="M713" s="314">
        <v>46540</v>
      </c>
      <c r="N713" s="314">
        <v>46599</v>
      </c>
      <c r="O713" s="315">
        <v>2943272.72</v>
      </c>
      <c r="P713">
        <v>1</v>
      </c>
    </row>
    <row r="714" spans="10:16" hidden="1">
      <c r="J714" t="s">
        <v>1289</v>
      </c>
      <c r="K714" t="s">
        <v>593</v>
      </c>
      <c r="L714">
        <v>60</v>
      </c>
      <c r="M714" s="314">
        <v>46600</v>
      </c>
      <c r="N714" s="314">
        <v>46659</v>
      </c>
      <c r="O714" s="315">
        <v>0</v>
      </c>
      <c r="P714">
        <v>1</v>
      </c>
    </row>
    <row r="715" spans="10:16">
      <c r="J715" t="s">
        <v>1290</v>
      </c>
      <c r="L715">
        <v>325</v>
      </c>
      <c r="M715" s="314">
        <v>45439</v>
      </c>
      <c r="N715" s="314">
        <v>45763</v>
      </c>
      <c r="O715" s="315">
        <v>29301148.239999998</v>
      </c>
      <c r="P715">
        <v>3</v>
      </c>
    </row>
    <row r="716" spans="10:16" hidden="1">
      <c r="J716" t="s">
        <v>1291</v>
      </c>
      <c r="K716" t="s">
        <v>589</v>
      </c>
      <c r="L716">
        <v>265</v>
      </c>
      <c r="M716" s="314">
        <v>45439</v>
      </c>
      <c r="N716" s="314">
        <v>45703</v>
      </c>
      <c r="O716" s="315">
        <v>26371033.420000002</v>
      </c>
      <c r="P716">
        <v>1</v>
      </c>
    </row>
    <row r="717" spans="10:16" hidden="1">
      <c r="J717" t="s">
        <v>1292</v>
      </c>
      <c r="K717" t="s">
        <v>591</v>
      </c>
      <c r="L717">
        <v>30</v>
      </c>
      <c r="M717" s="314">
        <v>45704</v>
      </c>
      <c r="N717" s="314">
        <v>45733</v>
      </c>
      <c r="O717" s="315">
        <v>2930114.82</v>
      </c>
      <c r="P717">
        <v>1</v>
      </c>
    </row>
    <row r="718" spans="10:16" hidden="1">
      <c r="J718" t="s">
        <v>1293</v>
      </c>
      <c r="K718" t="s">
        <v>593</v>
      </c>
      <c r="L718">
        <v>30</v>
      </c>
      <c r="M718" s="314">
        <v>45734</v>
      </c>
      <c r="N718" s="314">
        <v>45763</v>
      </c>
      <c r="O718" s="315">
        <v>0</v>
      </c>
      <c r="P718">
        <v>1</v>
      </c>
    </row>
    <row r="719" spans="10:16">
      <c r="J719" t="s">
        <v>1294</v>
      </c>
      <c r="L719">
        <v>1061</v>
      </c>
      <c r="M719" s="314">
        <v>45477</v>
      </c>
      <c r="N719" s="314">
        <v>46537</v>
      </c>
      <c r="O719" s="315">
        <v>111774958.40000001</v>
      </c>
      <c r="P719">
        <v>3</v>
      </c>
    </row>
    <row r="720" spans="10:16" hidden="1">
      <c r="J720" t="s">
        <v>1295</v>
      </c>
      <c r="K720" t="s">
        <v>589</v>
      </c>
      <c r="L720">
        <v>941</v>
      </c>
      <c r="M720" s="314">
        <v>45477</v>
      </c>
      <c r="N720" s="314">
        <v>46417</v>
      </c>
      <c r="O720" s="315">
        <v>100597462.56</v>
      </c>
      <c r="P720">
        <v>1</v>
      </c>
    </row>
    <row r="721" spans="10:16" hidden="1">
      <c r="J721" t="s">
        <v>1296</v>
      </c>
      <c r="K721" t="s">
        <v>591</v>
      </c>
      <c r="L721">
        <v>60</v>
      </c>
      <c r="M721" s="314">
        <v>46418</v>
      </c>
      <c r="N721" s="314">
        <v>46477</v>
      </c>
      <c r="O721" s="315">
        <v>11177495.84</v>
      </c>
      <c r="P721">
        <v>1</v>
      </c>
    </row>
    <row r="722" spans="10:16" hidden="1">
      <c r="J722" t="s">
        <v>1297</v>
      </c>
      <c r="K722" t="s">
        <v>593</v>
      </c>
      <c r="L722">
        <v>60</v>
      </c>
      <c r="M722" s="314">
        <v>46478</v>
      </c>
      <c r="N722" s="314">
        <v>46537</v>
      </c>
      <c r="O722" s="315">
        <v>0</v>
      </c>
      <c r="P722">
        <v>1</v>
      </c>
    </row>
    <row r="723" spans="10:16">
      <c r="J723" t="s">
        <v>1298</v>
      </c>
      <c r="L723">
        <v>1035</v>
      </c>
      <c r="M723" s="314">
        <v>45431</v>
      </c>
      <c r="N723" s="314">
        <v>46465</v>
      </c>
      <c r="O723" s="315">
        <v>83905989.5</v>
      </c>
      <c r="P723">
        <v>3</v>
      </c>
    </row>
    <row r="724" spans="10:16" hidden="1">
      <c r="J724" t="s">
        <v>1299</v>
      </c>
      <c r="K724" t="s">
        <v>589</v>
      </c>
      <c r="L724">
        <v>915</v>
      </c>
      <c r="M724" s="314">
        <v>45431</v>
      </c>
      <c r="N724" s="314">
        <v>46345</v>
      </c>
      <c r="O724" s="315">
        <v>75515390.549999997</v>
      </c>
      <c r="P724">
        <v>1</v>
      </c>
    </row>
    <row r="725" spans="10:16" hidden="1">
      <c r="J725" t="s">
        <v>1300</v>
      </c>
      <c r="K725" t="s">
        <v>591</v>
      </c>
      <c r="L725">
        <v>60</v>
      </c>
      <c r="M725" s="314">
        <v>46346</v>
      </c>
      <c r="N725" s="314">
        <v>46405</v>
      </c>
      <c r="O725" s="315">
        <v>8390598.9499999993</v>
      </c>
      <c r="P725">
        <v>1</v>
      </c>
    </row>
    <row r="726" spans="10:16" hidden="1">
      <c r="J726" t="s">
        <v>1301</v>
      </c>
      <c r="K726" t="s">
        <v>593</v>
      </c>
      <c r="L726">
        <v>60</v>
      </c>
      <c r="M726" s="314">
        <v>46406</v>
      </c>
      <c r="N726" s="314">
        <v>46465</v>
      </c>
      <c r="O726" s="315">
        <v>0</v>
      </c>
      <c r="P726">
        <v>1</v>
      </c>
    </row>
    <row r="727" spans="10:16">
      <c r="J727" t="s">
        <v>1302</v>
      </c>
      <c r="L727">
        <v>1010</v>
      </c>
      <c r="M727" s="314">
        <v>45677</v>
      </c>
      <c r="N727" s="314">
        <v>46686</v>
      </c>
      <c r="O727" s="315">
        <v>35894605</v>
      </c>
      <c r="P727">
        <v>3</v>
      </c>
    </row>
    <row r="728" spans="10:16" hidden="1">
      <c r="J728" t="s">
        <v>1303</v>
      </c>
      <c r="K728" t="s">
        <v>589</v>
      </c>
      <c r="L728">
        <v>890</v>
      </c>
      <c r="M728" s="314">
        <v>45677</v>
      </c>
      <c r="N728" s="314">
        <v>46566</v>
      </c>
      <c r="O728" s="315">
        <v>32305144.5</v>
      </c>
      <c r="P728">
        <v>1</v>
      </c>
    </row>
    <row r="729" spans="10:16" hidden="1">
      <c r="J729" t="s">
        <v>1304</v>
      </c>
      <c r="K729" t="s">
        <v>591</v>
      </c>
      <c r="L729">
        <v>60</v>
      </c>
      <c r="M729" s="314">
        <v>46567</v>
      </c>
      <c r="N729" s="314">
        <v>46626</v>
      </c>
      <c r="O729" s="315">
        <v>3589460.5</v>
      </c>
      <c r="P729">
        <v>1</v>
      </c>
    </row>
    <row r="730" spans="10:16" hidden="1">
      <c r="J730" t="s">
        <v>1305</v>
      </c>
      <c r="K730" t="s">
        <v>593</v>
      </c>
      <c r="L730">
        <v>60</v>
      </c>
      <c r="M730" s="314">
        <v>46627</v>
      </c>
      <c r="N730" s="314">
        <v>46686</v>
      </c>
      <c r="O730" s="315">
        <v>0</v>
      </c>
      <c r="P730">
        <v>1</v>
      </c>
    </row>
    <row r="731" spans="10:16">
      <c r="J731" t="s">
        <v>1306</v>
      </c>
      <c r="L731">
        <v>758</v>
      </c>
      <c r="M731" s="314">
        <v>45397</v>
      </c>
      <c r="N731" s="314">
        <v>46154</v>
      </c>
      <c r="O731" s="315">
        <v>26147277.449999999</v>
      </c>
      <c r="P731">
        <v>3</v>
      </c>
    </row>
    <row r="732" spans="10:16" hidden="1">
      <c r="J732" t="s">
        <v>1307</v>
      </c>
      <c r="K732" t="s">
        <v>589</v>
      </c>
      <c r="L732">
        <v>638</v>
      </c>
      <c r="M732" s="314">
        <v>45397</v>
      </c>
      <c r="N732" s="314">
        <v>46034</v>
      </c>
      <c r="O732" s="315">
        <v>23532549.699999999</v>
      </c>
      <c r="P732">
        <v>1</v>
      </c>
    </row>
    <row r="733" spans="10:16" hidden="1">
      <c r="J733" t="s">
        <v>1308</v>
      </c>
      <c r="K733" t="s">
        <v>591</v>
      </c>
      <c r="L733">
        <v>60</v>
      </c>
      <c r="M733" s="314">
        <v>46035</v>
      </c>
      <c r="N733" s="314">
        <v>46094</v>
      </c>
      <c r="O733" s="315">
        <v>2614727.75</v>
      </c>
      <c r="P733">
        <v>1</v>
      </c>
    </row>
    <row r="734" spans="10:16" hidden="1">
      <c r="J734" t="s">
        <v>1309</v>
      </c>
      <c r="K734" t="s">
        <v>593</v>
      </c>
      <c r="L734">
        <v>60</v>
      </c>
      <c r="M734" s="314">
        <v>46095</v>
      </c>
      <c r="N734" s="314">
        <v>46154</v>
      </c>
      <c r="O734" s="315">
        <v>0</v>
      </c>
      <c r="P734">
        <v>1</v>
      </c>
    </row>
    <row r="735" spans="10:16">
      <c r="J735" t="s">
        <v>1310</v>
      </c>
      <c r="L735">
        <v>722</v>
      </c>
      <c r="M735" s="314">
        <v>45664</v>
      </c>
      <c r="N735" s="314">
        <v>46385</v>
      </c>
      <c r="O735" s="315">
        <v>24989167</v>
      </c>
      <c r="P735">
        <v>3</v>
      </c>
    </row>
    <row r="736" spans="10:16" hidden="1">
      <c r="J736" t="s">
        <v>1311</v>
      </c>
      <c r="K736" t="s">
        <v>589</v>
      </c>
      <c r="L736">
        <v>602</v>
      </c>
      <c r="M736" s="314">
        <v>45664</v>
      </c>
      <c r="N736" s="314">
        <v>46265</v>
      </c>
      <c r="O736" s="315">
        <v>22490250.300000001</v>
      </c>
      <c r="P736">
        <v>1</v>
      </c>
    </row>
    <row r="737" spans="10:16" hidden="1">
      <c r="J737" t="s">
        <v>1312</v>
      </c>
      <c r="K737" t="s">
        <v>591</v>
      </c>
      <c r="L737">
        <v>60</v>
      </c>
      <c r="M737" s="314">
        <v>46266</v>
      </c>
      <c r="N737" s="314">
        <v>46325</v>
      </c>
      <c r="O737" s="315">
        <v>2498916.7000000002</v>
      </c>
      <c r="P737">
        <v>1</v>
      </c>
    </row>
    <row r="738" spans="10:16" hidden="1">
      <c r="J738" t="s">
        <v>1313</v>
      </c>
      <c r="K738" t="s">
        <v>593</v>
      </c>
      <c r="L738">
        <v>60</v>
      </c>
      <c r="M738" s="314">
        <v>46326</v>
      </c>
      <c r="N738" s="314">
        <v>46385</v>
      </c>
      <c r="O738" s="315">
        <v>0</v>
      </c>
      <c r="P738">
        <v>1</v>
      </c>
    </row>
    <row r="739" spans="10:16">
      <c r="J739" t="s">
        <v>1314</v>
      </c>
      <c r="L739">
        <v>735</v>
      </c>
      <c r="M739" s="314">
        <v>45638</v>
      </c>
      <c r="N739" s="314">
        <v>46372</v>
      </c>
      <c r="O739" s="315">
        <v>32081964</v>
      </c>
      <c r="P739">
        <v>3</v>
      </c>
    </row>
    <row r="740" spans="10:16" hidden="1">
      <c r="J740" t="s">
        <v>1315</v>
      </c>
      <c r="K740" t="s">
        <v>589</v>
      </c>
      <c r="L740">
        <v>615</v>
      </c>
      <c r="M740" s="314">
        <v>45638</v>
      </c>
      <c r="N740" s="314">
        <v>46252</v>
      </c>
      <c r="O740" s="315">
        <v>28873767.600000001</v>
      </c>
      <c r="P740">
        <v>1</v>
      </c>
    </row>
    <row r="741" spans="10:16" hidden="1">
      <c r="J741" t="s">
        <v>1316</v>
      </c>
      <c r="K741" t="s">
        <v>591</v>
      </c>
      <c r="L741">
        <v>60</v>
      </c>
      <c r="M741" s="314">
        <v>46253</v>
      </c>
      <c r="N741" s="314">
        <v>46312</v>
      </c>
      <c r="O741" s="315">
        <v>3208196.4</v>
      </c>
      <c r="P741">
        <v>1</v>
      </c>
    </row>
    <row r="742" spans="10:16" hidden="1">
      <c r="J742" t="s">
        <v>1317</v>
      </c>
      <c r="K742" t="s">
        <v>593</v>
      </c>
      <c r="L742">
        <v>60</v>
      </c>
      <c r="M742" s="314">
        <v>46313</v>
      </c>
      <c r="N742" s="314">
        <v>46372</v>
      </c>
      <c r="O742" s="315">
        <v>0</v>
      </c>
      <c r="P742">
        <v>1</v>
      </c>
    </row>
    <row r="743" spans="10:16">
      <c r="J743" t="s">
        <v>1318</v>
      </c>
      <c r="L743">
        <v>853</v>
      </c>
      <c r="M743" s="314">
        <v>45808</v>
      </c>
      <c r="N743" s="314">
        <v>46660</v>
      </c>
      <c r="O743" s="315">
        <v>15456482.43</v>
      </c>
      <c r="P743">
        <v>3</v>
      </c>
    </row>
    <row r="744" spans="10:16" hidden="1">
      <c r="J744" t="s">
        <v>1319</v>
      </c>
      <c r="K744" t="s">
        <v>589</v>
      </c>
      <c r="L744">
        <v>733</v>
      </c>
      <c r="M744" s="314">
        <v>45808</v>
      </c>
      <c r="N744" s="314">
        <v>46540</v>
      </c>
      <c r="O744" s="315">
        <v>13910834.189999999</v>
      </c>
      <c r="P744">
        <v>1</v>
      </c>
    </row>
    <row r="745" spans="10:16" hidden="1">
      <c r="J745" t="s">
        <v>1320</v>
      </c>
      <c r="K745" t="s">
        <v>591</v>
      </c>
      <c r="L745">
        <v>60</v>
      </c>
      <c r="M745" s="314">
        <v>46541</v>
      </c>
      <c r="N745" s="314">
        <v>46600</v>
      </c>
      <c r="O745" s="315">
        <v>1545648.24</v>
      </c>
      <c r="P745">
        <v>1</v>
      </c>
    </row>
    <row r="746" spans="10:16" hidden="1">
      <c r="J746" t="s">
        <v>1321</v>
      </c>
      <c r="K746" t="s">
        <v>593</v>
      </c>
      <c r="L746">
        <v>60</v>
      </c>
      <c r="M746" s="314">
        <v>46601</v>
      </c>
      <c r="N746" s="314">
        <v>46660</v>
      </c>
      <c r="O746" s="315">
        <v>0</v>
      </c>
      <c r="P746">
        <v>1</v>
      </c>
    </row>
    <row r="747" spans="10:16">
      <c r="J747" t="s">
        <v>1322</v>
      </c>
      <c r="L747">
        <v>1004</v>
      </c>
      <c r="M747" s="314">
        <v>45657</v>
      </c>
      <c r="N747" s="314">
        <v>46660</v>
      </c>
      <c r="O747" s="315">
        <v>28950042.5</v>
      </c>
      <c r="P747">
        <v>3</v>
      </c>
    </row>
    <row r="748" spans="10:16" hidden="1">
      <c r="J748" t="s">
        <v>1323</v>
      </c>
      <c r="K748" t="s">
        <v>589</v>
      </c>
      <c r="L748">
        <v>884</v>
      </c>
      <c r="M748" s="314">
        <v>45657</v>
      </c>
      <c r="N748" s="314">
        <v>46540</v>
      </c>
      <c r="O748" s="315">
        <v>26055038.25</v>
      </c>
      <c r="P748">
        <v>1</v>
      </c>
    </row>
    <row r="749" spans="10:16" hidden="1">
      <c r="J749" t="s">
        <v>1324</v>
      </c>
      <c r="K749" t="s">
        <v>591</v>
      </c>
      <c r="L749">
        <v>60</v>
      </c>
      <c r="M749" s="314">
        <v>46541</v>
      </c>
      <c r="N749" s="314">
        <v>46600</v>
      </c>
      <c r="O749" s="315">
        <v>2895004.25</v>
      </c>
      <c r="P749">
        <v>1</v>
      </c>
    </row>
    <row r="750" spans="10:16" hidden="1">
      <c r="J750" t="s">
        <v>1325</v>
      </c>
      <c r="K750" t="s">
        <v>593</v>
      </c>
      <c r="L750">
        <v>60</v>
      </c>
      <c r="M750" s="314">
        <v>46601</v>
      </c>
      <c r="N750" s="314">
        <v>46660</v>
      </c>
      <c r="O750" s="315">
        <v>0</v>
      </c>
      <c r="P750">
        <v>1</v>
      </c>
    </row>
    <row r="751" spans="10:16">
      <c r="J751" t="s">
        <v>1326</v>
      </c>
      <c r="L751">
        <v>693</v>
      </c>
      <c r="M751" s="314">
        <v>45634</v>
      </c>
      <c r="N751" s="314">
        <v>46326</v>
      </c>
      <c r="O751" s="315">
        <v>50216360</v>
      </c>
      <c r="P751">
        <v>3</v>
      </c>
    </row>
    <row r="752" spans="10:16" hidden="1">
      <c r="J752" t="s">
        <v>1327</v>
      </c>
      <c r="K752" t="s">
        <v>589</v>
      </c>
      <c r="L752">
        <v>573</v>
      </c>
      <c r="M752" s="314">
        <v>45634</v>
      </c>
      <c r="N752" s="314">
        <v>46206</v>
      </c>
      <c r="O752" s="315">
        <v>45194724</v>
      </c>
      <c r="P752">
        <v>1</v>
      </c>
    </row>
    <row r="753" spans="10:16" hidden="1">
      <c r="J753" t="s">
        <v>1328</v>
      </c>
      <c r="K753" t="s">
        <v>591</v>
      </c>
      <c r="L753">
        <v>60</v>
      </c>
      <c r="M753" s="314">
        <v>46207</v>
      </c>
      <c r="N753" s="314">
        <v>46266</v>
      </c>
      <c r="O753" s="315">
        <v>5021636</v>
      </c>
      <c r="P753">
        <v>1</v>
      </c>
    </row>
    <row r="754" spans="10:16" hidden="1">
      <c r="J754" t="s">
        <v>1329</v>
      </c>
      <c r="K754" t="s">
        <v>593</v>
      </c>
      <c r="L754">
        <v>60</v>
      </c>
      <c r="M754" s="314">
        <v>46267</v>
      </c>
      <c r="N754" s="314">
        <v>46326</v>
      </c>
      <c r="O754" s="315">
        <v>0</v>
      </c>
      <c r="P754">
        <v>1</v>
      </c>
    </row>
    <row r="755" spans="10:16">
      <c r="J755" t="s">
        <v>1330</v>
      </c>
      <c r="L755">
        <v>1030</v>
      </c>
      <c r="M755" s="314">
        <v>45750</v>
      </c>
      <c r="N755" s="314">
        <v>46779</v>
      </c>
      <c r="O755" s="315">
        <v>29649714</v>
      </c>
      <c r="P755">
        <v>3</v>
      </c>
    </row>
    <row r="756" spans="10:16" hidden="1">
      <c r="J756" t="s">
        <v>1331</v>
      </c>
      <c r="K756" t="s">
        <v>589</v>
      </c>
      <c r="L756">
        <v>910</v>
      </c>
      <c r="M756" s="314">
        <v>45750</v>
      </c>
      <c r="N756" s="314">
        <v>46659</v>
      </c>
      <c r="O756" s="315">
        <v>26684742.600000001</v>
      </c>
      <c r="P756">
        <v>1</v>
      </c>
    </row>
    <row r="757" spans="10:16" hidden="1">
      <c r="J757" t="s">
        <v>1332</v>
      </c>
      <c r="K757" t="s">
        <v>591</v>
      </c>
      <c r="L757">
        <v>60</v>
      </c>
      <c r="M757" s="314">
        <v>46660</v>
      </c>
      <c r="N757" s="314">
        <v>46719</v>
      </c>
      <c r="O757" s="315">
        <v>2964971.4</v>
      </c>
      <c r="P757">
        <v>1</v>
      </c>
    </row>
    <row r="758" spans="10:16" hidden="1">
      <c r="J758" t="s">
        <v>1333</v>
      </c>
      <c r="K758" t="s">
        <v>593</v>
      </c>
      <c r="L758">
        <v>60</v>
      </c>
      <c r="M758" s="314">
        <v>46720</v>
      </c>
      <c r="N758" s="314">
        <v>46779</v>
      </c>
      <c r="O758" s="315">
        <v>0</v>
      </c>
      <c r="P758">
        <v>1</v>
      </c>
    </row>
    <row r="759" spans="10:16">
      <c r="J759" t="s">
        <v>1334</v>
      </c>
      <c r="L759">
        <v>671</v>
      </c>
      <c r="M759" s="314">
        <v>45822</v>
      </c>
      <c r="N759" s="314">
        <v>46492</v>
      </c>
      <c r="O759" s="315">
        <v>58221206.399999999</v>
      </c>
      <c r="P759">
        <v>3</v>
      </c>
    </row>
    <row r="760" spans="10:16" hidden="1">
      <c r="J760" t="s">
        <v>1335</v>
      </c>
      <c r="K760" t="s">
        <v>589</v>
      </c>
      <c r="L760">
        <v>551</v>
      </c>
      <c r="M760" s="314">
        <v>45822</v>
      </c>
      <c r="N760" s="314">
        <v>46372</v>
      </c>
      <c r="O760" s="315">
        <v>52399085.759999998</v>
      </c>
      <c r="P760">
        <v>1</v>
      </c>
    </row>
    <row r="761" spans="10:16" hidden="1">
      <c r="J761" t="s">
        <v>1336</v>
      </c>
      <c r="K761" t="s">
        <v>591</v>
      </c>
      <c r="L761">
        <v>60</v>
      </c>
      <c r="M761" s="314">
        <v>46373</v>
      </c>
      <c r="N761" s="314">
        <v>46432</v>
      </c>
      <c r="O761" s="315">
        <v>5822120.6399999997</v>
      </c>
      <c r="P761">
        <v>1</v>
      </c>
    </row>
    <row r="762" spans="10:16" hidden="1">
      <c r="J762" t="s">
        <v>1337</v>
      </c>
      <c r="K762" t="s">
        <v>593</v>
      </c>
      <c r="L762">
        <v>60</v>
      </c>
      <c r="M762" s="314">
        <v>46433</v>
      </c>
      <c r="N762" s="314">
        <v>46492</v>
      </c>
      <c r="O762" s="315">
        <v>0</v>
      </c>
      <c r="P762">
        <v>1</v>
      </c>
    </row>
    <row r="763" spans="10:16">
      <c r="J763" t="s">
        <v>1338</v>
      </c>
      <c r="L763">
        <v>1013</v>
      </c>
      <c r="M763" s="314">
        <v>46022</v>
      </c>
      <c r="N763" s="314">
        <v>47034</v>
      </c>
      <c r="O763" s="315">
        <v>72449998.849999994</v>
      </c>
      <c r="P763">
        <v>3</v>
      </c>
    </row>
    <row r="764" spans="10:16" hidden="1">
      <c r="J764" t="s">
        <v>1339</v>
      </c>
      <c r="K764" t="s">
        <v>589</v>
      </c>
      <c r="L764">
        <v>893</v>
      </c>
      <c r="M764" s="314">
        <v>46022</v>
      </c>
      <c r="N764" s="314">
        <v>46914</v>
      </c>
      <c r="O764" s="315">
        <v>65204998.969999999</v>
      </c>
      <c r="P764">
        <v>1</v>
      </c>
    </row>
    <row r="765" spans="10:16" hidden="1">
      <c r="J765" t="s">
        <v>1340</v>
      </c>
      <c r="K765" t="s">
        <v>591</v>
      </c>
      <c r="L765">
        <v>60</v>
      </c>
      <c r="M765" s="314">
        <v>46915</v>
      </c>
      <c r="N765" s="314">
        <v>46974</v>
      </c>
      <c r="O765" s="315">
        <v>7244999.8899999997</v>
      </c>
      <c r="P765">
        <v>1</v>
      </c>
    </row>
    <row r="766" spans="10:16" hidden="1">
      <c r="J766" t="s">
        <v>1341</v>
      </c>
      <c r="K766" t="s">
        <v>593</v>
      </c>
      <c r="L766">
        <v>60</v>
      </c>
      <c r="M766" s="314">
        <v>46975</v>
      </c>
      <c r="N766" s="314">
        <v>47034</v>
      </c>
      <c r="O766" s="315">
        <v>0</v>
      </c>
      <c r="P766">
        <v>1</v>
      </c>
    </row>
    <row r="767" spans="10:16">
      <c r="J767" t="s">
        <v>1342</v>
      </c>
      <c r="L767">
        <v>1030</v>
      </c>
      <c r="M767" s="314">
        <v>46006</v>
      </c>
      <c r="N767" s="314">
        <v>47035</v>
      </c>
      <c r="O767" s="315">
        <v>342205500</v>
      </c>
      <c r="P767">
        <v>3</v>
      </c>
    </row>
    <row r="768" spans="10:16" hidden="1">
      <c r="J768" t="s">
        <v>1343</v>
      </c>
      <c r="K768" t="s">
        <v>589</v>
      </c>
      <c r="L768">
        <v>910</v>
      </c>
      <c r="M768" s="314">
        <v>46006</v>
      </c>
      <c r="N768" s="314">
        <v>46915</v>
      </c>
      <c r="O768" s="315">
        <v>307984950</v>
      </c>
      <c r="P768">
        <v>1</v>
      </c>
    </row>
    <row r="769" spans="10:16" hidden="1">
      <c r="J769" t="s">
        <v>1344</v>
      </c>
      <c r="K769" t="s">
        <v>591</v>
      </c>
      <c r="L769">
        <v>60</v>
      </c>
      <c r="M769" s="314">
        <v>46916</v>
      </c>
      <c r="N769" s="314">
        <v>46975</v>
      </c>
      <c r="O769" s="315">
        <v>34220550</v>
      </c>
      <c r="P769">
        <v>1</v>
      </c>
    </row>
    <row r="770" spans="10:16" hidden="1">
      <c r="J770" t="s">
        <v>1345</v>
      </c>
      <c r="K770" t="s">
        <v>593</v>
      </c>
      <c r="L770">
        <v>60</v>
      </c>
      <c r="M770" s="314">
        <v>46976</v>
      </c>
      <c r="N770" s="314">
        <v>47035</v>
      </c>
      <c r="O770" s="315">
        <v>0</v>
      </c>
      <c r="P770">
        <v>1</v>
      </c>
    </row>
    <row r="771" spans="10:16">
      <c r="J771" t="s">
        <v>1346</v>
      </c>
      <c r="L771">
        <v>1008</v>
      </c>
      <c r="M771" s="314">
        <v>45956</v>
      </c>
      <c r="N771" s="314">
        <v>46963</v>
      </c>
      <c r="O771" s="315">
        <v>116757993.5</v>
      </c>
      <c r="P771">
        <v>3</v>
      </c>
    </row>
    <row r="772" spans="10:16" hidden="1">
      <c r="J772" t="s">
        <v>1347</v>
      </c>
      <c r="K772" t="s">
        <v>589</v>
      </c>
      <c r="L772">
        <v>888</v>
      </c>
      <c r="M772" s="314">
        <v>45956</v>
      </c>
      <c r="N772" s="314">
        <v>46843</v>
      </c>
      <c r="O772" s="315">
        <v>105082194.15000001</v>
      </c>
      <c r="P772">
        <v>1</v>
      </c>
    </row>
    <row r="773" spans="10:16" hidden="1">
      <c r="J773" t="s">
        <v>1348</v>
      </c>
      <c r="K773" t="s">
        <v>591</v>
      </c>
      <c r="L773">
        <v>60</v>
      </c>
      <c r="M773" s="314">
        <v>46844</v>
      </c>
      <c r="N773" s="314">
        <v>46903</v>
      </c>
      <c r="O773" s="315">
        <v>11675799.35</v>
      </c>
      <c r="P773">
        <v>1</v>
      </c>
    </row>
    <row r="774" spans="10:16" hidden="1">
      <c r="J774" t="s">
        <v>1349</v>
      </c>
      <c r="K774" t="s">
        <v>593</v>
      </c>
      <c r="L774">
        <v>60</v>
      </c>
      <c r="M774" s="314">
        <v>46904</v>
      </c>
      <c r="N774" s="314">
        <v>46963</v>
      </c>
      <c r="O774" s="315">
        <v>0</v>
      </c>
      <c r="P774">
        <v>1</v>
      </c>
    </row>
    <row r="775" spans="10:16">
      <c r="J775" t="s">
        <v>1350</v>
      </c>
      <c r="L775">
        <v>264</v>
      </c>
      <c r="M775" s="314">
        <v>45809</v>
      </c>
      <c r="N775" s="314">
        <v>46072</v>
      </c>
      <c r="O775" s="315">
        <v>20806386.5</v>
      </c>
      <c r="P775">
        <v>3</v>
      </c>
    </row>
    <row r="776" spans="10:16" hidden="1">
      <c r="J776" t="s">
        <v>1351</v>
      </c>
      <c r="K776" t="s">
        <v>589</v>
      </c>
      <c r="L776">
        <v>204</v>
      </c>
      <c r="M776" s="314">
        <v>45809</v>
      </c>
      <c r="N776" s="314">
        <v>46012</v>
      </c>
      <c r="O776" s="315">
        <v>18725747.850000001</v>
      </c>
      <c r="P776">
        <v>1</v>
      </c>
    </row>
    <row r="777" spans="10:16" hidden="1">
      <c r="J777" t="s">
        <v>1352</v>
      </c>
      <c r="K777" t="s">
        <v>591</v>
      </c>
      <c r="L777">
        <v>30</v>
      </c>
      <c r="M777" s="314">
        <v>46013</v>
      </c>
      <c r="N777" s="314">
        <v>46042</v>
      </c>
      <c r="O777" s="315">
        <v>2080638.65</v>
      </c>
      <c r="P777">
        <v>1</v>
      </c>
    </row>
    <row r="778" spans="10:16" hidden="1">
      <c r="J778" t="s">
        <v>1353</v>
      </c>
      <c r="K778" t="s">
        <v>593</v>
      </c>
      <c r="L778">
        <v>30</v>
      </c>
      <c r="M778" s="314">
        <v>46043</v>
      </c>
      <c r="N778" s="314">
        <v>46072</v>
      </c>
      <c r="O778" s="315">
        <v>0</v>
      </c>
      <c r="P778">
        <v>1</v>
      </c>
    </row>
    <row r="779" spans="10:16">
      <c r="J779" t="s">
        <v>1354</v>
      </c>
      <c r="L779">
        <v>673</v>
      </c>
      <c r="M779" s="314">
        <v>45789</v>
      </c>
      <c r="N779" s="314">
        <v>46461</v>
      </c>
      <c r="O779" s="315">
        <v>14104405</v>
      </c>
      <c r="P779">
        <v>3</v>
      </c>
    </row>
    <row r="780" spans="10:16" hidden="1">
      <c r="J780" t="s">
        <v>1355</v>
      </c>
      <c r="K780" t="s">
        <v>589</v>
      </c>
      <c r="L780">
        <v>553</v>
      </c>
      <c r="M780" s="314">
        <v>45789</v>
      </c>
      <c r="N780" s="314">
        <v>46341</v>
      </c>
      <c r="O780" s="315">
        <v>12693964.5</v>
      </c>
      <c r="P780">
        <v>1</v>
      </c>
    </row>
    <row r="781" spans="10:16" hidden="1">
      <c r="J781" t="s">
        <v>1356</v>
      </c>
      <c r="K781" t="s">
        <v>591</v>
      </c>
      <c r="L781">
        <v>60</v>
      </c>
      <c r="M781" s="314">
        <v>46342</v>
      </c>
      <c r="N781" s="314">
        <v>46401</v>
      </c>
      <c r="O781" s="315">
        <v>1410440.5</v>
      </c>
      <c r="P781">
        <v>1</v>
      </c>
    </row>
    <row r="782" spans="10:16" hidden="1">
      <c r="J782" t="s">
        <v>1357</v>
      </c>
      <c r="K782" t="s">
        <v>593</v>
      </c>
      <c r="L782">
        <v>60</v>
      </c>
      <c r="M782" s="314">
        <v>46402</v>
      </c>
      <c r="N782" s="314">
        <v>46461</v>
      </c>
      <c r="O782" s="315">
        <v>0</v>
      </c>
      <c r="P782">
        <v>1</v>
      </c>
    </row>
    <row r="783" spans="10:16">
      <c r="J783" t="s">
        <v>1358</v>
      </c>
      <c r="L783">
        <v>1008</v>
      </c>
      <c r="M783" s="314">
        <v>45989</v>
      </c>
      <c r="N783" s="314">
        <v>46996</v>
      </c>
      <c r="O783" s="315">
        <v>82862353</v>
      </c>
      <c r="P783">
        <v>3</v>
      </c>
    </row>
    <row r="784" spans="10:16" hidden="1">
      <c r="J784" t="s">
        <v>1359</v>
      </c>
      <c r="K784" t="s">
        <v>589</v>
      </c>
      <c r="L784">
        <v>888</v>
      </c>
      <c r="M784" s="314">
        <v>45989</v>
      </c>
      <c r="N784" s="314">
        <v>46876</v>
      </c>
      <c r="O784" s="315">
        <v>74576117.700000003</v>
      </c>
      <c r="P784">
        <v>1</v>
      </c>
    </row>
    <row r="785" spans="10:16" hidden="1">
      <c r="J785" t="s">
        <v>1360</v>
      </c>
      <c r="K785" t="s">
        <v>591</v>
      </c>
      <c r="L785">
        <v>60</v>
      </c>
      <c r="M785" s="314">
        <v>46877</v>
      </c>
      <c r="N785" s="314">
        <v>46936</v>
      </c>
      <c r="O785" s="315">
        <v>8286235.2999999998</v>
      </c>
      <c r="P785">
        <v>1</v>
      </c>
    </row>
    <row r="786" spans="10:16" hidden="1">
      <c r="J786" t="s">
        <v>1361</v>
      </c>
      <c r="K786" t="s">
        <v>593</v>
      </c>
      <c r="L786">
        <v>60</v>
      </c>
      <c r="M786" s="314">
        <v>46937</v>
      </c>
      <c r="N786" s="314">
        <v>46996</v>
      </c>
      <c r="O786" s="315">
        <v>0</v>
      </c>
      <c r="P786">
        <v>1</v>
      </c>
    </row>
    <row r="787" spans="10:16">
      <c r="J787" t="s">
        <v>1362</v>
      </c>
      <c r="L787">
        <v>1005</v>
      </c>
      <c r="M787" s="314">
        <v>45739</v>
      </c>
      <c r="N787" s="314">
        <v>46743</v>
      </c>
      <c r="O787" s="315">
        <v>26590012.5</v>
      </c>
      <c r="P787">
        <v>3</v>
      </c>
    </row>
    <row r="788" spans="10:16" hidden="1">
      <c r="J788" t="s">
        <v>1363</v>
      </c>
      <c r="K788" t="s">
        <v>589</v>
      </c>
      <c r="L788">
        <v>885</v>
      </c>
      <c r="M788" s="314">
        <v>45739</v>
      </c>
      <c r="N788" s="314">
        <v>46623</v>
      </c>
      <c r="O788" s="315">
        <v>23931011.25</v>
      </c>
      <c r="P788">
        <v>1</v>
      </c>
    </row>
    <row r="789" spans="10:16" hidden="1">
      <c r="J789" t="s">
        <v>1364</v>
      </c>
      <c r="K789" t="s">
        <v>591</v>
      </c>
      <c r="L789">
        <v>60</v>
      </c>
      <c r="M789" s="314">
        <v>46624</v>
      </c>
      <c r="N789" s="314">
        <v>46683</v>
      </c>
      <c r="O789" s="315">
        <v>2659001.25</v>
      </c>
      <c r="P789">
        <v>1</v>
      </c>
    </row>
    <row r="790" spans="10:16" hidden="1">
      <c r="J790" t="s">
        <v>1365</v>
      </c>
      <c r="K790" t="s">
        <v>593</v>
      </c>
      <c r="L790">
        <v>60</v>
      </c>
      <c r="M790" s="314">
        <v>46684</v>
      </c>
      <c r="N790" s="314">
        <v>46743</v>
      </c>
      <c r="O790" s="315">
        <v>0</v>
      </c>
      <c r="P790">
        <v>1</v>
      </c>
    </row>
    <row r="791" spans="10:16">
      <c r="J791" t="s">
        <v>1366</v>
      </c>
      <c r="L791">
        <v>1001</v>
      </c>
      <c r="M791" s="314">
        <v>45333</v>
      </c>
      <c r="N791" s="314">
        <v>46333</v>
      </c>
      <c r="O791" s="315">
        <v>48379713.399999999</v>
      </c>
      <c r="P791">
        <v>3</v>
      </c>
    </row>
    <row r="792" spans="10:16" hidden="1">
      <c r="J792" t="s">
        <v>1367</v>
      </c>
      <c r="K792" t="s">
        <v>589</v>
      </c>
      <c r="L792">
        <v>881</v>
      </c>
      <c r="M792" s="314">
        <v>45333</v>
      </c>
      <c r="N792" s="314">
        <v>46213</v>
      </c>
      <c r="O792" s="315">
        <v>43541742.060000002</v>
      </c>
      <c r="P792">
        <v>1</v>
      </c>
    </row>
    <row r="793" spans="10:16" hidden="1">
      <c r="J793" t="s">
        <v>1368</v>
      </c>
      <c r="K793" t="s">
        <v>591</v>
      </c>
      <c r="L793">
        <v>60</v>
      </c>
      <c r="M793" s="314">
        <v>46214</v>
      </c>
      <c r="N793" s="314">
        <v>46273</v>
      </c>
      <c r="O793" s="315">
        <v>4837971.34</v>
      </c>
      <c r="P793">
        <v>1</v>
      </c>
    </row>
    <row r="794" spans="10:16" hidden="1">
      <c r="J794" t="s">
        <v>1369</v>
      </c>
      <c r="K794" t="s">
        <v>593</v>
      </c>
      <c r="L794">
        <v>60</v>
      </c>
      <c r="M794" s="314">
        <v>46274</v>
      </c>
      <c r="N794" s="314">
        <v>46333</v>
      </c>
      <c r="O794" s="315">
        <v>0</v>
      </c>
      <c r="P794">
        <v>1</v>
      </c>
    </row>
    <row r="795" spans="10:16">
      <c r="J795" t="s">
        <v>1370</v>
      </c>
      <c r="L795">
        <v>607</v>
      </c>
      <c r="M795" s="314">
        <v>45657</v>
      </c>
      <c r="N795" s="314">
        <v>46263</v>
      </c>
      <c r="O795" s="315">
        <v>25748422.260000002</v>
      </c>
      <c r="P795">
        <v>3</v>
      </c>
    </row>
    <row r="796" spans="10:16" hidden="1">
      <c r="J796" t="s">
        <v>1371</v>
      </c>
      <c r="K796" t="s">
        <v>589</v>
      </c>
      <c r="L796">
        <v>487</v>
      </c>
      <c r="M796" s="314">
        <v>45657</v>
      </c>
      <c r="N796" s="314">
        <v>46143</v>
      </c>
      <c r="O796" s="315">
        <v>23173580.030000001</v>
      </c>
      <c r="P796">
        <v>1</v>
      </c>
    </row>
    <row r="797" spans="10:16" hidden="1">
      <c r="J797" t="s">
        <v>1372</v>
      </c>
      <c r="K797" t="s">
        <v>591</v>
      </c>
      <c r="L797">
        <v>60</v>
      </c>
      <c r="M797" s="314">
        <v>46144</v>
      </c>
      <c r="N797" s="314">
        <v>46203</v>
      </c>
      <c r="O797" s="315">
        <v>2574842.23</v>
      </c>
      <c r="P797">
        <v>1</v>
      </c>
    </row>
    <row r="798" spans="10:16" hidden="1">
      <c r="J798" t="s">
        <v>1373</v>
      </c>
      <c r="K798" t="s">
        <v>593</v>
      </c>
      <c r="L798">
        <v>60</v>
      </c>
      <c r="M798" s="314">
        <v>46204</v>
      </c>
      <c r="N798" s="314">
        <v>46263</v>
      </c>
      <c r="O798" s="315">
        <v>0</v>
      </c>
      <c r="P798">
        <v>1</v>
      </c>
    </row>
    <row r="799" spans="10:16">
      <c r="J799" t="s">
        <v>1374</v>
      </c>
      <c r="L799">
        <v>870</v>
      </c>
      <c r="M799" s="314">
        <v>45426</v>
      </c>
      <c r="N799" s="314">
        <v>46295</v>
      </c>
      <c r="O799" s="315">
        <v>26810392.75</v>
      </c>
      <c r="P799">
        <v>3</v>
      </c>
    </row>
    <row r="800" spans="10:16" hidden="1">
      <c r="J800" t="s">
        <v>1375</v>
      </c>
      <c r="K800" t="s">
        <v>589</v>
      </c>
      <c r="L800">
        <v>750</v>
      </c>
      <c r="M800" s="314">
        <v>45426</v>
      </c>
      <c r="N800" s="314">
        <v>46175</v>
      </c>
      <c r="O800" s="315">
        <v>24129353.48</v>
      </c>
      <c r="P800">
        <v>1</v>
      </c>
    </row>
    <row r="801" spans="10:16" hidden="1">
      <c r="J801" t="s">
        <v>1376</v>
      </c>
      <c r="K801" t="s">
        <v>591</v>
      </c>
      <c r="L801">
        <v>60</v>
      </c>
      <c r="M801" s="314">
        <v>46176</v>
      </c>
      <c r="N801" s="314">
        <v>46235</v>
      </c>
      <c r="O801" s="315">
        <v>2681039.2799999998</v>
      </c>
      <c r="P801">
        <v>1</v>
      </c>
    </row>
    <row r="802" spans="10:16" hidden="1">
      <c r="J802" t="s">
        <v>1377</v>
      </c>
      <c r="K802" t="s">
        <v>593</v>
      </c>
      <c r="L802">
        <v>60</v>
      </c>
      <c r="M802" s="314">
        <v>46236</v>
      </c>
      <c r="N802" s="314">
        <v>46295</v>
      </c>
      <c r="O802" s="315">
        <v>0</v>
      </c>
      <c r="P802">
        <v>1</v>
      </c>
    </row>
  </sheetData>
  <autoFilter ref="J6:P802" xr:uid="{72CC32F9-255D-45C7-B0EA-5BEB9929AE70}">
    <filterColumn colId="1">
      <filters blank="1"/>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64B11-3C90-44E3-A917-441F9E56BFBD}">
  <sheetPr>
    <tabColor theme="9" tint="0.39997558519241921"/>
    <pageSetUpPr fitToPage="1"/>
  </sheetPr>
  <dimension ref="A1:AV166"/>
  <sheetViews>
    <sheetView rightToLeft="1" zoomScale="50" zoomScaleNormal="50" workbookViewId="0">
      <pane xSplit="2" ySplit="5" topLeftCell="R6" activePane="bottomRight" state="frozen"/>
      <selection pane="bottomRight" activeCell="AB10" sqref="AB10"/>
      <selection pane="bottomLeft" activeCell="A6" sqref="A6"/>
      <selection pane="topRight" activeCell="C1" sqref="C1"/>
    </sheetView>
  </sheetViews>
  <sheetFormatPr defaultColWidth="9.140625" defaultRowHeight="21"/>
  <cols>
    <col min="1" max="1" width="23.28515625" style="13" customWidth="1"/>
    <col min="2" max="2" width="84.42578125" style="13" customWidth="1"/>
    <col min="3" max="4" width="24.5703125" style="14" customWidth="1"/>
    <col min="5" max="5" width="33" style="14" customWidth="1"/>
    <col min="6" max="9" width="30.85546875" style="14" hidden="1" customWidth="1"/>
    <col min="10" max="10" width="33.85546875" style="15" customWidth="1"/>
    <col min="11" max="11" width="21" style="8" customWidth="1"/>
    <col min="12" max="13" width="32.7109375" style="8" customWidth="1"/>
    <col min="14" max="14" width="32.7109375" style="8" hidden="1" customWidth="1"/>
    <col min="15" max="15" width="46.85546875" style="8" customWidth="1"/>
    <col min="16" max="16" width="27.140625" style="8" customWidth="1"/>
    <col min="17" max="17" width="20.7109375" style="8" customWidth="1"/>
    <col min="18" max="25" width="21.7109375" style="8" customWidth="1"/>
    <col min="26" max="26" width="22.28515625" style="8" customWidth="1"/>
    <col min="27" max="31" width="21" style="8" customWidth="1"/>
    <col min="32" max="34" width="41.5703125" style="8" hidden="1" customWidth="1"/>
    <col min="35" max="38" width="21" style="8" hidden="1" customWidth="1"/>
    <col min="39" max="39" width="74.5703125" style="8" hidden="1" customWidth="1"/>
    <col min="40" max="40" width="28.42578125" style="8" hidden="1" customWidth="1"/>
    <col min="41" max="41" width="39.140625" style="8" hidden="1" customWidth="1"/>
    <col min="42" max="45" width="40.7109375" style="8" hidden="1" customWidth="1"/>
    <col min="46" max="46" width="66.140625" style="8" hidden="1" customWidth="1"/>
    <col min="47" max="48" width="40.7109375" style="8" hidden="1" customWidth="1"/>
    <col min="49" max="16384" width="9.140625" style="8"/>
  </cols>
  <sheetData>
    <row r="1" spans="1:48" s="4" customFormat="1" ht="23.25" customHeight="1">
      <c r="A1" s="1"/>
      <c r="B1" s="1"/>
      <c r="C1" s="2"/>
      <c r="D1" s="2"/>
      <c r="E1" s="2"/>
      <c r="F1" s="2"/>
      <c r="G1" s="2"/>
      <c r="H1" s="2"/>
      <c r="I1" s="2"/>
      <c r="J1" s="3"/>
    </row>
    <row r="2" spans="1:48" s="4" customFormat="1" ht="37.9" customHeight="1">
      <c r="A2" s="1"/>
      <c r="B2" s="2"/>
      <c r="C2" s="2"/>
      <c r="D2" s="2"/>
      <c r="E2" s="2"/>
      <c r="F2" s="2"/>
      <c r="G2" s="2"/>
      <c r="H2" s="2"/>
      <c r="I2" s="2"/>
      <c r="J2" s="3"/>
    </row>
    <row r="3" spans="1:48" s="4" customFormat="1" ht="63" customHeight="1" thickBot="1">
      <c r="A3" s="1"/>
      <c r="B3" s="1"/>
      <c r="C3" s="2"/>
      <c r="D3" s="2"/>
      <c r="E3" s="2"/>
      <c r="F3" s="2"/>
      <c r="G3" s="2"/>
      <c r="H3" s="2"/>
      <c r="I3" s="2"/>
      <c r="J3" s="3"/>
      <c r="P3" s="341" t="s">
        <v>0</v>
      </c>
      <c r="Q3" s="342"/>
      <c r="R3" s="341" t="s">
        <v>0</v>
      </c>
      <c r="S3" s="342"/>
      <c r="T3" s="341" t="s">
        <v>0</v>
      </c>
      <c r="U3" s="342"/>
      <c r="AI3" s="4">
        <v>1</v>
      </c>
      <c r="AJ3" s="4">
        <v>2</v>
      </c>
      <c r="AK3" s="4">
        <v>3</v>
      </c>
      <c r="AL3" s="4">
        <v>4</v>
      </c>
    </row>
    <row r="4" spans="1:48" s="6" customFormat="1" ht="87" customHeight="1">
      <c r="A4" s="5"/>
      <c r="B4" s="20">
        <f>SUBTOTAL(3,PR_3[اسم المشروع])</f>
        <v>44</v>
      </c>
      <c r="C4" s="20" t="s">
        <v>1</v>
      </c>
      <c r="D4" s="20"/>
      <c r="E4" s="5"/>
      <c r="F4" s="5"/>
      <c r="G4" s="5"/>
      <c r="H4" s="27">
        <f>SUBTOTAL(9,PR_3[التكلفه القديمه التحديث الرابع])/1000000000</f>
        <v>2.7224402925995008</v>
      </c>
      <c r="I4" s="27"/>
      <c r="J4" s="18">
        <f>SUBTOTAL(9,PR_3[التكلفة (المحدثه)  شاملة الضريبة])/1000000000</f>
        <v>2.6561151514395003</v>
      </c>
      <c r="K4" s="19" t="s">
        <v>2</v>
      </c>
      <c r="L4" s="19"/>
      <c r="M4" s="19"/>
      <c r="N4" s="19"/>
      <c r="P4" s="350" t="s">
        <v>3</v>
      </c>
      <c r="Q4" s="351"/>
      <c r="R4" s="348" t="s">
        <v>4</v>
      </c>
      <c r="S4" s="349"/>
      <c r="T4" s="346" t="s">
        <v>5</v>
      </c>
      <c r="U4" s="347"/>
      <c r="V4" s="348" t="s">
        <v>6</v>
      </c>
      <c r="W4" s="349"/>
      <c r="X4" s="346" t="s">
        <v>7</v>
      </c>
      <c r="Y4" s="347"/>
      <c r="Z4" s="345" t="s">
        <v>268</v>
      </c>
      <c r="AA4" s="345"/>
      <c r="AB4" s="356" t="s">
        <v>1378</v>
      </c>
      <c r="AC4" s="357"/>
      <c r="AD4" s="345" t="s">
        <v>10</v>
      </c>
      <c r="AE4" s="345"/>
      <c r="AI4" s="343" t="s">
        <v>11</v>
      </c>
      <c r="AJ4" s="343"/>
      <c r="AK4" s="343"/>
      <c r="AL4" s="343"/>
      <c r="AN4" s="20">
        <f>SUBTOTAL(3,PR_3[اسم المشروع])</f>
        <v>44</v>
      </c>
      <c r="AP4" s="343" t="s">
        <v>12</v>
      </c>
      <c r="AQ4" s="344"/>
      <c r="AR4" s="344"/>
      <c r="AS4" s="344"/>
      <c r="AT4" s="344"/>
      <c r="AU4" s="344"/>
      <c r="AV4" s="344"/>
    </row>
    <row r="5" spans="1:48" ht="84.6" customHeight="1">
      <c r="A5" s="50" t="s">
        <v>13</v>
      </c>
      <c r="B5" s="50" t="s">
        <v>14</v>
      </c>
      <c r="C5" s="50" t="s">
        <v>15</v>
      </c>
      <c r="D5" s="50" t="s">
        <v>16</v>
      </c>
      <c r="E5" s="50" t="s">
        <v>17</v>
      </c>
      <c r="F5" s="50" t="s">
        <v>18</v>
      </c>
      <c r="G5" s="50" t="s">
        <v>19</v>
      </c>
      <c r="H5" s="50" t="s">
        <v>20</v>
      </c>
      <c r="I5" s="50" t="s">
        <v>21</v>
      </c>
      <c r="J5" s="51" t="s">
        <v>24</v>
      </c>
      <c r="K5" s="52" t="s">
        <v>25</v>
      </c>
      <c r="L5" s="21" t="s">
        <v>26</v>
      </c>
      <c r="M5" s="21" t="s">
        <v>27</v>
      </c>
      <c r="N5" s="21" t="s">
        <v>28</v>
      </c>
      <c r="O5" s="21" t="s">
        <v>30</v>
      </c>
      <c r="P5" s="85" t="s">
        <v>31</v>
      </c>
      <c r="Q5" s="86" t="s">
        <v>32</v>
      </c>
      <c r="R5" s="21" t="s">
        <v>33</v>
      </c>
      <c r="S5" s="21" t="s">
        <v>34</v>
      </c>
      <c r="T5" s="85" t="s">
        <v>35</v>
      </c>
      <c r="U5" s="86" t="s">
        <v>36</v>
      </c>
      <c r="V5" s="21" t="s">
        <v>37</v>
      </c>
      <c r="W5" s="21" t="s">
        <v>38</v>
      </c>
      <c r="X5" s="85" t="s">
        <v>39</v>
      </c>
      <c r="Y5" s="86" t="s">
        <v>40</v>
      </c>
      <c r="Z5" s="21" t="s">
        <v>41</v>
      </c>
      <c r="AA5" s="21" t="s">
        <v>42</v>
      </c>
      <c r="AB5" s="85" t="s">
        <v>44</v>
      </c>
      <c r="AC5" s="86" t="s">
        <v>45</v>
      </c>
      <c r="AD5" s="21" t="s">
        <v>47</v>
      </c>
      <c r="AE5" s="21" t="s">
        <v>48</v>
      </c>
      <c r="AF5" s="21" t="s">
        <v>49</v>
      </c>
      <c r="AG5" s="21" t="s">
        <v>50</v>
      </c>
      <c r="AH5" s="21" t="s">
        <v>51</v>
      </c>
      <c r="AI5" s="7" t="s">
        <v>52</v>
      </c>
      <c r="AJ5" s="7" t="s">
        <v>53</v>
      </c>
      <c r="AK5" s="7" t="s">
        <v>54</v>
      </c>
      <c r="AL5" s="7" t="s">
        <v>55</v>
      </c>
      <c r="AM5" s="7" t="s">
        <v>56</v>
      </c>
      <c r="AN5" s="35" t="s">
        <v>57</v>
      </c>
      <c r="AO5" s="35" t="s">
        <v>58</v>
      </c>
      <c r="AP5" s="36" t="s">
        <v>59</v>
      </c>
      <c r="AQ5" s="39" t="s">
        <v>60</v>
      </c>
      <c r="AR5" s="39" t="s">
        <v>61</v>
      </c>
      <c r="AS5" s="35" t="s">
        <v>62</v>
      </c>
      <c r="AT5" s="35" t="s">
        <v>63</v>
      </c>
      <c r="AU5" s="39" t="s">
        <v>64</v>
      </c>
      <c r="AV5" s="35" t="s">
        <v>65</v>
      </c>
    </row>
    <row r="6" spans="1:48" s="11" customFormat="1" ht="54.75" customHeight="1">
      <c r="A6" s="53" t="s">
        <v>265</v>
      </c>
      <c r="B6" s="57" t="s">
        <v>266</v>
      </c>
      <c r="C6" s="53" t="s">
        <v>68</v>
      </c>
      <c r="D6" s="53" t="s">
        <v>150</v>
      </c>
      <c r="E6" s="53" t="s">
        <v>81</v>
      </c>
      <c r="F6" s="53" t="s">
        <v>93</v>
      </c>
      <c r="G6" s="53" t="s">
        <v>86</v>
      </c>
      <c r="H6" s="54">
        <v>28749999.999999996</v>
      </c>
      <c r="I6" s="54" t="s">
        <v>156</v>
      </c>
      <c r="J6" s="55">
        <v>30431665.699999999</v>
      </c>
      <c r="K6" s="43" t="s">
        <v>72</v>
      </c>
      <c r="L6" s="55" t="s">
        <v>267</v>
      </c>
      <c r="M6" s="45" t="s">
        <v>142</v>
      </c>
      <c r="N6" s="45"/>
      <c r="O6" s="77" t="s">
        <v>268</v>
      </c>
      <c r="P6" s="129">
        <v>45109</v>
      </c>
      <c r="Q6" s="122">
        <v>45139</v>
      </c>
      <c r="R6" s="130">
        <v>45139</v>
      </c>
      <c r="S6" s="131">
        <v>45169</v>
      </c>
      <c r="T6" s="129">
        <v>45169</v>
      </c>
      <c r="U6" s="122">
        <v>45312</v>
      </c>
      <c r="V6" s="130">
        <v>45386</v>
      </c>
      <c r="W6" s="131">
        <v>45566</v>
      </c>
      <c r="X6" s="123">
        <v>45592</v>
      </c>
      <c r="Y6" s="124">
        <v>45944</v>
      </c>
      <c r="Z6" s="137" t="s">
        <v>1379</v>
      </c>
      <c r="AA6" s="91" t="s">
        <v>1380</v>
      </c>
      <c r="AB6" s="116" t="s">
        <v>1381</v>
      </c>
      <c r="AC6" s="117" t="s">
        <v>1382</v>
      </c>
      <c r="AD6" s="114" t="s">
        <v>1383</v>
      </c>
      <c r="AE6" s="47" t="s">
        <v>1384</v>
      </c>
      <c r="AF6" s="8" t="s">
        <v>268</v>
      </c>
      <c r="AG6" s="28" t="s">
        <v>267</v>
      </c>
      <c r="AH6" s="28" t="s">
        <v>267</v>
      </c>
      <c r="AI6" s="9" t="s">
        <v>159</v>
      </c>
      <c r="AJ6" s="10">
        <v>45827</v>
      </c>
      <c r="AK6" s="9">
        <v>902250353</v>
      </c>
      <c r="AL6" s="10">
        <v>45831</v>
      </c>
      <c r="AM6" s="16" t="s">
        <v>267</v>
      </c>
      <c r="AN6" s="29" t="s">
        <v>146</v>
      </c>
      <c r="AO6" s="9" t="s">
        <v>201</v>
      </c>
      <c r="AP6" s="37">
        <v>30431665.699999999</v>
      </c>
      <c r="AQ6" s="38">
        <v>45592</v>
      </c>
      <c r="AR6" s="38">
        <v>45854</v>
      </c>
      <c r="AS6" s="9">
        <v>901250206</v>
      </c>
      <c r="AT6" s="9" t="s">
        <v>269</v>
      </c>
      <c r="AU6" s="38"/>
      <c r="AV6" s="9"/>
    </row>
    <row r="7" spans="1:48" s="11" customFormat="1" ht="54.75" hidden="1" customHeight="1">
      <c r="A7" s="53" t="s">
        <v>503</v>
      </c>
      <c r="B7" s="57" t="s">
        <v>504</v>
      </c>
      <c r="C7" s="53" t="s">
        <v>68</v>
      </c>
      <c r="D7" s="53" t="s">
        <v>137</v>
      </c>
      <c r="E7" s="53" t="s">
        <v>395</v>
      </c>
      <c r="F7" s="53" t="s">
        <v>395</v>
      </c>
      <c r="G7" s="53" t="s">
        <v>94</v>
      </c>
      <c r="H7" s="54">
        <v>68712500</v>
      </c>
      <c r="I7" s="54" t="s">
        <v>156</v>
      </c>
      <c r="J7" s="55">
        <v>19030257.5</v>
      </c>
      <c r="K7" s="43" t="s">
        <v>72</v>
      </c>
      <c r="L7" s="55" t="s">
        <v>267</v>
      </c>
      <c r="M7" s="45" t="s">
        <v>142</v>
      </c>
      <c r="N7" s="45"/>
      <c r="O7" s="77" t="s">
        <v>268</v>
      </c>
      <c r="P7" s="129">
        <v>45109</v>
      </c>
      <c r="Q7" s="122">
        <v>45139</v>
      </c>
      <c r="R7" s="130">
        <v>45139</v>
      </c>
      <c r="S7" s="131">
        <v>45169</v>
      </c>
      <c r="T7" s="129">
        <v>45169</v>
      </c>
      <c r="U7" s="122">
        <v>45313</v>
      </c>
      <c r="V7" s="130">
        <v>45400</v>
      </c>
      <c r="W7" s="131">
        <v>45593</v>
      </c>
      <c r="X7" s="123">
        <v>45631</v>
      </c>
      <c r="Y7" s="124">
        <v>45803</v>
      </c>
      <c r="Z7" s="103" t="s">
        <v>1385</v>
      </c>
      <c r="AA7" s="111" t="s">
        <v>1386</v>
      </c>
      <c r="AB7" s="116" t="s">
        <v>1387</v>
      </c>
      <c r="AC7" s="117" t="s">
        <v>1388</v>
      </c>
      <c r="AD7" s="114" t="s">
        <v>1389</v>
      </c>
      <c r="AE7" s="47" t="s">
        <v>1390</v>
      </c>
      <c r="AF7" s="8" t="s">
        <v>268</v>
      </c>
      <c r="AG7" s="28" t="s">
        <v>267</v>
      </c>
      <c r="AH7" s="28" t="s">
        <v>267</v>
      </c>
      <c r="AI7" s="9" t="s">
        <v>159</v>
      </c>
      <c r="AJ7" s="10">
        <v>45615</v>
      </c>
      <c r="AK7" s="9">
        <v>602240307</v>
      </c>
      <c r="AL7" s="10">
        <v>45616</v>
      </c>
      <c r="AM7" s="16" t="s">
        <v>267</v>
      </c>
      <c r="AN7" s="29" t="s">
        <v>146</v>
      </c>
      <c r="AO7" s="9" t="s">
        <v>451</v>
      </c>
      <c r="AP7" s="37">
        <v>19030257.5</v>
      </c>
      <c r="AQ7" s="38">
        <v>45631</v>
      </c>
      <c r="AR7" s="38">
        <v>45760</v>
      </c>
      <c r="AS7" s="9">
        <v>601250072</v>
      </c>
      <c r="AT7" s="9" t="s">
        <v>505</v>
      </c>
      <c r="AU7" s="38">
        <v>45803</v>
      </c>
      <c r="AV7" s="9"/>
    </row>
    <row r="8" spans="1:48" s="11" customFormat="1" ht="54.75" hidden="1" customHeight="1">
      <c r="A8" s="53" t="s">
        <v>506</v>
      </c>
      <c r="B8" s="57" t="s">
        <v>507</v>
      </c>
      <c r="C8" s="53" t="s">
        <v>68</v>
      </c>
      <c r="D8" s="53" t="s">
        <v>137</v>
      </c>
      <c r="E8" s="53" t="s">
        <v>395</v>
      </c>
      <c r="F8" s="53" t="s">
        <v>395</v>
      </c>
      <c r="G8" s="53" t="s">
        <v>94</v>
      </c>
      <c r="H8" s="54">
        <v>72450000</v>
      </c>
      <c r="I8" s="54" t="s">
        <v>170</v>
      </c>
      <c r="J8" s="55">
        <v>43339563.090000004</v>
      </c>
      <c r="K8" s="43" t="s">
        <v>72</v>
      </c>
      <c r="L8" s="55" t="s">
        <v>267</v>
      </c>
      <c r="M8" s="45" t="s">
        <v>142</v>
      </c>
      <c r="N8" s="45"/>
      <c r="O8" s="77" t="s">
        <v>268</v>
      </c>
      <c r="P8" s="129">
        <v>45109</v>
      </c>
      <c r="Q8" s="122">
        <v>45139</v>
      </c>
      <c r="R8" s="130">
        <v>45139</v>
      </c>
      <c r="S8" s="131">
        <v>45169</v>
      </c>
      <c r="T8" s="129">
        <v>45169</v>
      </c>
      <c r="U8" s="122">
        <v>45313</v>
      </c>
      <c r="V8" s="130">
        <v>45370</v>
      </c>
      <c r="W8" s="131">
        <v>45594</v>
      </c>
      <c r="X8" s="123">
        <v>45635</v>
      </c>
      <c r="Y8" s="124">
        <v>45852</v>
      </c>
      <c r="Z8" s="103" t="s">
        <v>1391</v>
      </c>
      <c r="AA8" s="111" t="s">
        <v>1392</v>
      </c>
      <c r="AB8" s="116" t="s">
        <v>1393</v>
      </c>
      <c r="AC8" s="117" t="s">
        <v>1392</v>
      </c>
      <c r="AD8" s="114" t="s">
        <v>1394</v>
      </c>
      <c r="AE8" s="47" t="s">
        <v>1392</v>
      </c>
      <c r="AF8" s="8" t="s">
        <v>268</v>
      </c>
      <c r="AG8" s="28" t="s">
        <v>267</v>
      </c>
      <c r="AH8" s="28" t="s">
        <v>267</v>
      </c>
      <c r="AI8" s="9" t="s">
        <v>159</v>
      </c>
      <c r="AJ8" s="10">
        <v>45754</v>
      </c>
      <c r="AK8" s="9">
        <v>602250140</v>
      </c>
      <c r="AL8" s="10">
        <v>45754</v>
      </c>
      <c r="AM8" s="16" t="s">
        <v>267</v>
      </c>
      <c r="AN8" s="29" t="s">
        <v>146</v>
      </c>
      <c r="AO8" s="9" t="s">
        <v>451</v>
      </c>
      <c r="AP8" s="37">
        <v>43339563.089999996</v>
      </c>
      <c r="AQ8" s="38">
        <v>45635</v>
      </c>
      <c r="AR8" s="38">
        <v>45768</v>
      </c>
      <c r="AS8" s="9">
        <v>601250095</v>
      </c>
      <c r="AT8" s="9" t="s">
        <v>508</v>
      </c>
      <c r="AU8" s="38">
        <v>45852</v>
      </c>
      <c r="AV8" s="9"/>
    </row>
    <row r="9" spans="1:48" s="11" customFormat="1" ht="54.75" customHeight="1">
      <c r="A9" s="53" t="s">
        <v>270</v>
      </c>
      <c r="B9" s="57" t="s">
        <v>271</v>
      </c>
      <c r="C9" s="53" t="s">
        <v>68</v>
      </c>
      <c r="D9" s="53" t="s">
        <v>150</v>
      </c>
      <c r="E9" s="53" t="s">
        <v>81</v>
      </c>
      <c r="F9" s="53" t="s">
        <v>81</v>
      </c>
      <c r="G9" s="53" t="s">
        <v>86</v>
      </c>
      <c r="H9" s="54">
        <v>59799999.999999993</v>
      </c>
      <c r="I9" s="54" t="s">
        <v>156</v>
      </c>
      <c r="J9" s="55">
        <v>37933893.099999994</v>
      </c>
      <c r="K9" s="43" t="s">
        <v>72</v>
      </c>
      <c r="L9" s="55" t="s">
        <v>267</v>
      </c>
      <c r="M9" s="45" t="s">
        <v>142</v>
      </c>
      <c r="N9" s="45"/>
      <c r="O9" s="77" t="s">
        <v>268</v>
      </c>
      <c r="P9" s="129">
        <v>45109</v>
      </c>
      <c r="Q9" s="122">
        <v>45139</v>
      </c>
      <c r="R9" s="130">
        <v>45139</v>
      </c>
      <c r="S9" s="131">
        <v>45169</v>
      </c>
      <c r="T9" s="129">
        <v>45169</v>
      </c>
      <c r="U9" s="122">
        <v>45312</v>
      </c>
      <c r="V9" s="130">
        <v>45386</v>
      </c>
      <c r="W9" s="131">
        <v>45603</v>
      </c>
      <c r="X9" s="123">
        <v>45687</v>
      </c>
      <c r="Y9" s="124">
        <v>45943</v>
      </c>
      <c r="Z9" s="103" t="s">
        <v>1395</v>
      </c>
      <c r="AA9" s="111" t="s">
        <v>1396</v>
      </c>
      <c r="AB9" s="116" t="s">
        <v>1397</v>
      </c>
      <c r="AC9" s="117" t="s">
        <v>1396</v>
      </c>
      <c r="AD9" s="114" t="s">
        <v>1398</v>
      </c>
      <c r="AE9" s="47" t="s">
        <v>1399</v>
      </c>
      <c r="AF9" s="8" t="s">
        <v>268</v>
      </c>
      <c r="AG9" s="28" t="s">
        <v>267</v>
      </c>
      <c r="AH9" s="28" t="s">
        <v>267</v>
      </c>
      <c r="AI9" s="9" t="s">
        <v>159</v>
      </c>
      <c r="AJ9" s="10">
        <v>45615</v>
      </c>
      <c r="AK9" s="9">
        <v>902240630</v>
      </c>
      <c r="AL9" s="10">
        <v>45638</v>
      </c>
      <c r="AM9" s="16" t="s">
        <v>267</v>
      </c>
      <c r="AN9" s="29" t="s">
        <v>146</v>
      </c>
      <c r="AO9" s="9" t="s">
        <v>157</v>
      </c>
      <c r="AP9" s="37">
        <v>37933893.099999994</v>
      </c>
      <c r="AQ9" s="38">
        <v>45687</v>
      </c>
      <c r="AR9" s="38">
        <v>45832</v>
      </c>
      <c r="AS9" s="9">
        <v>901250199</v>
      </c>
      <c r="AT9" s="9" t="s">
        <v>272</v>
      </c>
      <c r="AU9" s="38"/>
      <c r="AV9" s="9"/>
    </row>
    <row r="10" spans="1:48" s="11" customFormat="1" ht="54.75" customHeight="1">
      <c r="A10" s="53" t="s">
        <v>273</v>
      </c>
      <c r="B10" s="57" t="s">
        <v>274</v>
      </c>
      <c r="C10" s="53" t="s">
        <v>68</v>
      </c>
      <c r="D10" s="53" t="s">
        <v>150</v>
      </c>
      <c r="E10" s="53" t="s">
        <v>81</v>
      </c>
      <c r="F10" s="53" t="s">
        <v>194</v>
      </c>
      <c r="G10" s="53" t="s">
        <v>86</v>
      </c>
      <c r="H10" s="54">
        <v>109249999.99999999</v>
      </c>
      <c r="I10" s="54" t="s">
        <v>258</v>
      </c>
      <c r="J10" s="55">
        <v>43412500</v>
      </c>
      <c r="K10" s="43" t="s">
        <v>72</v>
      </c>
      <c r="L10" s="55" t="s">
        <v>267</v>
      </c>
      <c r="M10" s="45" t="s">
        <v>142</v>
      </c>
      <c r="N10" s="45"/>
      <c r="O10" s="77" t="s">
        <v>268</v>
      </c>
      <c r="P10" s="129">
        <v>45109</v>
      </c>
      <c r="Q10" s="122">
        <v>45139</v>
      </c>
      <c r="R10" s="130">
        <v>45139</v>
      </c>
      <c r="S10" s="131">
        <v>45169</v>
      </c>
      <c r="T10" s="129">
        <v>45169</v>
      </c>
      <c r="U10" s="122">
        <v>45312</v>
      </c>
      <c r="V10" s="130">
        <v>45386</v>
      </c>
      <c r="W10" s="131">
        <v>45603</v>
      </c>
      <c r="X10" s="123">
        <v>45642</v>
      </c>
      <c r="Y10" s="124">
        <v>45902</v>
      </c>
      <c r="Z10" s="103" t="s">
        <v>1387</v>
      </c>
      <c r="AA10" s="111" t="s">
        <v>1400</v>
      </c>
      <c r="AB10" s="116" t="s">
        <v>1401</v>
      </c>
      <c r="AC10" s="117" t="s">
        <v>1402</v>
      </c>
      <c r="AD10" s="114" t="s">
        <v>1403</v>
      </c>
      <c r="AE10" s="47" t="s">
        <v>1404</v>
      </c>
      <c r="AF10" s="8" t="s">
        <v>268</v>
      </c>
      <c r="AG10" s="28" t="s">
        <v>267</v>
      </c>
      <c r="AH10" s="28" t="s">
        <v>267</v>
      </c>
      <c r="AI10" s="9" t="s">
        <v>159</v>
      </c>
      <c r="AJ10" s="10">
        <v>45634</v>
      </c>
      <c r="AK10" s="9">
        <v>902240658</v>
      </c>
      <c r="AL10" s="10">
        <v>45635</v>
      </c>
      <c r="AM10" s="16" t="s">
        <v>267</v>
      </c>
      <c r="AN10" s="29" t="s">
        <v>146</v>
      </c>
      <c r="AO10" s="9" t="s">
        <v>185</v>
      </c>
      <c r="AP10" s="37">
        <v>43412500</v>
      </c>
      <c r="AQ10" s="38">
        <v>45642</v>
      </c>
      <c r="AR10" s="38">
        <v>45827</v>
      </c>
      <c r="AS10" s="9">
        <v>901250191</v>
      </c>
      <c r="AT10" s="9" t="s">
        <v>275</v>
      </c>
      <c r="AU10" s="38">
        <v>45902</v>
      </c>
      <c r="AV10" s="9"/>
    </row>
    <row r="11" spans="1:48" s="11" customFormat="1" ht="111.75" hidden="1" customHeight="1">
      <c r="A11" s="53" t="s">
        <v>446</v>
      </c>
      <c r="B11" s="57" t="s">
        <v>447</v>
      </c>
      <c r="C11" s="53" t="s">
        <v>68</v>
      </c>
      <c r="D11" s="53" t="s">
        <v>165</v>
      </c>
      <c r="E11" s="53" t="s">
        <v>395</v>
      </c>
      <c r="F11" s="53" t="s">
        <v>395</v>
      </c>
      <c r="G11" s="53" t="s">
        <v>94</v>
      </c>
      <c r="H11" s="54">
        <v>16864235</v>
      </c>
      <c r="I11" s="54" t="e">
        <v>#N/A</v>
      </c>
      <c r="J11" s="55">
        <v>16861530</v>
      </c>
      <c r="K11" s="43" t="s">
        <v>72</v>
      </c>
      <c r="L11" s="55" t="s">
        <v>199</v>
      </c>
      <c r="M11" s="45" t="s">
        <v>142</v>
      </c>
      <c r="N11" s="75">
        <v>12</v>
      </c>
      <c r="O11" s="77" t="s">
        <v>7</v>
      </c>
      <c r="P11" s="129">
        <v>45457</v>
      </c>
      <c r="Q11" s="122">
        <v>45487</v>
      </c>
      <c r="R11" s="130">
        <v>45487</v>
      </c>
      <c r="S11" s="131">
        <v>45508</v>
      </c>
      <c r="T11" s="129" t="s">
        <v>527</v>
      </c>
      <c r="U11" s="122" t="s">
        <v>527</v>
      </c>
      <c r="V11" s="130">
        <v>45527</v>
      </c>
      <c r="W11" s="131">
        <v>45564</v>
      </c>
      <c r="X11" s="123">
        <v>45589</v>
      </c>
      <c r="Y11" s="125"/>
      <c r="Z11" s="104"/>
      <c r="AA11" s="111"/>
      <c r="AB11" s="116"/>
      <c r="AC11" s="117"/>
      <c r="AD11" s="114"/>
      <c r="AE11" s="47"/>
      <c r="AF11" s="8" t="s">
        <v>7</v>
      </c>
      <c r="AG11" s="28" t="s">
        <v>199</v>
      </c>
      <c r="AH11" s="28" t="s">
        <v>158</v>
      </c>
      <c r="AI11" s="9" t="s">
        <v>159</v>
      </c>
      <c r="AJ11" s="10"/>
      <c r="AK11" s="9" t="s">
        <v>160</v>
      </c>
      <c r="AL11" s="10">
        <v>45581</v>
      </c>
      <c r="AM11" s="16" t="s">
        <v>448</v>
      </c>
      <c r="AN11" s="29" t="s">
        <v>146</v>
      </c>
      <c r="AO11" s="28" t="s">
        <v>201</v>
      </c>
      <c r="AP11" s="37">
        <v>0</v>
      </c>
      <c r="AQ11" s="38">
        <v>45589</v>
      </c>
      <c r="AR11" s="38"/>
      <c r="AS11" s="9"/>
      <c r="AT11" s="9"/>
      <c r="AU11" s="38"/>
      <c r="AV11" s="9"/>
    </row>
    <row r="12" spans="1:48" s="11" customFormat="1" ht="54.75" customHeight="1">
      <c r="A12" s="53" t="s">
        <v>1405</v>
      </c>
      <c r="B12" s="57" t="s">
        <v>1406</v>
      </c>
      <c r="C12" s="53" t="s">
        <v>68</v>
      </c>
      <c r="D12" s="53" t="s">
        <v>165</v>
      </c>
      <c r="E12" s="53" t="s">
        <v>81</v>
      </c>
      <c r="F12" s="53" t="s">
        <v>85</v>
      </c>
      <c r="G12" s="53" t="s">
        <v>86</v>
      </c>
      <c r="H12" s="54">
        <v>51749999.999999993</v>
      </c>
      <c r="I12" s="54" t="e">
        <v>#N/A</v>
      </c>
      <c r="J12" s="55">
        <v>20700000</v>
      </c>
      <c r="K12" s="43" t="s">
        <v>72</v>
      </c>
      <c r="L12" s="55" t="s">
        <v>267</v>
      </c>
      <c r="M12" s="45" t="s">
        <v>142</v>
      </c>
      <c r="N12" s="45"/>
      <c r="O12" s="77" t="s">
        <v>268</v>
      </c>
      <c r="P12" s="129">
        <v>45479</v>
      </c>
      <c r="Q12" s="122">
        <v>45509</v>
      </c>
      <c r="R12" s="130">
        <v>45509</v>
      </c>
      <c r="S12" s="131">
        <v>45529</v>
      </c>
      <c r="T12" s="129" t="s">
        <v>527</v>
      </c>
      <c r="U12" s="122" t="s">
        <v>527</v>
      </c>
      <c r="V12" s="130">
        <v>45549</v>
      </c>
      <c r="W12" s="131">
        <v>45593</v>
      </c>
      <c r="X12" s="123">
        <v>45652</v>
      </c>
      <c r="Y12" s="124">
        <v>45871</v>
      </c>
      <c r="Z12" s="104"/>
      <c r="AA12" s="111"/>
      <c r="AB12" s="116"/>
      <c r="AC12" s="117"/>
      <c r="AD12" s="114"/>
      <c r="AE12" s="47"/>
      <c r="AF12" s="8" t="s">
        <v>268</v>
      </c>
      <c r="AG12" s="32" t="s">
        <v>267</v>
      </c>
      <c r="AH12" s="32" t="s">
        <v>267</v>
      </c>
      <c r="AI12" s="9" t="s">
        <v>159</v>
      </c>
      <c r="AJ12" s="10">
        <v>45628</v>
      </c>
      <c r="AK12" s="9">
        <v>902240650</v>
      </c>
      <c r="AL12" s="10">
        <v>45638</v>
      </c>
      <c r="AM12" s="16" t="s">
        <v>267</v>
      </c>
      <c r="AN12" s="29" t="s">
        <v>146</v>
      </c>
      <c r="AO12" s="28" t="s">
        <v>267</v>
      </c>
      <c r="AP12" s="37">
        <v>20700000</v>
      </c>
      <c r="AQ12" s="38">
        <v>45652</v>
      </c>
      <c r="AR12" s="38">
        <v>45777</v>
      </c>
      <c r="AS12" s="9">
        <v>901250147</v>
      </c>
      <c r="AT12" s="9" t="s">
        <v>1407</v>
      </c>
      <c r="AU12" s="38">
        <v>45871</v>
      </c>
      <c r="AV12" s="9"/>
    </row>
    <row r="13" spans="1:48" s="11" customFormat="1" ht="54.75" hidden="1" customHeight="1">
      <c r="A13" s="53" t="s">
        <v>449</v>
      </c>
      <c r="B13" s="57" t="s">
        <v>450</v>
      </c>
      <c r="C13" s="53" t="s">
        <v>68</v>
      </c>
      <c r="D13" s="53" t="s">
        <v>165</v>
      </c>
      <c r="E13" s="53" t="s">
        <v>395</v>
      </c>
      <c r="F13" s="53" t="s">
        <v>395</v>
      </c>
      <c r="G13" s="53" t="s">
        <v>86</v>
      </c>
      <c r="H13" s="54">
        <v>17250000</v>
      </c>
      <c r="I13" s="54" t="e">
        <v>#N/A</v>
      </c>
      <c r="J13" s="55">
        <v>14564899.499999998</v>
      </c>
      <c r="K13" s="43" t="s">
        <v>72</v>
      </c>
      <c r="L13" s="43" t="s">
        <v>451</v>
      </c>
      <c r="M13" s="45" t="s">
        <v>142</v>
      </c>
      <c r="N13" s="75">
        <v>18</v>
      </c>
      <c r="O13" s="77" t="s">
        <v>7</v>
      </c>
      <c r="P13" s="129">
        <v>45479</v>
      </c>
      <c r="Q13" s="122">
        <v>45509</v>
      </c>
      <c r="R13" s="130">
        <v>45509</v>
      </c>
      <c r="S13" s="131">
        <v>45529</v>
      </c>
      <c r="T13" s="129" t="s">
        <v>527</v>
      </c>
      <c r="U13" s="122" t="s">
        <v>527</v>
      </c>
      <c r="V13" s="130">
        <v>45549</v>
      </c>
      <c r="W13" s="131">
        <v>45593</v>
      </c>
      <c r="X13" s="123">
        <v>45767</v>
      </c>
      <c r="Y13" s="124">
        <v>45914</v>
      </c>
      <c r="Z13" s="104"/>
      <c r="AA13" s="111"/>
      <c r="AB13" s="116"/>
      <c r="AC13" s="117"/>
      <c r="AD13" s="114"/>
      <c r="AE13" s="47"/>
      <c r="AF13" s="8" t="s">
        <v>7</v>
      </c>
      <c r="AG13" s="29" t="s">
        <v>451</v>
      </c>
      <c r="AH13" s="28" t="s">
        <v>158</v>
      </c>
      <c r="AI13" s="9" t="s">
        <v>159</v>
      </c>
      <c r="AJ13" s="10">
        <v>45628</v>
      </c>
      <c r="AK13" s="9">
        <v>602240310</v>
      </c>
      <c r="AL13" s="10">
        <v>45638</v>
      </c>
      <c r="AM13" s="17" t="s">
        <v>452</v>
      </c>
      <c r="AN13" s="29" t="s">
        <v>146</v>
      </c>
      <c r="AO13" s="28" t="s">
        <v>451</v>
      </c>
      <c r="AP13" s="37">
        <v>14564899.499999998</v>
      </c>
      <c r="AQ13" s="38">
        <v>45767</v>
      </c>
      <c r="AR13" s="38">
        <v>45833</v>
      </c>
      <c r="AS13" s="9">
        <v>601250119</v>
      </c>
      <c r="AT13" s="9" t="s">
        <v>453</v>
      </c>
      <c r="AU13" s="38">
        <v>45914</v>
      </c>
      <c r="AV13" s="9"/>
    </row>
    <row r="14" spans="1:48" s="11" customFormat="1" ht="54.75" hidden="1" customHeight="1">
      <c r="A14" s="53" t="s">
        <v>154</v>
      </c>
      <c r="B14" s="57" t="s">
        <v>155</v>
      </c>
      <c r="C14" s="53" t="s">
        <v>68</v>
      </c>
      <c r="D14" s="53" t="s">
        <v>150</v>
      </c>
      <c r="E14" s="53" t="s">
        <v>81</v>
      </c>
      <c r="F14" s="53" t="s">
        <v>93</v>
      </c>
      <c r="G14" s="53" t="s">
        <v>86</v>
      </c>
      <c r="H14" s="54">
        <v>63249999.999999993</v>
      </c>
      <c r="I14" s="54" t="s">
        <v>156</v>
      </c>
      <c r="J14" s="55">
        <v>84982529.799999997</v>
      </c>
      <c r="K14" s="43" t="s">
        <v>72</v>
      </c>
      <c r="L14" s="69" t="s">
        <v>157</v>
      </c>
      <c r="M14" s="45" t="s">
        <v>142</v>
      </c>
      <c r="N14" s="75">
        <v>36</v>
      </c>
      <c r="O14" s="77" t="s">
        <v>7</v>
      </c>
      <c r="P14" s="129">
        <v>45109</v>
      </c>
      <c r="Q14" s="122">
        <v>45139</v>
      </c>
      <c r="R14" s="130">
        <v>45139</v>
      </c>
      <c r="S14" s="131">
        <v>45169</v>
      </c>
      <c r="T14" s="129">
        <v>45169</v>
      </c>
      <c r="U14" s="122">
        <v>45312</v>
      </c>
      <c r="V14" s="130">
        <v>45386</v>
      </c>
      <c r="W14" s="131">
        <v>45627</v>
      </c>
      <c r="X14" s="123">
        <v>45707</v>
      </c>
      <c r="Y14" s="125"/>
      <c r="Z14" s="104"/>
      <c r="AA14" s="111"/>
      <c r="AB14" s="116"/>
      <c r="AC14" s="117"/>
      <c r="AD14" s="114"/>
      <c r="AE14" s="47"/>
      <c r="AF14" s="8" t="s">
        <v>7</v>
      </c>
      <c r="AG14" s="30" t="s">
        <v>157</v>
      </c>
      <c r="AH14" s="28" t="s">
        <v>158</v>
      </c>
      <c r="AI14" s="9" t="s">
        <v>159</v>
      </c>
      <c r="AJ14" s="10">
        <v>45697</v>
      </c>
      <c r="AK14" s="9" t="s">
        <v>160</v>
      </c>
      <c r="AL14" s="10">
        <v>45697</v>
      </c>
      <c r="AM14" s="16" t="s">
        <v>161</v>
      </c>
      <c r="AN14" s="29" t="s">
        <v>146</v>
      </c>
      <c r="AO14" s="28" t="s">
        <v>157</v>
      </c>
      <c r="AP14" s="37">
        <v>84982529.799999997</v>
      </c>
      <c r="AQ14" s="38">
        <v>45707</v>
      </c>
      <c r="AR14" s="38"/>
      <c r="AS14" s="9"/>
      <c r="AT14" s="9" t="s">
        <v>162</v>
      </c>
      <c r="AU14" s="38"/>
      <c r="AV14" s="9"/>
    </row>
    <row r="15" spans="1:48" s="11" customFormat="1" ht="54.75" hidden="1" customHeight="1">
      <c r="A15" s="53" t="s">
        <v>454</v>
      </c>
      <c r="B15" s="57" t="s">
        <v>455</v>
      </c>
      <c r="C15" s="53" t="s">
        <v>68</v>
      </c>
      <c r="D15" s="53" t="s">
        <v>137</v>
      </c>
      <c r="E15" s="53" t="s">
        <v>395</v>
      </c>
      <c r="F15" s="53" t="s">
        <v>395</v>
      </c>
      <c r="G15" s="53" t="s">
        <v>94</v>
      </c>
      <c r="H15" s="54">
        <v>57500000</v>
      </c>
      <c r="I15" s="54" t="s">
        <v>156</v>
      </c>
      <c r="J15" s="55">
        <v>181121730.54999998</v>
      </c>
      <c r="K15" s="43" t="s">
        <v>72</v>
      </c>
      <c r="L15" s="55" t="s">
        <v>161</v>
      </c>
      <c r="M15" s="45" t="s">
        <v>142</v>
      </c>
      <c r="N15" s="75" t="s">
        <v>87</v>
      </c>
      <c r="O15" s="77" t="s">
        <v>7</v>
      </c>
      <c r="P15" s="129">
        <v>45109</v>
      </c>
      <c r="Q15" s="122">
        <v>45139</v>
      </c>
      <c r="R15" s="130">
        <v>45139</v>
      </c>
      <c r="S15" s="131">
        <v>45169</v>
      </c>
      <c r="T15" s="129">
        <v>45169</v>
      </c>
      <c r="U15" s="122">
        <v>45313</v>
      </c>
      <c r="V15" s="130">
        <v>45400</v>
      </c>
      <c r="W15" s="131">
        <v>45634</v>
      </c>
      <c r="X15" s="123">
        <v>45825</v>
      </c>
      <c r="Y15" s="125"/>
      <c r="Z15" s="104"/>
      <c r="AA15" s="111"/>
      <c r="AB15" s="116"/>
      <c r="AC15" s="117"/>
      <c r="AD15" s="114"/>
      <c r="AE15" s="47"/>
      <c r="AF15" s="8" t="s">
        <v>7</v>
      </c>
      <c r="AG15" s="28" t="s">
        <v>161</v>
      </c>
      <c r="AH15" s="28" t="s">
        <v>158</v>
      </c>
      <c r="AI15" s="9" t="s">
        <v>159</v>
      </c>
      <c r="AJ15" s="10">
        <v>45792</v>
      </c>
      <c r="AK15" s="9" t="s">
        <v>160</v>
      </c>
      <c r="AL15" s="10">
        <v>45803</v>
      </c>
      <c r="AM15" s="28" t="s">
        <v>161</v>
      </c>
      <c r="AN15" s="29" t="s">
        <v>146</v>
      </c>
      <c r="AO15" s="28" t="s">
        <v>185</v>
      </c>
      <c r="AP15" s="37">
        <v>0</v>
      </c>
      <c r="AQ15" s="38">
        <v>45825</v>
      </c>
      <c r="AR15" s="38"/>
      <c r="AS15" s="9"/>
      <c r="AT15" s="9"/>
      <c r="AU15" s="38"/>
      <c r="AV15" s="9" t="s">
        <v>178</v>
      </c>
    </row>
    <row r="16" spans="1:48" s="11" customFormat="1" ht="128.25" hidden="1" customHeight="1">
      <c r="A16" s="53" t="s">
        <v>456</v>
      </c>
      <c r="B16" s="57" t="s">
        <v>457</v>
      </c>
      <c r="C16" s="53" t="s">
        <v>68</v>
      </c>
      <c r="D16" s="53" t="s">
        <v>137</v>
      </c>
      <c r="E16" s="53" t="s">
        <v>395</v>
      </c>
      <c r="F16" s="53" t="s">
        <v>395</v>
      </c>
      <c r="G16" s="53" t="s">
        <v>86</v>
      </c>
      <c r="H16" s="54">
        <v>143750000</v>
      </c>
      <c r="I16" s="54" t="s">
        <v>258</v>
      </c>
      <c r="J16" s="55">
        <v>143750000</v>
      </c>
      <c r="K16" s="43" t="s">
        <v>72</v>
      </c>
      <c r="L16" s="69" t="s">
        <v>458</v>
      </c>
      <c r="M16" s="45" t="s">
        <v>142</v>
      </c>
      <c r="N16" s="75" t="s">
        <v>87</v>
      </c>
      <c r="O16" s="77" t="s">
        <v>7</v>
      </c>
      <c r="P16" s="129">
        <v>45109</v>
      </c>
      <c r="Q16" s="122">
        <v>45139</v>
      </c>
      <c r="R16" s="130">
        <v>45139</v>
      </c>
      <c r="S16" s="131">
        <v>45169</v>
      </c>
      <c r="T16" s="129">
        <v>45169</v>
      </c>
      <c r="U16" s="122">
        <v>45313</v>
      </c>
      <c r="V16" s="130">
        <v>45370</v>
      </c>
      <c r="W16" s="131">
        <v>45627</v>
      </c>
      <c r="X16" s="126"/>
      <c r="Y16" s="125"/>
      <c r="Z16" s="104"/>
      <c r="AA16" s="111"/>
      <c r="AB16" s="116"/>
      <c r="AC16" s="117"/>
      <c r="AD16" s="114"/>
      <c r="AE16" s="47"/>
      <c r="AF16" s="8" t="s">
        <v>7</v>
      </c>
      <c r="AG16" s="31" t="s">
        <v>458</v>
      </c>
      <c r="AH16" s="28" t="s">
        <v>158</v>
      </c>
      <c r="AI16" s="9" t="s">
        <v>159</v>
      </c>
      <c r="AJ16" s="10">
        <v>45858</v>
      </c>
      <c r="AK16" s="9" t="s">
        <v>160</v>
      </c>
      <c r="AL16" s="10">
        <v>45859</v>
      </c>
      <c r="AM16" s="16" t="s">
        <v>459</v>
      </c>
      <c r="AN16" s="29" t="s">
        <v>146</v>
      </c>
      <c r="AO16" s="28" t="s">
        <v>460</v>
      </c>
      <c r="AP16" s="37">
        <v>0</v>
      </c>
      <c r="AQ16" s="38"/>
      <c r="AR16" s="38"/>
      <c r="AS16" s="9"/>
      <c r="AT16" s="9"/>
      <c r="AU16" s="38"/>
      <c r="AV16" s="9" t="s">
        <v>202</v>
      </c>
    </row>
    <row r="17" spans="1:48" s="11" customFormat="1" ht="54.75" hidden="1" customHeight="1">
      <c r="A17" s="56" t="s">
        <v>163</v>
      </c>
      <c r="B17" s="57" t="s">
        <v>164</v>
      </c>
      <c r="C17" s="53" t="s">
        <v>68</v>
      </c>
      <c r="D17" s="53" t="s">
        <v>165</v>
      </c>
      <c r="E17" s="53" t="s">
        <v>81</v>
      </c>
      <c r="F17" s="53" t="s">
        <v>166</v>
      </c>
      <c r="G17" s="53" t="s">
        <v>86</v>
      </c>
      <c r="H17" s="54">
        <v>28749999.999999996</v>
      </c>
      <c r="I17" s="54" t="e">
        <v>#N/A</v>
      </c>
      <c r="J17" s="55">
        <v>49158083.999999993</v>
      </c>
      <c r="K17" s="43" t="s">
        <v>72</v>
      </c>
      <c r="L17" s="69" t="s">
        <v>157</v>
      </c>
      <c r="M17" s="45" t="s">
        <v>142</v>
      </c>
      <c r="N17" s="75" t="s">
        <v>75</v>
      </c>
      <c r="O17" s="77" t="s">
        <v>7</v>
      </c>
      <c r="P17" s="129">
        <v>45438</v>
      </c>
      <c r="Q17" s="122">
        <v>45468</v>
      </c>
      <c r="R17" s="130">
        <v>45468</v>
      </c>
      <c r="S17" s="131">
        <v>45498</v>
      </c>
      <c r="T17" s="129" t="s">
        <v>527</v>
      </c>
      <c r="U17" s="122" t="s">
        <v>527</v>
      </c>
      <c r="V17" s="130">
        <v>45558</v>
      </c>
      <c r="W17" s="131">
        <v>45603</v>
      </c>
      <c r="X17" s="123">
        <v>45729</v>
      </c>
      <c r="Y17" s="125"/>
      <c r="Z17" s="104"/>
      <c r="AA17" s="111"/>
      <c r="AB17" s="116"/>
      <c r="AC17" s="117"/>
      <c r="AD17" s="114"/>
      <c r="AE17" s="47"/>
      <c r="AF17" s="8" t="s">
        <v>7</v>
      </c>
      <c r="AG17" s="30" t="s">
        <v>157</v>
      </c>
      <c r="AH17" s="28" t="s">
        <v>158</v>
      </c>
      <c r="AI17" s="9" t="s">
        <v>159</v>
      </c>
      <c r="AJ17" s="10">
        <v>45610</v>
      </c>
      <c r="AK17" s="9" t="s">
        <v>160</v>
      </c>
      <c r="AL17" s="10">
        <v>45628</v>
      </c>
      <c r="AM17" s="16" t="s">
        <v>161</v>
      </c>
      <c r="AN17" s="29" t="s">
        <v>146</v>
      </c>
      <c r="AO17" s="28" t="s">
        <v>157</v>
      </c>
      <c r="AP17" s="37">
        <v>49158083.999999993</v>
      </c>
      <c r="AQ17" s="38">
        <v>45729</v>
      </c>
      <c r="AR17" s="38"/>
      <c r="AS17" s="9"/>
      <c r="AT17" s="9" t="s">
        <v>167</v>
      </c>
      <c r="AU17" s="38"/>
      <c r="AV17" s="9"/>
    </row>
    <row r="18" spans="1:48" s="11" customFormat="1" ht="54.75" hidden="1" customHeight="1">
      <c r="A18" s="53" t="s">
        <v>168</v>
      </c>
      <c r="B18" s="57" t="s">
        <v>169</v>
      </c>
      <c r="C18" s="53" t="s">
        <v>68</v>
      </c>
      <c r="D18" s="53" t="s">
        <v>150</v>
      </c>
      <c r="E18" s="53" t="s">
        <v>81</v>
      </c>
      <c r="F18" s="53" t="s">
        <v>81</v>
      </c>
      <c r="G18" s="53" t="s">
        <v>94</v>
      </c>
      <c r="H18" s="54">
        <v>114999999.99999999</v>
      </c>
      <c r="I18" s="54" t="s">
        <v>170</v>
      </c>
      <c r="J18" s="55">
        <v>118480348.49999999</v>
      </c>
      <c r="K18" s="43" t="s">
        <v>72</v>
      </c>
      <c r="L18" s="69" t="s">
        <v>157</v>
      </c>
      <c r="M18" s="45" t="s">
        <v>142</v>
      </c>
      <c r="N18" s="75" t="s">
        <v>87</v>
      </c>
      <c r="O18" s="77" t="s">
        <v>7</v>
      </c>
      <c r="P18" s="129">
        <v>45109</v>
      </c>
      <c r="Q18" s="122">
        <v>45139</v>
      </c>
      <c r="R18" s="130">
        <v>45139</v>
      </c>
      <c r="S18" s="131">
        <v>45169</v>
      </c>
      <c r="T18" s="129">
        <v>45169</v>
      </c>
      <c r="U18" s="122">
        <v>45312</v>
      </c>
      <c r="V18" s="130">
        <v>45386</v>
      </c>
      <c r="W18" s="131">
        <v>45627</v>
      </c>
      <c r="X18" s="123">
        <v>45729</v>
      </c>
      <c r="Y18" s="125"/>
      <c r="Z18" s="104"/>
      <c r="AA18" s="111"/>
      <c r="AB18" s="116"/>
      <c r="AC18" s="117"/>
      <c r="AD18" s="114"/>
      <c r="AE18" s="47"/>
      <c r="AF18" s="8" t="s">
        <v>7</v>
      </c>
      <c r="AG18" s="30" t="s">
        <v>157</v>
      </c>
      <c r="AH18" s="28" t="s">
        <v>158</v>
      </c>
      <c r="AI18" s="9" t="s">
        <v>159</v>
      </c>
      <c r="AJ18" s="10">
        <v>45644</v>
      </c>
      <c r="AK18" s="9" t="s">
        <v>160</v>
      </c>
      <c r="AL18" s="10">
        <v>45701</v>
      </c>
      <c r="AM18" s="16" t="s">
        <v>161</v>
      </c>
      <c r="AN18" s="29" t="s">
        <v>146</v>
      </c>
      <c r="AO18" s="28" t="s">
        <v>157</v>
      </c>
      <c r="AP18" s="37">
        <v>118480348.49999999</v>
      </c>
      <c r="AQ18" s="38">
        <v>45729</v>
      </c>
      <c r="AR18" s="38"/>
      <c r="AS18" s="9"/>
      <c r="AT18" s="9" t="s">
        <v>171</v>
      </c>
      <c r="AU18" s="38"/>
      <c r="AV18" s="9"/>
    </row>
    <row r="19" spans="1:48" s="11" customFormat="1" ht="54.75" hidden="1" customHeight="1">
      <c r="A19" s="56" t="s">
        <v>461</v>
      </c>
      <c r="B19" s="57" t="s">
        <v>462</v>
      </c>
      <c r="C19" s="53" t="s">
        <v>68</v>
      </c>
      <c r="D19" s="53" t="s">
        <v>137</v>
      </c>
      <c r="E19" s="53" t="s">
        <v>395</v>
      </c>
      <c r="F19" s="53" t="s">
        <v>395</v>
      </c>
      <c r="G19" s="53" t="s">
        <v>86</v>
      </c>
      <c r="H19" s="54">
        <v>138000000</v>
      </c>
      <c r="I19" s="54" t="s">
        <v>463</v>
      </c>
      <c r="J19" s="55">
        <v>103578492.09999999</v>
      </c>
      <c r="K19" s="43" t="s">
        <v>72</v>
      </c>
      <c r="L19" s="55" t="s">
        <v>212</v>
      </c>
      <c r="M19" s="45" t="s">
        <v>142</v>
      </c>
      <c r="N19" s="75" t="s">
        <v>87</v>
      </c>
      <c r="O19" s="77" t="s">
        <v>7</v>
      </c>
      <c r="P19" s="129">
        <v>45109</v>
      </c>
      <c r="Q19" s="122">
        <v>45139</v>
      </c>
      <c r="R19" s="130">
        <v>45139</v>
      </c>
      <c r="S19" s="131">
        <v>45169</v>
      </c>
      <c r="T19" s="129">
        <v>45169</v>
      </c>
      <c r="U19" s="122">
        <v>45313</v>
      </c>
      <c r="V19" s="130">
        <v>45560</v>
      </c>
      <c r="W19" s="131">
        <v>45638</v>
      </c>
      <c r="X19" s="123">
        <v>45700</v>
      </c>
      <c r="Y19" s="125"/>
      <c r="Z19" s="104"/>
      <c r="AA19" s="111"/>
      <c r="AB19" s="116"/>
      <c r="AC19" s="117"/>
      <c r="AD19" s="114"/>
      <c r="AE19" s="47"/>
      <c r="AF19" s="8" t="s">
        <v>7</v>
      </c>
      <c r="AG19" s="28" t="s">
        <v>212</v>
      </c>
      <c r="AH19" s="28" t="s">
        <v>158</v>
      </c>
      <c r="AI19" s="9" t="s">
        <v>159</v>
      </c>
      <c r="AJ19" s="10">
        <v>45659</v>
      </c>
      <c r="AK19" s="9">
        <v>602250001</v>
      </c>
      <c r="AL19" s="10">
        <v>45678</v>
      </c>
      <c r="AM19" s="16" t="s">
        <v>464</v>
      </c>
      <c r="AN19" s="29" t="s">
        <v>146</v>
      </c>
      <c r="AO19" s="28" t="s">
        <v>185</v>
      </c>
      <c r="AP19" s="37">
        <v>0</v>
      </c>
      <c r="AQ19" s="38">
        <v>45700</v>
      </c>
      <c r="AR19" s="38"/>
      <c r="AS19" s="9"/>
      <c r="AT19" s="9"/>
      <c r="AU19" s="38"/>
      <c r="AV19" s="9"/>
    </row>
    <row r="20" spans="1:48" s="11" customFormat="1" ht="54.75" hidden="1" customHeight="1">
      <c r="A20" s="53" t="s">
        <v>465</v>
      </c>
      <c r="B20" s="57" t="s">
        <v>466</v>
      </c>
      <c r="C20" s="53" t="s">
        <v>68</v>
      </c>
      <c r="D20" s="53" t="s">
        <v>137</v>
      </c>
      <c r="E20" s="53" t="s">
        <v>395</v>
      </c>
      <c r="F20" s="53" t="s">
        <v>395</v>
      </c>
      <c r="G20" s="53" t="s">
        <v>86</v>
      </c>
      <c r="H20" s="54">
        <v>90850000</v>
      </c>
      <c r="I20" s="54" t="s">
        <v>258</v>
      </c>
      <c r="J20" s="55">
        <v>126259213.96599999</v>
      </c>
      <c r="K20" s="43" t="s">
        <v>72</v>
      </c>
      <c r="L20" s="55" t="s">
        <v>157</v>
      </c>
      <c r="M20" s="45" t="s">
        <v>142</v>
      </c>
      <c r="N20" s="75" t="s">
        <v>87</v>
      </c>
      <c r="O20" s="77" t="s">
        <v>7</v>
      </c>
      <c r="P20" s="129">
        <v>45109</v>
      </c>
      <c r="Q20" s="122">
        <v>45139</v>
      </c>
      <c r="R20" s="130">
        <v>45139</v>
      </c>
      <c r="S20" s="131">
        <v>45169</v>
      </c>
      <c r="T20" s="129">
        <v>45169</v>
      </c>
      <c r="U20" s="122">
        <v>45313</v>
      </c>
      <c r="V20" s="130">
        <v>45370</v>
      </c>
      <c r="W20" s="131">
        <v>45643</v>
      </c>
      <c r="X20" s="123">
        <v>45733</v>
      </c>
      <c r="Y20" s="125"/>
      <c r="Z20" s="104"/>
      <c r="AA20" s="111"/>
      <c r="AB20" s="116"/>
      <c r="AC20" s="117"/>
      <c r="AD20" s="114"/>
      <c r="AE20" s="47"/>
      <c r="AF20" s="8" t="s">
        <v>7</v>
      </c>
      <c r="AG20" s="28" t="s">
        <v>157</v>
      </c>
      <c r="AH20" s="28" t="s">
        <v>158</v>
      </c>
      <c r="AI20" s="9" t="s">
        <v>159</v>
      </c>
      <c r="AJ20" s="10">
        <v>45706</v>
      </c>
      <c r="AK20" s="9" t="s">
        <v>160</v>
      </c>
      <c r="AL20" s="10">
        <v>45721</v>
      </c>
      <c r="AM20" s="28" t="s">
        <v>157</v>
      </c>
      <c r="AN20" s="29" t="s">
        <v>146</v>
      </c>
      <c r="AO20" s="28" t="s">
        <v>157</v>
      </c>
      <c r="AP20" s="37">
        <v>126259213.96599999</v>
      </c>
      <c r="AQ20" s="38">
        <v>45733</v>
      </c>
      <c r="AR20" s="38"/>
      <c r="AS20" s="9"/>
      <c r="AT20" s="9" t="s">
        <v>467</v>
      </c>
      <c r="AU20" s="38"/>
      <c r="AV20" s="9"/>
    </row>
    <row r="21" spans="1:48" s="11" customFormat="1" ht="54.75" hidden="1" customHeight="1">
      <c r="A21" s="53" t="s">
        <v>172</v>
      </c>
      <c r="B21" s="57" t="s">
        <v>173</v>
      </c>
      <c r="C21" s="53" t="s">
        <v>68</v>
      </c>
      <c r="D21" s="53" t="s">
        <v>150</v>
      </c>
      <c r="E21" s="53" t="s">
        <v>81</v>
      </c>
      <c r="F21" s="53" t="s">
        <v>166</v>
      </c>
      <c r="G21" s="53" t="s">
        <v>86</v>
      </c>
      <c r="H21" s="54">
        <v>43700000</v>
      </c>
      <c r="I21" s="54" t="s">
        <v>174</v>
      </c>
      <c r="J21" s="55">
        <v>43700000</v>
      </c>
      <c r="K21" s="43" t="s">
        <v>72</v>
      </c>
      <c r="L21" s="55" t="s">
        <v>175</v>
      </c>
      <c r="M21" s="45" t="s">
        <v>142</v>
      </c>
      <c r="N21" s="75" t="s">
        <v>87</v>
      </c>
      <c r="O21" s="77" t="s">
        <v>7</v>
      </c>
      <c r="P21" s="129">
        <v>45109</v>
      </c>
      <c r="Q21" s="122">
        <v>45139</v>
      </c>
      <c r="R21" s="130">
        <v>45139</v>
      </c>
      <c r="S21" s="131">
        <v>45169</v>
      </c>
      <c r="T21" s="129">
        <v>45169</v>
      </c>
      <c r="U21" s="122">
        <v>45312</v>
      </c>
      <c r="V21" s="130">
        <v>45575</v>
      </c>
      <c r="W21" s="131">
        <v>45645</v>
      </c>
      <c r="X21" s="126"/>
      <c r="Y21" s="125"/>
      <c r="Z21" s="104"/>
      <c r="AA21" s="111"/>
      <c r="AB21" s="116"/>
      <c r="AC21" s="117"/>
      <c r="AD21" s="114"/>
      <c r="AE21" s="47"/>
      <c r="AF21" s="8" t="s">
        <v>7</v>
      </c>
      <c r="AG21" s="30" t="s">
        <v>176</v>
      </c>
      <c r="AH21" s="28" t="s">
        <v>158</v>
      </c>
      <c r="AI21" s="9" t="s">
        <v>76</v>
      </c>
      <c r="AJ21" s="10"/>
      <c r="AK21" s="9" t="s">
        <v>160</v>
      </c>
      <c r="AL21" s="10"/>
      <c r="AM21" s="16" t="s">
        <v>177</v>
      </c>
      <c r="AN21" s="29" t="s">
        <v>146</v>
      </c>
      <c r="AO21" s="28" t="s">
        <v>147</v>
      </c>
      <c r="AP21" s="37">
        <v>0</v>
      </c>
      <c r="AQ21" s="38"/>
      <c r="AR21" s="38"/>
      <c r="AS21" s="9"/>
      <c r="AT21" s="9"/>
      <c r="AU21" s="38"/>
      <c r="AV21" s="9" t="s">
        <v>178</v>
      </c>
    </row>
    <row r="22" spans="1:48" s="11" customFormat="1" ht="54.75" hidden="1" customHeight="1">
      <c r="A22" s="53" t="s">
        <v>276</v>
      </c>
      <c r="B22" s="57" t="s">
        <v>277</v>
      </c>
      <c r="C22" s="53" t="s">
        <v>68</v>
      </c>
      <c r="D22" s="53" t="s">
        <v>150</v>
      </c>
      <c r="E22" s="53" t="s">
        <v>81</v>
      </c>
      <c r="F22" s="53" t="s">
        <v>81</v>
      </c>
      <c r="G22" s="53" t="s">
        <v>86</v>
      </c>
      <c r="H22" s="54">
        <v>114999999.99999999</v>
      </c>
      <c r="I22" s="54" t="s">
        <v>198</v>
      </c>
      <c r="J22" s="55">
        <v>68354965</v>
      </c>
      <c r="K22" s="43" t="s">
        <v>72</v>
      </c>
      <c r="L22" s="55" t="s">
        <v>267</v>
      </c>
      <c r="M22" s="45" t="s">
        <v>142</v>
      </c>
      <c r="N22" s="45"/>
      <c r="O22" s="77" t="s">
        <v>7</v>
      </c>
      <c r="P22" s="129">
        <v>45109</v>
      </c>
      <c r="Q22" s="122">
        <v>45139</v>
      </c>
      <c r="R22" s="130">
        <v>45139</v>
      </c>
      <c r="S22" s="131">
        <v>45169</v>
      </c>
      <c r="T22" s="129">
        <v>45169</v>
      </c>
      <c r="U22" s="122">
        <v>45312</v>
      </c>
      <c r="V22" s="130">
        <v>45575</v>
      </c>
      <c r="W22" s="131">
        <v>45637</v>
      </c>
      <c r="X22" s="123">
        <v>45665</v>
      </c>
      <c r="Y22" s="124">
        <v>45972</v>
      </c>
      <c r="Z22" s="104"/>
      <c r="AA22" s="111"/>
      <c r="AB22" s="116"/>
      <c r="AC22" s="117"/>
      <c r="AD22" s="114"/>
      <c r="AE22" s="47"/>
      <c r="AF22" s="8" t="s">
        <v>7</v>
      </c>
      <c r="AG22" s="28" t="s">
        <v>278</v>
      </c>
      <c r="AH22" s="28" t="s">
        <v>158</v>
      </c>
      <c r="AI22" s="9" t="s">
        <v>159</v>
      </c>
      <c r="AJ22" s="10">
        <v>45649</v>
      </c>
      <c r="AK22" s="9">
        <v>902240684</v>
      </c>
      <c r="AL22" s="10">
        <v>45649</v>
      </c>
      <c r="AM22" s="16" t="s">
        <v>279</v>
      </c>
      <c r="AN22" s="29" t="s">
        <v>146</v>
      </c>
      <c r="AO22" s="28" t="s">
        <v>279</v>
      </c>
      <c r="AP22" s="37">
        <v>68354965</v>
      </c>
      <c r="AQ22" s="38">
        <v>45665</v>
      </c>
      <c r="AR22" s="38">
        <v>45875</v>
      </c>
      <c r="AS22" s="9">
        <v>901250253</v>
      </c>
      <c r="AT22" s="9" t="s">
        <v>272</v>
      </c>
      <c r="AU22" s="38"/>
      <c r="AV22" s="9"/>
    </row>
    <row r="23" spans="1:48" s="11" customFormat="1" ht="54.75" hidden="1" customHeight="1">
      <c r="A23" s="53" t="s">
        <v>179</v>
      </c>
      <c r="B23" s="57" t="s">
        <v>180</v>
      </c>
      <c r="C23" s="53" t="s">
        <v>68</v>
      </c>
      <c r="D23" s="53" t="s">
        <v>150</v>
      </c>
      <c r="E23" s="53" t="s">
        <v>81</v>
      </c>
      <c r="F23" s="53" t="s">
        <v>81</v>
      </c>
      <c r="G23" s="53" t="s">
        <v>94</v>
      </c>
      <c r="H23" s="54">
        <v>114999999.99999999</v>
      </c>
      <c r="I23" s="54" t="s">
        <v>181</v>
      </c>
      <c r="J23" s="55">
        <v>132249724</v>
      </c>
      <c r="K23" s="43" t="s">
        <v>72</v>
      </c>
      <c r="L23" s="69" t="s">
        <v>157</v>
      </c>
      <c r="M23" s="45" t="s">
        <v>142</v>
      </c>
      <c r="N23" s="75" t="s">
        <v>87</v>
      </c>
      <c r="O23" s="77" t="s">
        <v>7</v>
      </c>
      <c r="P23" s="129">
        <v>45109</v>
      </c>
      <c r="Q23" s="122">
        <v>45139</v>
      </c>
      <c r="R23" s="130">
        <v>45139</v>
      </c>
      <c r="S23" s="131">
        <v>45169</v>
      </c>
      <c r="T23" s="129">
        <v>45169</v>
      </c>
      <c r="U23" s="122">
        <v>45312</v>
      </c>
      <c r="V23" s="130">
        <v>45575</v>
      </c>
      <c r="W23" s="131">
        <v>45638</v>
      </c>
      <c r="X23" s="123">
        <v>45734</v>
      </c>
      <c r="Y23" s="125"/>
      <c r="Z23" s="104"/>
      <c r="AA23" s="111"/>
      <c r="AB23" s="116"/>
      <c r="AC23" s="117"/>
      <c r="AD23" s="114"/>
      <c r="AE23" s="47"/>
      <c r="AF23" s="8" t="s">
        <v>7</v>
      </c>
      <c r="AG23" s="30" t="s">
        <v>157</v>
      </c>
      <c r="AH23" s="28" t="s">
        <v>158</v>
      </c>
      <c r="AI23" s="9" t="s">
        <v>159</v>
      </c>
      <c r="AJ23" s="10">
        <v>45644</v>
      </c>
      <c r="AK23" s="9" t="s">
        <v>160</v>
      </c>
      <c r="AL23" s="10">
        <v>45701</v>
      </c>
      <c r="AM23" s="16" t="s">
        <v>161</v>
      </c>
      <c r="AN23" s="29" t="s">
        <v>146</v>
      </c>
      <c r="AO23" s="28" t="s">
        <v>157</v>
      </c>
      <c r="AP23" s="37">
        <v>132249723.99999999</v>
      </c>
      <c r="AQ23" s="38">
        <v>45734</v>
      </c>
      <c r="AR23" s="38"/>
      <c r="AS23" s="9"/>
      <c r="AT23" s="9" t="s">
        <v>171</v>
      </c>
      <c r="AU23" s="38"/>
      <c r="AV23" s="9"/>
    </row>
    <row r="24" spans="1:48" s="11" customFormat="1" ht="54.75" hidden="1" customHeight="1">
      <c r="A24" s="53" t="s">
        <v>182</v>
      </c>
      <c r="B24" s="57" t="s">
        <v>183</v>
      </c>
      <c r="C24" s="53" t="s">
        <v>68</v>
      </c>
      <c r="D24" s="53" t="s">
        <v>150</v>
      </c>
      <c r="E24" s="53" t="s">
        <v>81</v>
      </c>
      <c r="F24" s="53" t="s">
        <v>93</v>
      </c>
      <c r="G24" s="53" t="s">
        <v>94</v>
      </c>
      <c r="H24" s="54">
        <v>46000000</v>
      </c>
      <c r="I24" s="54" t="s">
        <v>184</v>
      </c>
      <c r="J24" s="55">
        <v>88550000</v>
      </c>
      <c r="K24" s="43" t="s">
        <v>72</v>
      </c>
      <c r="L24" s="55" t="s">
        <v>157</v>
      </c>
      <c r="M24" s="45" t="s">
        <v>142</v>
      </c>
      <c r="N24" s="75" t="s">
        <v>75</v>
      </c>
      <c r="O24" s="77" t="s">
        <v>7</v>
      </c>
      <c r="P24" s="129">
        <v>45109</v>
      </c>
      <c r="Q24" s="122">
        <v>45139</v>
      </c>
      <c r="R24" s="130">
        <v>45139</v>
      </c>
      <c r="S24" s="131">
        <v>45169</v>
      </c>
      <c r="T24" s="129">
        <v>45169</v>
      </c>
      <c r="U24" s="122">
        <v>45312</v>
      </c>
      <c r="V24" s="130">
        <v>45575</v>
      </c>
      <c r="W24" s="131">
        <v>45641</v>
      </c>
      <c r="X24" s="123">
        <v>45707</v>
      </c>
      <c r="Y24" s="125"/>
      <c r="Z24" s="104"/>
      <c r="AA24" s="111"/>
      <c r="AB24" s="116"/>
      <c r="AC24" s="117"/>
      <c r="AD24" s="114"/>
      <c r="AE24" s="47"/>
      <c r="AF24" s="8" t="s">
        <v>7</v>
      </c>
      <c r="AG24" s="28" t="s">
        <v>157</v>
      </c>
      <c r="AH24" s="28" t="s">
        <v>158</v>
      </c>
      <c r="AI24" s="9" t="s">
        <v>159</v>
      </c>
      <c r="AJ24" s="10">
        <v>45651</v>
      </c>
      <c r="AK24" s="9" t="s">
        <v>160</v>
      </c>
      <c r="AL24" s="10">
        <v>45673</v>
      </c>
      <c r="AM24" s="28" t="s">
        <v>157</v>
      </c>
      <c r="AN24" s="29" t="s">
        <v>146</v>
      </c>
      <c r="AO24" s="28" t="s">
        <v>185</v>
      </c>
      <c r="AP24" s="37">
        <v>0</v>
      </c>
      <c r="AQ24" s="38">
        <v>45707</v>
      </c>
      <c r="AR24" s="38"/>
      <c r="AS24" s="9"/>
      <c r="AT24" s="9"/>
      <c r="AU24" s="38"/>
      <c r="AV24" s="9"/>
    </row>
    <row r="25" spans="1:48" s="11" customFormat="1" ht="54.75" hidden="1" customHeight="1">
      <c r="A25" s="53" t="s">
        <v>186</v>
      </c>
      <c r="B25" s="57" t="s">
        <v>187</v>
      </c>
      <c r="C25" s="53" t="s">
        <v>68</v>
      </c>
      <c r="D25" s="53" t="s">
        <v>150</v>
      </c>
      <c r="E25" s="53" t="s">
        <v>81</v>
      </c>
      <c r="F25" s="53" t="s">
        <v>93</v>
      </c>
      <c r="G25" s="53" t="s">
        <v>94</v>
      </c>
      <c r="H25" s="54">
        <v>46158700</v>
      </c>
      <c r="I25" s="54" t="s">
        <v>184</v>
      </c>
      <c r="J25" s="55">
        <v>153703250</v>
      </c>
      <c r="K25" s="43" t="s">
        <v>72</v>
      </c>
      <c r="L25" s="69" t="s">
        <v>157</v>
      </c>
      <c r="M25" s="45" t="s">
        <v>142</v>
      </c>
      <c r="N25" s="75" t="s">
        <v>75</v>
      </c>
      <c r="O25" s="77" t="s">
        <v>7</v>
      </c>
      <c r="P25" s="129">
        <v>45109</v>
      </c>
      <c r="Q25" s="122">
        <v>45139</v>
      </c>
      <c r="R25" s="130">
        <v>45139</v>
      </c>
      <c r="S25" s="131">
        <v>45169</v>
      </c>
      <c r="T25" s="129">
        <v>45169</v>
      </c>
      <c r="U25" s="122">
        <v>45312</v>
      </c>
      <c r="V25" s="130">
        <v>45575</v>
      </c>
      <c r="W25" s="131">
        <v>45641</v>
      </c>
      <c r="X25" s="123">
        <v>45707</v>
      </c>
      <c r="Y25" s="125"/>
      <c r="Z25" s="104"/>
      <c r="AA25" s="111"/>
      <c r="AB25" s="116"/>
      <c r="AC25" s="117"/>
      <c r="AD25" s="114"/>
      <c r="AE25" s="47"/>
      <c r="AF25" s="8" t="s">
        <v>7</v>
      </c>
      <c r="AG25" s="30" t="s">
        <v>157</v>
      </c>
      <c r="AH25" s="28" t="s">
        <v>158</v>
      </c>
      <c r="AI25" s="9" t="s">
        <v>159</v>
      </c>
      <c r="AJ25" s="10">
        <v>45651</v>
      </c>
      <c r="AK25" s="9" t="s">
        <v>160</v>
      </c>
      <c r="AL25" s="10">
        <v>45673</v>
      </c>
      <c r="AM25" s="16" t="s">
        <v>161</v>
      </c>
      <c r="AN25" s="29" t="s">
        <v>146</v>
      </c>
      <c r="AO25" s="28" t="s">
        <v>157</v>
      </c>
      <c r="AP25" s="37">
        <v>153703250</v>
      </c>
      <c r="AQ25" s="38">
        <v>45707</v>
      </c>
      <c r="AR25" s="38"/>
      <c r="AS25" s="9"/>
      <c r="AT25" s="9" t="s">
        <v>188</v>
      </c>
      <c r="AU25" s="38"/>
      <c r="AV25" s="9"/>
    </row>
    <row r="26" spans="1:48" s="11" customFormat="1" ht="54.75" hidden="1" customHeight="1">
      <c r="A26" s="53" t="s">
        <v>189</v>
      </c>
      <c r="B26" s="57" t="s">
        <v>190</v>
      </c>
      <c r="C26" s="53" t="s">
        <v>68</v>
      </c>
      <c r="D26" s="53" t="s">
        <v>150</v>
      </c>
      <c r="E26" s="53" t="s">
        <v>81</v>
      </c>
      <c r="F26" s="53" t="s">
        <v>191</v>
      </c>
      <c r="G26" s="53" t="s">
        <v>94</v>
      </c>
      <c r="H26" s="54">
        <v>69000000</v>
      </c>
      <c r="I26" s="54" t="s">
        <v>181</v>
      </c>
      <c r="J26" s="55">
        <v>82587652.5</v>
      </c>
      <c r="K26" s="43" t="s">
        <v>72</v>
      </c>
      <c r="L26" s="55" t="s">
        <v>157</v>
      </c>
      <c r="M26" s="45" t="s">
        <v>142</v>
      </c>
      <c r="N26" s="75" t="s">
        <v>75</v>
      </c>
      <c r="O26" s="77" t="s">
        <v>7</v>
      </c>
      <c r="P26" s="129">
        <v>45109</v>
      </c>
      <c r="Q26" s="122">
        <v>45139</v>
      </c>
      <c r="R26" s="130">
        <v>45139</v>
      </c>
      <c r="S26" s="131">
        <v>45169</v>
      </c>
      <c r="T26" s="129">
        <v>45169</v>
      </c>
      <c r="U26" s="122">
        <v>45312</v>
      </c>
      <c r="V26" s="130">
        <v>45575</v>
      </c>
      <c r="W26" s="131">
        <v>45643</v>
      </c>
      <c r="X26" s="123">
        <v>45729</v>
      </c>
      <c r="Y26" s="125"/>
      <c r="Z26" s="104"/>
      <c r="AA26" s="111"/>
      <c r="AB26" s="116"/>
      <c r="AC26" s="117"/>
      <c r="AD26" s="114"/>
      <c r="AE26" s="47"/>
      <c r="AF26" s="8" t="s">
        <v>7</v>
      </c>
      <c r="AG26" s="28" t="s">
        <v>157</v>
      </c>
      <c r="AH26" s="28" t="s">
        <v>158</v>
      </c>
      <c r="AI26" s="9" t="s">
        <v>159</v>
      </c>
      <c r="AJ26" s="10">
        <v>45651</v>
      </c>
      <c r="AK26" s="9" t="s">
        <v>160</v>
      </c>
      <c r="AL26" s="10">
        <v>45673</v>
      </c>
      <c r="AM26" s="28" t="s">
        <v>157</v>
      </c>
      <c r="AN26" s="29" t="s">
        <v>146</v>
      </c>
      <c r="AO26" s="28" t="s">
        <v>185</v>
      </c>
      <c r="AP26" s="37">
        <v>0</v>
      </c>
      <c r="AQ26" s="38">
        <v>45729</v>
      </c>
      <c r="AR26" s="38"/>
      <c r="AS26" s="9"/>
      <c r="AT26" s="9"/>
      <c r="AU26" s="38"/>
      <c r="AV26" s="9"/>
    </row>
    <row r="27" spans="1:48" s="11" customFormat="1" ht="54.75" customHeight="1">
      <c r="A27" s="53" t="s">
        <v>280</v>
      </c>
      <c r="B27" s="57" t="s">
        <v>281</v>
      </c>
      <c r="C27" s="53" t="s">
        <v>68</v>
      </c>
      <c r="D27" s="53" t="s">
        <v>150</v>
      </c>
      <c r="E27" s="53" t="s">
        <v>81</v>
      </c>
      <c r="F27" s="53" t="s">
        <v>107</v>
      </c>
      <c r="G27" s="53" t="s">
        <v>94</v>
      </c>
      <c r="H27" s="54">
        <v>86250000</v>
      </c>
      <c r="I27" s="54" t="s">
        <v>184</v>
      </c>
      <c r="J27" s="55">
        <v>47026323</v>
      </c>
      <c r="K27" s="43" t="s">
        <v>72</v>
      </c>
      <c r="L27" s="55" t="s">
        <v>267</v>
      </c>
      <c r="M27" s="45" t="s">
        <v>142</v>
      </c>
      <c r="N27" s="45"/>
      <c r="O27" s="77" t="s">
        <v>268</v>
      </c>
      <c r="P27" s="129">
        <v>45109</v>
      </c>
      <c r="Q27" s="122">
        <v>45139</v>
      </c>
      <c r="R27" s="130">
        <v>45139</v>
      </c>
      <c r="S27" s="131">
        <v>45169</v>
      </c>
      <c r="T27" s="129">
        <v>45169</v>
      </c>
      <c r="U27" s="122">
        <v>45312</v>
      </c>
      <c r="V27" s="130">
        <v>45575</v>
      </c>
      <c r="W27" s="131">
        <v>45643</v>
      </c>
      <c r="X27" s="123">
        <v>45692</v>
      </c>
      <c r="Y27" s="124">
        <v>45851</v>
      </c>
      <c r="Z27" s="103" t="s">
        <v>1391</v>
      </c>
      <c r="AA27" s="111" t="s">
        <v>1408</v>
      </c>
      <c r="AB27" s="116" t="s">
        <v>1409</v>
      </c>
      <c r="AC27" s="117" t="s">
        <v>1410</v>
      </c>
      <c r="AD27" s="114" t="s">
        <v>1411</v>
      </c>
      <c r="AE27" s="47" t="s">
        <v>1412</v>
      </c>
      <c r="AF27" s="8" t="s">
        <v>268</v>
      </c>
      <c r="AG27" s="28" t="s">
        <v>267</v>
      </c>
      <c r="AH27" s="28" t="s">
        <v>267</v>
      </c>
      <c r="AI27" s="9" t="s">
        <v>159</v>
      </c>
      <c r="AJ27" s="10">
        <v>45678</v>
      </c>
      <c r="AK27" s="9">
        <v>902250036</v>
      </c>
      <c r="AL27" s="10">
        <v>45686</v>
      </c>
      <c r="AM27" s="16" t="s">
        <v>267</v>
      </c>
      <c r="AN27" s="29" t="s">
        <v>146</v>
      </c>
      <c r="AO27" s="28" t="s">
        <v>185</v>
      </c>
      <c r="AP27" s="37">
        <v>47026322.997000001</v>
      </c>
      <c r="AQ27" s="38">
        <v>45692</v>
      </c>
      <c r="AR27" s="38">
        <v>45783</v>
      </c>
      <c r="AS27" s="9">
        <v>901250150</v>
      </c>
      <c r="AT27" s="9" t="s">
        <v>282</v>
      </c>
      <c r="AU27" s="38">
        <v>45851</v>
      </c>
      <c r="AV27" s="9"/>
    </row>
    <row r="28" spans="1:48" s="11" customFormat="1" ht="54.75" customHeight="1">
      <c r="A28" s="53" t="s">
        <v>283</v>
      </c>
      <c r="B28" s="57" t="s">
        <v>284</v>
      </c>
      <c r="C28" s="53" t="s">
        <v>68</v>
      </c>
      <c r="D28" s="53" t="s">
        <v>150</v>
      </c>
      <c r="E28" s="53" t="s">
        <v>81</v>
      </c>
      <c r="F28" s="53" t="s">
        <v>194</v>
      </c>
      <c r="G28" s="53" t="s">
        <v>94</v>
      </c>
      <c r="H28" s="54">
        <v>57500000</v>
      </c>
      <c r="I28" s="54" t="s">
        <v>181</v>
      </c>
      <c r="J28" s="55">
        <v>25754249.999999996</v>
      </c>
      <c r="K28" s="43" t="s">
        <v>72</v>
      </c>
      <c r="L28" s="55" t="s">
        <v>267</v>
      </c>
      <c r="M28" s="45" t="s">
        <v>142</v>
      </c>
      <c r="N28" s="45"/>
      <c r="O28" s="77" t="s">
        <v>268</v>
      </c>
      <c r="P28" s="129">
        <v>45109</v>
      </c>
      <c r="Q28" s="122">
        <v>45139</v>
      </c>
      <c r="R28" s="130">
        <v>45139</v>
      </c>
      <c r="S28" s="131">
        <v>45169</v>
      </c>
      <c r="T28" s="129">
        <v>45169</v>
      </c>
      <c r="U28" s="122">
        <v>45312</v>
      </c>
      <c r="V28" s="130">
        <v>45575</v>
      </c>
      <c r="W28" s="131">
        <v>45642</v>
      </c>
      <c r="X28" s="123">
        <v>45665</v>
      </c>
      <c r="Y28" s="124">
        <v>45900</v>
      </c>
      <c r="Z28" s="103" t="s">
        <v>1413</v>
      </c>
      <c r="AA28" s="111" t="s">
        <v>1414</v>
      </c>
      <c r="AB28" s="116" t="s">
        <v>1415</v>
      </c>
      <c r="AC28" s="117" t="s">
        <v>1416</v>
      </c>
      <c r="AD28" s="114" t="s">
        <v>1417</v>
      </c>
      <c r="AE28" s="47" t="s">
        <v>1418</v>
      </c>
      <c r="AF28" s="8" t="s">
        <v>268</v>
      </c>
      <c r="AG28" s="28" t="s">
        <v>267</v>
      </c>
      <c r="AH28" s="28" t="s">
        <v>267</v>
      </c>
      <c r="AI28" s="9" t="s">
        <v>159</v>
      </c>
      <c r="AJ28" s="10">
        <v>45655</v>
      </c>
      <c r="AK28" s="9">
        <v>902240704</v>
      </c>
      <c r="AL28" s="10">
        <v>45659</v>
      </c>
      <c r="AM28" s="16" t="s">
        <v>267</v>
      </c>
      <c r="AN28" s="29" t="s">
        <v>146</v>
      </c>
      <c r="AO28" s="28" t="s">
        <v>157</v>
      </c>
      <c r="AP28" s="37">
        <v>25754249.999999996</v>
      </c>
      <c r="AQ28" s="38">
        <v>45665</v>
      </c>
      <c r="AR28" s="38">
        <v>45827</v>
      </c>
      <c r="AS28" s="9">
        <v>901250200</v>
      </c>
      <c r="AT28" s="9" t="s">
        <v>285</v>
      </c>
      <c r="AU28" s="38">
        <v>45900</v>
      </c>
      <c r="AV28" s="9"/>
    </row>
    <row r="29" spans="1:48" s="11" customFormat="1" ht="54.75" hidden="1" customHeight="1">
      <c r="A29" s="53" t="s">
        <v>192</v>
      </c>
      <c r="B29" s="57" t="s">
        <v>193</v>
      </c>
      <c r="C29" s="53" t="s">
        <v>68</v>
      </c>
      <c r="D29" s="53" t="s">
        <v>150</v>
      </c>
      <c r="E29" s="53" t="s">
        <v>81</v>
      </c>
      <c r="F29" s="53" t="s">
        <v>194</v>
      </c>
      <c r="G29" s="53" t="s">
        <v>86</v>
      </c>
      <c r="H29" s="54">
        <v>34000000</v>
      </c>
      <c r="I29" s="54" t="s">
        <v>174</v>
      </c>
      <c r="J29" s="55">
        <v>56525880.999999993</v>
      </c>
      <c r="K29" s="43" t="s">
        <v>72</v>
      </c>
      <c r="L29" s="69" t="s">
        <v>157</v>
      </c>
      <c r="M29" s="45" t="s">
        <v>142</v>
      </c>
      <c r="N29" s="75" t="s">
        <v>87</v>
      </c>
      <c r="O29" s="77" t="s">
        <v>7</v>
      </c>
      <c r="P29" s="129">
        <v>45109</v>
      </c>
      <c r="Q29" s="122">
        <v>45139</v>
      </c>
      <c r="R29" s="130">
        <v>45139</v>
      </c>
      <c r="S29" s="131">
        <v>45169</v>
      </c>
      <c r="T29" s="129">
        <v>45169</v>
      </c>
      <c r="U29" s="122">
        <v>45312</v>
      </c>
      <c r="V29" s="130">
        <v>45575</v>
      </c>
      <c r="W29" s="131">
        <v>45643</v>
      </c>
      <c r="X29" s="123">
        <v>45706</v>
      </c>
      <c r="Y29" s="125"/>
      <c r="Z29" s="104"/>
      <c r="AA29" s="111"/>
      <c r="AB29" s="116"/>
      <c r="AC29" s="117"/>
      <c r="AD29" s="114"/>
      <c r="AE29" s="47"/>
      <c r="AF29" s="8" t="s">
        <v>7</v>
      </c>
      <c r="AG29" s="30" t="s">
        <v>157</v>
      </c>
      <c r="AH29" s="28" t="s">
        <v>158</v>
      </c>
      <c r="AI29" s="9" t="s">
        <v>159</v>
      </c>
      <c r="AJ29" s="10">
        <v>45651</v>
      </c>
      <c r="AK29" s="9" t="s">
        <v>160</v>
      </c>
      <c r="AL29" s="10">
        <v>45673</v>
      </c>
      <c r="AM29" s="16" t="s">
        <v>161</v>
      </c>
      <c r="AN29" s="29" t="s">
        <v>146</v>
      </c>
      <c r="AO29" s="28" t="s">
        <v>157</v>
      </c>
      <c r="AP29" s="37">
        <v>56525880.999999993</v>
      </c>
      <c r="AQ29" s="38">
        <v>45706</v>
      </c>
      <c r="AR29" s="38"/>
      <c r="AS29" s="9"/>
      <c r="AT29" s="9" t="s">
        <v>195</v>
      </c>
      <c r="AU29" s="38"/>
      <c r="AV29" s="9"/>
    </row>
    <row r="30" spans="1:48" s="11" customFormat="1" ht="54.75" hidden="1" customHeight="1">
      <c r="A30" s="53" t="s">
        <v>196</v>
      </c>
      <c r="B30" s="57" t="s">
        <v>197</v>
      </c>
      <c r="C30" s="53" t="s">
        <v>68</v>
      </c>
      <c r="D30" s="53" t="s">
        <v>150</v>
      </c>
      <c r="E30" s="53" t="s">
        <v>81</v>
      </c>
      <c r="F30" s="53" t="s">
        <v>107</v>
      </c>
      <c r="G30" s="53" t="s">
        <v>86</v>
      </c>
      <c r="H30" s="54">
        <v>74750000</v>
      </c>
      <c r="I30" s="54" t="s">
        <v>198</v>
      </c>
      <c r="J30" s="55">
        <v>172333443.19999999</v>
      </c>
      <c r="K30" s="43" t="s">
        <v>72</v>
      </c>
      <c r="L30" s="55" t="s">
        <v>199</v>
      </c>
      <c r="M30" s="45" t="s">
        <v>142</v>
      </c>
      <c r="N30" s="75" t="s">
        <v>87</v>
      </c>
      <c r="O30" s="77" t="s">
        <v>7</v>
      </c>
      <c r="P30" s="129">
        <v>45109</v>
      </c>
      <c r="Q30" s="122">
        <v>45139</v>
      </c>
      <c r="R30" s="130">
        <v>45139</v>
      </c>
      <c r="S30" s="131">
        <v>45169</v>
      </c>
      <c r="T30" s="129">
        <v>45169</v>
      </c>
      <c r="U30" s="122">
        <v>45312</v>
      </c>
      <c r="V30" s="130">
        <v>45575</v>
      </c>
      <c r="W30" s="131">
        <v>45683</v>
      </c>
      <c r="X30" s="123">
        <v>45707</v>
      </c>
      <c r="Y30" s="125"/>
      <c r="Z30" s="104"/>
      <c r="AA30" s="111"/>
      <c r="AB30" s="116"/>
      <c r="AC30" s="117"/>
      <c r="AD30" s="114"/>
      <c r="AE30" s="47"/>
      <c r="AF30" s="8" t="s">
        <v>7</v>
      </c>
      <c r="AG30" s="28" t="s">
        <v>199</v>
      </c>
      <c r="AH30" s="28" t="s">
        <v>158</v>
      </c>
      <c r="AI30" s="9" t="s">
        <v>159</v>
      </c>
      <c r="AJ30" s="10">
        <v>45697</v>
      </c>
      <c r="AK30" s="9" t="s">
        <v>160</v>
      </c>
      <c r="AL30" s="10">
        <v>45779</v>
      </c>
      <c r="AM30" s="40" t="s">
        <v>200</v>
      </c>
      <c r="AN30" s="29" t="s">
        <v>146</v>
      </c>
      <c r="AO30" s="28" t="s">
        <v>201</v>
      </c>
      <c r="AP30" s="37">
        <v>0</v>
      </c>
      <c r="AQ30" s="38">
        <v>45707</v>
      </c>
      <c r="AR30" s="38"/>
      <c r="AS30" s="9"/>
      <c r="AT30" s="9"/>
      <c r="AU30" s="38"/>
      <c r="AV30" s="9" t="s">
        <v>202</v>
      </c>
    </row>
    <row r="31" spans="1:48" s="11" customFormat="1" ht="54.75" hidden="1" customHeight="1">
      <c r="A31" s="53" t="s">
        <v>203</v>
      </c>
      <c r="B31" s="57" t="s">
        <v>204</v>
      </c>
      <c r="C31" s="53" t="s">
        <v>68</v>
      </c>
      <c r="D31" s="53" t="s">
        <v>150</v>
      </c>
      <c r="E31" s="53" t="s">
        <v>81</v>
      </c>
      <c r="F31" s="53" t="s">
        <v>81</v>
      </c>
      <c r="G31" s="53" t="s">
        <v>86</v>
      </c>
      <c r="H31" s="54">
        <v>48299999.999999993</v>
      </c>
      <c r="I31" s="54" t="s">
        <v>174</v>
      </c>
      <c r="J31" s="55">
        <v>55680637.899999999</v>
      </c>
      <c r="K31" s="43" t="s">
        <v>72</v>
      </c>
      <c r="L31" s="69" t="s">
        <v>157</v>
      </c>
      <c r="M31" s="45" t="s">
        <v>142</v>
      </c>
      <c r="N31" s="75" t="s">
        <v>87</v>
      </c>
      <c r="O31" s="77" t="s">
        <v>7</v>
      </c>
      <c r="P31" s="129">
        <v>45109</v>
      </c>
      <c r="Q31" s="122">
        <v>45139</v>
      </c>
      <c r="R31" s="130">
        <v>45139</v>
      </c>
      <c r="S31" s="131">
        <v>45169</v>
      </c>
      <c r="T31" s="129">
        <v>45169</v>
      </c>
      <c r="U31" s="122">
        <v>45312</v>
      </c>
      <c r="V31" s="130">
        <v>45575</v>
      </c>
      <c r="W31" s="131">
        <v>45664</v>
      </c>
      <c r="X31" s="123">
        <v>45707</v>
      </c>
      <c r="Y31" s="125"/>
      <c r="Z31" s="104"/>
      <c r="AA31" s="111"/>
      <c r="AB31" s="116"/>
      <c r="AC31" s="117"/>
      <c r="AD31" s="114"/>
      <c r="AE31" s="47"/>
      <c r="AF31" s="8" t="s">
        <v>7</v>
      </c>
      <c r="AG31" s="30" t="s">
        <v>157</v>
      </c>
      <c r="AH31" s="28" t="s">
        <v>158</v>
      </c>
      <c r="AI31" s="9" t="s">
        <v>159</v>
      </c>
      <c r="AJ31" s="10">
        <v>45697</v>
      </c>
      <c r="AK31" s="9" t="s">
        <v>160</v>
      </c>
      <c r="AL31" s="10">
        <v>45779</v>
      </c>
      <c r="AM31" s="16" t="s">
        <v>161</v>
      </c>
      <c r="AN31" s="29" t="s">
        <v>146</v>
      </c>
      <c r="AO31" s="28" t="s">
        <v>157</v>
      </c>
      <c r="AP31" s="37">
        <v>55680637.899999999</v>
      </c>
      <c r="AQ31" s="38">
        <v>45707</v>
      </c>
      <c r="AR31" s="38"/>
      <c r="AS31" s="9"/>
      <c r="AT31" s="9" t="s">
        <v>162</v>
      </c>
      <c r="AU31" s="38"/>
      <c r="AV31" s="9"/>
    </row>
    <row r="32" spans="1:48" s="11" customFormat="1" ht="54.75" hidden="1" customHeight="1">
      <c r="A32" s="53" t="s">
        <v>205</v>
      </c>
      <c r="B32" s="57" t="s">
        <v>206</v>
      </c>
      <c r="C32" s="53" t="s">
        <v>68</v>
      </c>
      <c r="D32" s="53" t="s">
        <v>165</v>
      </c>
      <c r="E32" s="53" t="s">
        <v>81</v>
      </c>
      <c r="F32" s="53" t="s">
        <v>114</v>
      </c>
      <c r="G32" s="53" t="s">
        <v>86</v>
      </c>
      <c r="H32" s="54">
        <v>57282649.999999993</v>
      </c>
      <c r="I32" s="54" t="e">
        <v>#N/A</v>
      </c>
      <c r="J32" s="55">
        <v>34688953.625</v>
      </c>
      <c r="K32" s="43" t="s">
        <v>72</v>
      </c>
      <c r="L32" s="70" t="s">
        <v>207</v>
      </c>
      <c r="M32" s="45" t="s">
        <v>142</v>
      </c>
      <c r="N32" s="75" t="s">
        <v>75</v>
      </c>
      <c r="O32" s="77" t="s">
        <v>7</v>
      </c>
      <c r="P32" s="129">
        <v>45109</v>
      </c>
      <c r="Q32" s="122">
        <v>45139</v>
      </c>
      <c r="R32" s="130">
        <v>45600</v>
      </c>
      <c r="S32" s="131">
        <v>45630</v>
      </c>
      <c r="T32" s="129" t="s">
        <v>527</v>
      </c>
      <c r="U32" s="122" t="s">
        <v>527</v>
      </c>
      <c r="V32" s="130">
        <v>45661</v>
      </c>
      <c r="W32" s="131">
        <v>45690</v>
      </c>
      <c r="X32" s="123">
        <v>45810</v>
      </c>
      <c r="Y32" s="125"/>
      <c r="Z32" s="104"/>
      <c r="AA32" s="111"/>
      <c r="AB32" s="116"/>
      <c r="AC32" s="117"/>
      <c r="AD32" s="114"/>
      <c r="AE32" s="47"/>
      <c r="AF32" s="8" t="s">
        <v>7</v>
      </c>
      <c r="AG32" s="28" t="s">
        <v>208</v>
      </c>
      <c r="AH32" s="28" t="s">
        <v>158</v>
      </c>
      <c r="AI32" s="9" t="s">
        <v>159</v>
      </c>
      <c r="AJ32" s="10">
        <v>45754</v>
      </c>
      <c r="AK32" s="9">
        <v>9002250193</v>
      </c>
      <c r="AL32" s="10">
        <v>45802</v>
      </c>
      <c r="AM32" s="28" t="s">
        <v>208</v>
      </c>
      <c r="AN32" s="29" t="s">
        <v>146</v>
      </c>
      <c r="AO32" s="28" t="s">
        <v>209</v>
      </c>
      <c r="AP32" s="37">
        <v>21792498.849999998</v>
      </c>
      <c r="AQ32" s="38">
        <v>45810</v>
      </c>
      <c r="AR32" s="38"/>
      <c r="AS32" s="9"/>
      <c r="AT32" s="9"/>
      <c r="AU32" s="38"/>
      <c r="AV32" s="9" t="s">
        <v>178</v>
      </c>
    </row>
    <row r="33" spans="1:48" s="11" customFormat="1" ht="54.75" hidden="1" customHeight="1">
      <c r="A33" s="53" t="s">
        <v>286</v>
      </c>
      <c r="B33" s="57" t="s">
        <v>287</v>
      </c>
      <c r="C33" s="53" t="s">
        <v>68</v>
      </c>
      <c r="D33" s="53" t="s">
        <v>150</v>
      </c>
      <c r="E33" s="53" t="s">
        <v>81</v>
      </c>
      <c r="F33" s="53" t="s">
        <v>110</v>
      </c>
      <c r="G33" s="53" t="s">
        <v>86</v>
      </c>
      <c r="H33" s="54">
        <v>28749999.999999996</v>
      </c>
      <c r="I33" s="54" t="s">
        <v>198</v>
      </c>
      <c r="J33" s="55">
        <v>21801222.75</v>
      </c>
      <c r="K33" s="43" t="s">
        <v>72</v>
      </c>
      <c r="L33" s="44" t="s">
        <v>267</v>
      </c>
      <c r="M33" s="45" t="s">
        <v>142</v>
      </c>
      <c r="N33" s="45"/>
      <c r="O33" s="77" t="s">
        <v>7</v>
      </c>
      <c r="P33" s="129">
        <v>45109</v>
      </c>
      <c r="Q33" s="122">
        <v>45139</v>
      </c>
      <c r="R33" s="130">
        <v>45139</v>
      </c>
      <c r="S33" s="131">
        <v>45169</v>
      </c>
      <c r="T33" s="129">
        <v>45169</v>
      </c>
      <c r="U33" s="122">
        <v>45312</v>
      </c>
      <c r="V33" s="130">
        <v>45575</v>
      </c>
      <c r="W33" s="131">
        <v>45700</v>
      </c>
      <c r="X33" s="123">
        <v>45789</v>
      </c>
      <c r="Y33" s="124">
        <v>45966</v>
      </c>
      <c r="Z33" s="104"/>
      <c r="AA33" s="111"/>
      <c r="AB33" s="116"/>
      <c r="AC33" s="117"/>
      <c r="AD33" s="114"/>
      <c r="AE33" s="47"/>
      <c r="AF33" s="8" t="s">
        <v>7</v>
      </c>
      <c r="AG33" s="32" t="s">
        <v>278</v>
      </c>
      <c r="AH33" s="28" t="s">
        <v>158</v>
      </c>
      <c r="AI33" s="9" t="s">
        <v>159</v>
      </c>
      <c r="AJ33" s="10">
        <v>45771</v>
      </c>
      <c r="AK33" s="9">
        <v>902250263</v>
      </c>
      <c r="AL33" s="10">
        <v>45771</v>
      </c>
      <c r="AM33" s="16" t="s">
        <v>279</v>
      </c>
      <c r="AN33" s="29" t="s">
        <v>146</v>
      </c>
      <c r="AO33" s="28" t="s">
        <v>279</v>
      </c>
      <c r="AP33" s="37">
        <v>21801222.75</v>
      </c>
      <c r="AQ33" s="38">
        <v>45789</v>
      </c>
      <c r="AR33" s="38">
        <v>45902</v>
      </c>
      <c r="AS33" s="9">
        <v>901250341</v>
      </c>
      <c r="AT33" s="9" t="s">
        <v>288</v>
      </c>
      <c r="AU33" s="38"/>
      <c r="AV33" s="9"/>
    </row>
    <row r="34" spans="1:48" s="11" customFormat="1" ht="54.75" customHeight="1">
      <c r="A34" s="53" t="s">
        <v>289</v>
      </c>
      <c r="B34" s="57" t="s">
        <v>290</v>
      </c>
      <c r="C34" s="53" t="s">
        <v>68</v>
      </c>
      <c r="D34" s="53" t="s">
        <v>165</v>
      </c>
      <c r="E34" s="53" t="s">
        <v>81</v>
      </c>
      <c r="F34" s="53" t="s">
        <v>114</v>
      </c>
      <c r="G34" s="53" t="s">
        <v>86</v>
      </c>
      <c r="H34" s="54">
        <v>63249999.999999993</v>
      </c>
      <c r="I34" s="54" t="e">
        <v>#N/A</v>
      </c>
      <c r="J34" s="55">
        <v>20790349.75</v>
      </c>
      <c r="K34" s="43" t="s">
        <v>72</v>
      </c>
      <c r="L34" s="55" t="s">
        <v>267</v>
      </c>
      <c r="M34" s="45" t="s">
        <v>142</v>
      </c>
      <c r="N34" s="45"/>
      <c r="O34" s="77" t="s">
        <v>268</v>
      </c>
      <c r="P34" s="129">
        <v>45109</v>
      </c>
      <c r="Q34" s="122">
        <v>45139</v>
      </c>
      <c r="R34" s="130">
        <v>45587</v>
      </c>
      <c r="S34" s="131">
        <v>45617</v>
      </c>
      <c r="T34" s="129" t="s">
        <v>527</v>
      </c>
      <c r="U34" s="122" t="s">
        <v>527</v>
      </c>
      <c r="V34" s="130">
        <v>45661</v>
      </c>
      <c r="W34" s="131">
        <v>45706</v>
      </c>
      <c r="X34" s="123">
        <v>45726</v>
      </c>
      <c r="Y34" s="124">
        <v>45888</v>
      </c>
      <c r="Z34" s="103" t="s">
        <v>1419</v>
      </c>
      <c r="AA34" s="111" t="s">
        <v>1420</v>
      </c>
      <c r="AB34" s="116" t="s">
        <v>1421</v>
      </c>
      <c r="AC34" s="117" t="s">
        <v>1420</v>
      </c>
      <c r="AD34" s="114" t="s">
        <v>1422</v>
      </c>
      <c r="AE34" s="47" t="s">
        <v>1423</v>
      </c>
      <c r="AF34" s="8" t="s">
        <v>268</v>
      </c>
      <c r="AG34" s="32" t="s">
        <v>267</v>
      </c>
      <c r="AH34" s="28" t="s">
        <v>267</v>
      </c>
      <c r="AI34" s="9" t="s">
        <v>159</v>
      </c>
      <c r="AJ34" s="10">
        <v>45715</v>
      </c>
      <c r="AK34" s="9">
        <v>902250144</v>
      </c>
      <c r="AL34" s="10">
        <v>45720</v>
      </c>
      <c r="AM34" s="16" t="s">
        <v>267</v>
      </c>
      <c r="AN34" s="29" t="s">
        <v>146</v>
      </c>
      <c r="AO34" s="28" t="s">
        <v>226</v>
      </c>
      <c r="AP34" s="37">
        <v>20790349.75</v>
      </c>
      <c r="AQ34" s="38">
        <v>45726</v>
      </c>
      <c r="AR34" s="38">
        <v>45830</v>
      </c>
      <c r="AS34" s="9">
        <v>901250201</v>
      </c>
      <c r="AT34" s="9" t="s">
        <v>291</v>
      </c>
      <c r="AU34" s="38">
        <v>45888</v>
      </c>
      <c r="AV34" s="9"/>
    </row>
    <row r="35" spans="1:48" s="11" customFormat="1" ht="54.75" hidden="1" customHeight="1">
      <c r="A35" s="56" t="s">
        <v>210</v>
      </c>
      <c r="B35" s="57" t="s">
        <v>211</v>
      </c>
      <c r="C35" s="53" t="s">
        <v>68</v>
      </c>
      <c r="D35" s="53" t="s">
        <v>150</v>
      </c>
      <c r="E35" s="53" t="s">
        <v>81</v>
      </c>
      <c r="F35" s="53" t="s">
        <v>107</v>
      </c>
      <c r="G35" s="53" t="s">
        <v>86</v>
      </c>
      <c r="H35" s="54">
        <v>34500000</v>
      </c>
      <c r="I35" s="54" t="s">
        <v>198</v>
      </c>
      <c r="J35" s="55">
        <v>116758476.5</v>
      </c>
      <c r="K35" s="43" t="s">
        <v>72</v>
      </c>
      <c r="L35" s="55" t="s">
        <v>212</v>
      </c>
      <c r="M35" s="45" t="s">
        <v>142</v>
      </c>
      <c r="N35" s="75" t="s">
        <v>87</v>
      </c>
      <c r="O35" s="77" t="s">
        <v>7</v>
      </c>
      <c r="P35" s="129">
        <v>45109</v>
      </c>
      <c r="Q35" s="122">
        <v>45139</v>
      </c>
      <c r="R35" s="130">
        <v>45139</v>
      </c>
      <c r="S35" s="131">
        <v>45169</v>
      </c>
      <c r="T35" s="129">
        <v>45169</v>
      </c>
      <c r="U35" s="122">
        <v>45312</v>
      </c>
      <c r="V35" s="130">
        <v>45575</v>
      </c>
      <c r="W35" s="131">
        <v>45693</v>
      </c>
      <c r="X35" s="123">
        <v>45847</v>
      </c>
      <c r="Y35" s="125"/>
      <c r="Z35" s="104"/>
      <c r="AA35" s="111"/>
      <c r="AB35" s="116"/>
      <c r="AC35" s="117"/>
      <c r="AD35" s="114"/>
      <c r="AE35" s="47"/>
      <c r="AF35" s="8" t="s">
        <v>7</v>
      </c>
      <c r="AG35" s="28" t="s">
        <v>212</v>
      </c>
      <c r="AH35" s="28" t="s">
        <v>158</v>
      </c>
      <c r="AI35" s="9" t="s">
        <v>159</v>
      </c>
      <c r="AJ35" s="10">
        <v>45694</v>
      </c>
      <c r="AK35" s="9" t="s">
        <v>160</v>
      </c>
      <c r="AL35" s="10">
        <v>45701</v>
      </c>
      <c r="AM35" s="16" t="s">
        <v>213</v>
      </c>
      <c r="AN35" s="29" t="s">
        <v>146</v>
      </c>
      <c r="AO35" s="28" t="s">
        <v>185</v>
      </c>
      <c r="AP35" s="37">
        <v>0</v>
      </c>
      <c r="AQ35" s="38">
        <v>45847</v>
      </c>
      <c r="AR35" s="38"/>
      <c r="AS35" s="9"/>
      <c r="AT35" s="9"/>
      <c r="AU35" s="38"/>
      <c r="AV35" s="9"/>
    </row>
    <row r="36" spans="1:48" s="11" customFormat="1" ht="54.75" hidden="1" customHeight="1">
      <c r="A36" s="53" t="s">
        <v>214</v>
      </c>
      <c r="B36" s="57" t="s">
        <v>215</v>
      </c>
      <c r="C36" s="53" t="s">
        <v>68</v>
      </c>
      <c r="D36" s="53" t="s">
        <v>150</v>
      </c>
      <c r="E36" s="53" t="s">
        <v>81</v>
      </c>
      <c r="F36" s="53" t="s">
        <v>191</v>
      </c>
      <c r="G36" s="53" t="s">
        <v>86</v>
      </c>
      <c r="H36" s="54">
        <v>43700000</v>
      </c>
      <c r="I36" s="54" t="s">
        <v>174</v>
      </c>
      <c r="J36" s="55">
        <v>64047339.850000001</v>
      </c>
      <c r="K36" s="43" t="s">
        <v>72</v>
      </c>
      <c r="L36" s="69" t="s">
        <v>157</v>
      </c>
      <c r="M36" s="45" t="s">
        <v>142</v>
      </c>
      <c r="N36" s="75" t="s">
        <v>75</v>
      </c>
      <c r="O36" s="77" t="s">
        <v>7</v>
      </c>
      <c r="P36" s="129">
        <v>45109</v>
      </c>
      <c r="Q36" s="122">
        <v>45139</v>
      </c>
      <c r="R36" s="130">
        <v>45139</v>
      </c>
      <c r="S36" s="131">
        <v>45169</v>
      </c>
      <c r="T36" s="129">
        <v>45169</v>
      </c>
      <c r="U36" s="122">
        <v>45312</v>
      </c>
      <c r="V36" s="130">
        <v>45575</v>
      </c>
      <c r="W36" s="131">
        <v>45705</v>
      </c>
      <c r="X36" s="123">
        <v>45761</v>
      </c>
      <c r="Y36" s="125"/>
      <c r="Z36" s="104"/>
      <c r="AA36" s="111"/>
      <c r="AB36" s="116"/>
      <c r="AC36" s="117"/>
      <c r="AD36" s="114"/>
      <c r="AE36" s="47"/>
      <c r="AF36" s="8" t="s">
        <v>7</v>
      </c>
      <c r="AG36" s="30" t="s">
        <v>157</v>
      </c>
      <c r="AH36" s="28" t="s">
        <v>158</v>
      </c>
      <c r="AI36" s="9" t="s">
        <v>159</v>
      </c>
      <c r="AJ36" s="10">
        <v>45713</v>
      </c>
      <c r="AK36" s="9" t="s">
        <v>160</v>
      </c>
      <c r="AL36" s="10">
        <v>45738</v>
      </c>
      <c r="AM36" s="16" t="s">
        <v>161</v>
      </c>
      <c r="AN36" s="29" t="s">
        <v>146</v>
      </c>
      <c r="AO36" s="28" t="s">
        <v>157</v>
      </c>
      <c r="AP36" s="37">
        <v>64047339.849999994</v>
      </c>
      <c r="AQ36" s="38">
        <v>45761</v>
      </c>
      <c r="AR36" s="38"/>
      <c r="AS36" s="9"/>
      <c r="AT36" s="9" t="s">
        <v>167</v>
      </c>
      <c r="AU36" s="38"/>
      <c r="AV36" s="9"/>
    </row>
    <row r="37" spans="1:48" s="11" customFormat="1" ht="54.75" hidden="1" customHeight="1">
      <c r="A37" s="53" t="s">
        <v>216</v>
      </c>
      <c r="B37" s="57" t="s">
        <v>217</v>
      </c>
      <c r="C37" s="53" t="s">
        <v>68</v>
      </c>
      <c r="D37" s="53" t="s">
        <v>150</v>
      </c>
      <c r="E37" s="53" t="s">
        <v>81</v>
      </c>
      <c r="F37" s="53" t="s">
        <v>166</v>
      </c>
      <c r="G37" s="53" t="s">
        <v>86</v>
      </c>
      <c r="H37" s="54">
        <v>87745000</v>
      </c>
      <c r="I37" s="54" t="s">
        <v>218</v>
      </c>
      <c r="J37" s="55">
        <v>87745000</v>
      </c>
      <c r="K37" s="43" t="s">
        <v>72</v>
      </c>
      <c r="L37" s="55" t="s">
        <v>219</v>
      </c>
      <c r="M37" s="45" t="s">
        <v>142</v>
      </c>
      <c r="N37" s="75" t="s">
        <v>75</v>
      </c>
      <c r="O37" s="77" t="s">
        <v>7</v>
      </c>
      <c r="P37" s="129">
        <v>45109</v>
      </c>
      <c r="Q37" s="122">
        <v>45139</v>
      </c>
      <c r="R37" s="130">
        <v>45139</v>
      </c>
      <c r="S37" s="131">
        <v>45169</v>
      </c>
      <c r="T37" s="129">
        <v>45169</v>
      </c>
      <c r="U37" s="122">
        <v>45312</v>
      </c>
      <c r="V37" s="130">
        <v>45692</v>
      </c>
      <c r="W37" s="131">
        <v>45732</v>
      </c>
      <c r="X37" s="123">
        <v>45792</v>
      </c>
      <c r="Y37" s="125"/>
      <c r="Z37" s="104"/>
      <c r="AA37" s="111"/>
      <c r="AB37" s="116"/>
      <c r="AC37" s="117"/>
      <c r="AD37" s="114"/>
      <c r="AE37" s="47"/>
      <c r="AF37" s="8" t="s">
        <v>7</v>
      </c>
      <c r="AG37" s="28" t="s">
        <v>208</v>
      </c>
      <c r="AH37" s="28" t="s">
        <v>158</v>
      </c>
      <c r="AI37" s="9" t="s">
        <v>159</v>
      </c>
      <c r="AJ37" s="10">
        <v>45775</v>
      </c>
      <c r="AK37" s="9">
        <v>902250284</v>
      </c>
      <c r="AL37" s="10">
        <v>45782</v>
      </c>
      <c r="AM37" s="28" t="s">
        <v>208</v>
      </c>
      <c r="AN37" s="29" t="s">
        <v>146</v>
      </c>
      <c r="AO37" s="28" t="s">
        <v>185</v>
      </c>
      <c r="AP37" s="37">
        <v>0</v>
      </c>
      <c r="AQ37" s="38">
        <v>45792</v>
      </c>
      <c r="AR37" s="38"/>
      <c r="AS37" s="9"/>
      <c r="AT37" s="9"/>
      <c r="AU37" s="38"/>
      <c r="AV37" s="9"/>
    </row>
    <row r="38" spans="1:48" s="11" customFormat="1" ht="54.75" hidden="1" customHeight="1">
      <c r="A38" s="56" t="s">
        <v>468</v>
      </c>
      <c r="B38" s="57" t="s">
        <v>469</v>
      </c>
      <c r="C38" s="53" t="s">
        <v>68</v>
      </c>
      <c r="D38" s="53" t="s">
        <v>137</v>
      </c>
      <c r="E38" s="53" t="s">
        <v>395</v>
      </c>
      <c r="F38" s="53" t="s">
        <v>395</v>
      </c>
      <c r="G38" s="53" t="s">
        <v>94</v>
      </c>
      <c r="H38" s="54">
        <v>97749999.999999985</v>
      </c>
      <c r="I38" s="54" t="s">
        <v>156</v>
      </c>
      <c r="J38" s="55">
        <v>253939383.47999999</v>
      </c>
      <c r="K38" s="43" t="s">
        <v>72</v>
      </c>
      <c r="L38" s="55" t="s">
        <v>157</v>
      </c>
      <c r="M38" s="45" t="s">
        <v>142</v>
      </c>
      <c r="N38" s="75" t="s">
        <v>87</v>
      </c>
      <c r="O38" s="77" t="s">
        <v>7</v>
      </c>
      <c r="P38" s="129">
        <v>45109</v>
      </c>
      <c r="Q38" s="122">
        <v>45139</v>
      </c>
      <c r="R38" s="130">
        <v>45139</v>
      </c>
      <c r="S38" s="131">
        <v>45169</v>
      </c>
      <c r="T38" s="129">
        <v>45169</v>
      </c>
      <c r="U38" s="122">
        <v>45313</v>
      </c>
      <c r="V38" s="130">
        <v>45400</v>
      </c>
      <c r="W38" s="131">
        <v>45739</v>
      </c>
      <c r="X38" s="123">
        <v>45771</v>
      </c>
      <c r="Y38" s="125"/>
      <c r="Z38" s="104"/>
      <c r="AA38" s="111"/>
      <c r="AB38" s="116"/>
      <c r="AC38" s="117"/>
      <c r="AD38" s="114"/>
      <c r="AE38" s="47"/>
      <c r="AF38" s="8" t="s">
        <v>7</v>
      </c>
      <c r="AG38" s="28" t="s">
        <v>212</v>
      </c>
      <c r="AH38" s="28" t="s">
        <v>158</v>
      </c>
      <c r="AI38" s="9" t="s">
        <v>159</v>
      </c>
      <c r="AJ38" s="10">
        <v>45754</v>
      </c>
      <c r="AK38" s="9">
        <v>0</v>
      </c>
      <c r="AL38" s="10">
        <v>45761</v>
      </c>
      <c r="AM38" s="16" t="s">
        <v>470</v>
      </c>
      <c r="AN38" s="29" t="s">
        <v>146</v>
      </c>
      <c r="AO38" s="28" t="s">
        <v>185</v>
      </c>
      <c r="AP38" s="37">
        <v>0</v>
      </c>
      <c r="AQ38" s="38">
        <v>45771</v>
      </c>
      <c r="AR38" s="38"/>
      <c r="AS38" s="9"/>
      <c r="AT38" s="9"/>
      <c r="AU38" s="38"/>
      <c r="AV38" s="9"/>
    </row>
    <row r="39" spans="1:48" s="11" customFormat="1" ht="54.75" hidden="1" customHeight="1">
      <c r="A39" s="53" t="s">
        <v>471</v>
      </c>
      <c r="B39" s="57" t="s">
        <v>472</v>
      </c>
      <c r="C39" s="53" t="s">
        <v>68</v>
      </c>
      <c r="D39" s="53" t="s">
        <v>165</v>
      </c>
      <c r="E39" s="53" t="s">
        <v>395</v>
      </c>
      <c r="F39" s="53" t="s">
        <v>395</v>
      </c>
      <c r="G39" s="53" t="s">
        <v>86</v>
      </c>
      <c r="H39" s="54">
        <v>25300000</v>
      </c>
      <c r="I39" s="54" t="e">
        <v>#N/A</v>
      </c>
      <c r="J39" s="55">
        <v>25300000</v>
      </c>
      <c r="K39" s="43" t="s">
        <v>72</v>
      </c>
      <c r="L39" s="61" t="s">
        <v>473</v>
      </c>
      <c r="M39" s="68" t="s">
        <v>74</v>
      </c>
      <c r="N39" s="68"/>
      <c r="O39" s="77" t="s">
        <v>7</v>
      </c>
      <c r="P39" s="87">
        <v>45622</v>
      </c>
      <c r="Q39" s="88">
        <v>45652</v>
      </c>
      <c r="R39" s="81">
        <v>45652</v>
      </c>
      <c r="S39" s="89">
        <v>45676</v>
      </c>
      <c r="T39" s="94" t="s">
        <v>527</v>
      </c>
      <c r="U39" s="95" t="s">
        <v>527</v>
      </c>
      <c r="V39" s="81">
        <v>45701</v>
      </c>
      <c r="W39" s="89">
        <v>45739</v>
      </c>
      <c r="X39" s="107">
        <v>45831</v>
      </c>
      <c r="Y39" s="109"/>
      <c r="Z39" s="104"/>
      <c r="AA39" s="111"/>
      <c r="AB39" s="116"/>
      <c r="AC39" s="117"/>
      <c r="AD39" s="114"/>
      <c r="AE39" s="47"/>
      <c r="AF39" s="8" t="s">
        <v>7</v>
      </c>
      <c r="AG39" s="32" t="s">
        <v>473</v>
      </c>
      <c r="AH39" s="23" t="s">
        <v>74</v>
      </c>
      <c r="AI39" s="9" t="s">
        <v>159</v>
      </c>
      <c r="AJ39" s="10"/>
      <c r="AK39" s="12">
        <v>602250218</v>
      </c>
      <c r="AL39" s="10">
        <v>45797</v>
      </c>
      <c r="AM39" s="16" t="s">
        <v>474</v>
      </c>
      <c r="AN39" s="29" t="s">
        <v>78</v>
      </c>
      <c r="AO39" s="28" t="s">
        <v>157</v>
      </c>
      <c r="AP39" s="37"/>
      <c r="AQ39" s="38">
        <v>45831</v>
      </c>
      <c r="AR39" s="38"/>
      <c r="AS39" s="9">
        <v>0</v>
      </c>
      <c r="AT39" s="9">
        <v>0</v>
      </c>
      <c r="AU39" s="38"/>
      <c r="AV39" s="9"/>
    </row>
    <row r="40" spans="1:48" s="11" customFormat="1" ht="54.75" hidden="1" customHeight="1">
      <c r="A40" s="53" t="s">
        <v>220</v>
      </c>
      <c r="B40" s="57" t="s">
        <v>221</v>
      </c>
      <c r="C40" s="53" t="s">
        <v>68</v>
      </c>
      <c r="D40" s="53" t="s">
        <v>137</v>
      </c>
      <c r="E40" s="53" t="s">
        <v>81</v>
      </c>
      <c r="F40" s="53" t="s">
        <v>114</v>
      </c>
      <c r="G40" s="53" t="s">
        <v>94</v>
      </c>
      <c r="H40" s="54">
        <v>97749999.999999985</v>
      </c>
      <c r="I40" s="54" t="s">
        <v>222</v>
      </c>
      <c r="J40" s="55">
        <v>157324356.13099998</v>
      </c>
      <c r="K40" s="43" t="s">
        <v>72</v>
      </c>
      <c r="L40" s="70" t="s">
        <v>223</v>
      </c>
      <c r="M40" s="45" t="s">
        <v>142</v>
      </c>
      <c r="N40" s="75" t="s">
        <v>87</v>
      </c>
      <c r="O40" s="77" t="s">
        <v>7</v>
      </c>
      <c r="P40" s="129">
        <v>45109</v>
      </c>
      <c r="Q40" s="122">
        <v>45139</v>
      </c>
      <c r="R40" s="130">
        <v>45139</v>
      </c>
      <c r="S40" s="131">
        <v>45169</v>
      </c>
      <c r="T40" s="129">
        <v>45169</v>
      </c>
      <c r="U40" s="122">
        <v>45313</v>
      </c>
      <c r="V40" s="130">
        <v>45648</v>
      </c>
      <c r="W40" s="131">
        <v>45739</v>
      </c>
      <c r="X40" s="123">
        <v>45771</v>
      </c>
      <c r="Y40" s="125"/>
      <c r="Z40" s="104"/>
      <c r="AA40" s="111"/>
      <c r="AB40" s="116"/>
      <c r="AC40" s="117"/>
      <c r="AD40" s="114"/>
      <c r="AE40" s="47"/>
      <c r="AF40" s="8" t="s">
        <v>7</v>
      </c>
      <c r="AG40" s="28" t="s">
        <v>223</v>
      </c>
      <c r="AH40" s="28" t="s">
        <v>158</v>
      </c>
      <c r="AI40" s="9" t="s">
        <v>159</v>
      </c>
      <c r="AJ40" s="10">
        <v>45754</v>
      </c>
      <c r="AK40" s="9">
        <v>0</v>
      </c>
      <c r="AL40" s="10">
        <v>45761</v>
      </c>
      <c r="AM40" s="16" t="s">
        <v>213</v>
      </c>
      <c r="AN40" s="29" t="s">
        <v>146</v>
      </c>
      <c r="AO40" s="28" t="s">
        <v>185</v>
      </c>
      <c r="AP40" s="37">
        <v>0</v>
      </c>
      <c r="AQ40" s="38">
        <v>45771</v>
      </c>
      <c r="AR40" s="38"/>
      <c r="AS40" s="9"/>
      <c r="AT40" s="9"/>
      <c r="AU40" s="38"/>
      <c r="AV40" s="9" t="s">
        <v>178</v>
      </c>
    </row>
    <row r="41" spans="1:48" s="11" customFormat="1" ht="54.75" hidden="1" customHeight="1">
      <c r="A41" s="53" t="s">
        <v>224</v>
      </c>
      <c r="B41" s="57" t="s">
        <v>225</v>
      </c>
      <c r="C41" s="53" t="s">
        <v>68</v>
      </c>
      <c r="D41" s="53" t="s">
        <v>165</v>
      </c>
      <c r="E41" s="53" t="s">
        <v>81</v>
      </c>
      <c r="F41" s="53" t="s">
        <v>191</v>
      </c>
      <c r="G41" s="53" t="s">
        <v>86</v>
      </c>
      <c r="H41" s="54">
        <v>19550000</v>
      </c>
      <c r="I41" s="54" t="e">
        <v>#N/A</v>
      </c>
      <c r="J41" s="55">
        <v>19550000</v>
      </c>
      <c r="K41" s="43" t="s">
        <v>72</v>
      </c>
      <c r="L41" s="55" t="s">
        <v>226</v>
      </c>
      <c r="M41" s="45" t="s">
        <v>142</v>
      </c>
      <c r="N41" s="75" t="s">
        <v>75</v>
      </c>
      <c r="O41" s="77" t="s">
        <v>7</v>
      </c>
      <c r="P41" s="129">
        <v>45691</v>
      </c>
      <c r="Q41" s="122">
        <v>45721</v>
      </c>
      <c r="R41" s="130">
        <v>45721</v>
      </c>
      <c r="S41" s="131">
        <v>45741</v>
      </c>
      <c r="T41" s="129" t="s">
        <v>527</v>
      </c>
      <c r="U41" s="122" t="s">
        <v>527</v>
      </c>
      <c r="V41" s="130">
        <v>45760</v>
      </c>
      <c r="W41" s="131">
        <v>45805</v>
      </c>
      <c r="X41" s="123">
        <v>45897</v>
      </c>
      <c r="Y41" s="125"/>
      <c r="Z41" s="104"/>
      <c r="AA41" s="111"/>
      <c r="AB41" s="116"/>
      <c r="AC41" s="117"/>
      <c r="AD41" s="114"/>
      <c r="AE41" s="47"/>
      <c r="AF41" s="8" t="s">
        <v>7</v>
      </c>
      <c r="AG41" s="28" t="s">
        <v>226</v>
      </c>
      <c r="AH41" s="28" t="s">
        <v>158</v>
      </c>
      <c r="AI41" s="9" t="s">
        <v>159</v>
      </c>
      <c r="AJ41" s="10">
        <v>45848</v>
      </c>
      <c r="AK41" s="9" t="s">
        <v>160</v>
      </c>
      <c r="AL41" s="10">
        <v>45860</v>
      </c>
      <c r="AM41" s="16" t="s">
        <v>227</v>
      </c>
      <c r="AN41" s="29" t="s">
        <v>146</v>
      </c>
      <c r="AO41" s="28" t="s">
        <v>226</v>
      </c>
      <c r="AP41" s="37">
        <v>0</v>
      </c>
      <c r="AQ41" s="38">
        <v>45897</v>
      </c>
      <c r="AR41" s="38"/>
      <c r="AS41" s="9"/>
      <c r="AT41" s="9"/>
      <c r="AU41" s="38"/>
      <c r="AV41" s="9"/>
    </row>
    <row r="42" spans="1:48" s="11" customFormat="1" ht="54.75" hidden="1" customHeight="1">
      <c r="A42" s="53" t="s">
        <v>475</v>
      </c>
      <c r="B42" s="57" t="s">
        <v>476</v>
      </c>
      <c r="C42" s="53" t="s">
        <v>68</v>
      </c>
      <c r="D42" s="53" t="s">
        <v>137</v>
      </c>
      <c r="E42" s="53" t="s">
        <v>395</v>
      </c>
      <c r="F42" s="53" t="s">
        <v>411</v>
      </c>
      <c r="G42" s="53" t="s">
        <v>86</v>
      </c>
      <c r="H42" s="54">
        <v>43700000</v>
      </c>
      <c r="I42" s="54" t="s">
        <v>258</v>
      </c>
      <c r="J42" s="55">
        <v>43700000</v>
      </c>
      <c r="K42" s="43" t="s">
        <v>72</v>
      </c>
      <c r="L42" s="55" t="s">
        <v>207</v>
      </c>
      <c r="M42" s="45" t="s">
        <v>142</v>
      </c>
      <c r="N42" s="75" t="s">
        <v>75</v>
      </c>
      <c r="O42" s="77" t="s">
        <v>7</v>
      </c>
      <c r="P42" s="129">
        <v>45109</v>
      </c>
      <c r="Q42" s="122">
        <v>45139</v>
      </c>
      <c r="R42" s="130">
        <v>45139</v>
      </c>
      <c r="S42" s="131">
        <v>45169</v>
      </c>
      <c r="T42" s="129">
        <v>45169</v>
      </c>
      <c r="U42" s="122">
        <v>45313</v>
      </c>
      <c r="V42" s="130">
        <v>45370</v>
      </c>
      <c r="W42" s="131">
        <v>45805</v>
      </c>
      <c r="X42" s="123">
        <v>45894</v>
      </c>
      <c r="Y42" s="125"/>
      <c r="Z42" s="104"/>
      <c r="AA42" s="111"/>
      <c r="AB42" s="116"/>
      <c r="AC42" s="117"/>
      <c r="AD42" s="114"/>
      <c r="AE42" s="47"/>
      <c r="AF42" s="8" t="s">
        <v>7</v>
      </c>
      <c r="AG42" s="28" t="s">
        <v>226</v>
      </c>
      <c r="AH42" s="28" t="s">
        <v>158</v>
      </c>
      <c r="AI42" s="9" t="s">
        <v>159</v>
      </c>
      <c r="AJ42" s="10">
        <v>45848</v>
      </c>
      <c r="AK42" s="9" t="s">
        <v>160</v>
      </c>
      <c r="AL42" s="10">
        <v>45860</v>
      </c>
      <c r="AM42" s="16" t="s">
        <v>477</v>
      </c>
      <c r="AN42" s="29" t="s">
        <v>146</v>
      </c>
      <c r="AO42" s="28" t="s">
        <v>226</v>
      </c>
      <c r="AP42" s="37">
        <v>0</v>
      </c>
      <c r="AQ42" s="38">
        <v>45894</v>
      </c>
      <c r="AR42" s="38"/>
      <c r="AS42" s="9"/>
      <c r="AT42" s="9"/>
      <c r="AU42" s="38"/>
      <c r="AV42" s="9"/>
    </row>
    <row r="43" spans="1:48" s="11" customFormat="1" ht="93.75" hidden="1" customHeight="1">
      <c r="A43" s="53" t="s">
        <v>228</v>
      </c>
      <c r="B43" s="57" t="s">
        <v>229</v>
      </c>
      <c r="C43" s="53" t="s">
        <v>68</v>
      </c>
      <c r="D43" s="53" t="s">
        <v>165</v>
      </c>
      <c r="E43" s="53" t="s">
        <v>81</v>
      </c>
      <c r="F43" s="53" t="s">
        <v>81</v>
      </c>
      <c r="G43" s="53" t="s">
        <v>94</v>
      </c>
      <c r="H43" s="54">
        <v>69000000</v>
      </c>
      <c r="I43" s="54" t="e">
        <v>#N/A</v>
      </c>
      <c r="J43" s="55">
        <v>69000000</v>
      </c>
      <c r="K43" s="43" t="s">
        <v>72</v>
      </c>
      <c r="L43" s="55" t="s">
        <v>230</v>
      </c>
      <c r="M43" s="45" t="s">
        <v>142</v>
      </c>
      <c r="N43" s="75" t="s">
        <v>75</v>
      </c>
      <c r="O43" s="77" t="s">
        <v>7</v>
      </c>
      <c r="P43" s="129">
        <v>45710</v>
      </c>
      <c r="Q43" s="122">
        <v>45740</v>
      </c>
      <c r="R43" s="130">
        <v>45740</v>
      </c>
      <c r="S43" s="131">
        <v>45760</v>
      </c>
      <c r="T43" s="129" t="s">
        <v>527</v>
      </c>
      <c r="U43" s="122" t="s">
        <v>527</v>
      </c>
      <c r="V43" s="130">
        <v>45788</v>
      </c>
      <c r="W43" s="131">
        <v>45804</v>
      </c>
      <c r="X43" s="123">
        <v>45875</v>
      </c>
      <c r="Y43" s="125"/>
      <c r="Z43" s="104"/>
      <c r="AA43" s="111"/>
      <c r="AB43" s="116"/>
      <c r="AC43" s="117"/>
      <c r="AD43" s="114"/>
      <c r="AE43" s="47"/>
      <c r="AF43" s="8" t="s">
        <v>7</v>
      </c>
      <c r="AG43" s="28" t="s">
        <v>230</v>
      </c>
      <c r="AH43" s="28" t="s">
        <v>158</v>
      </c>
      <c r="AI43" s="9" t="s">
        <v>159</v>
      </c>
      <c r="AJ43" s="10">
        <v>45854</v>
      </c>
      <c r="AK43" s="9">
        <v>902250414</v>
      </c>
      <c r="AL43" s="10">
        <v>45866</v>
      </c>
      <c r="AM43" s="16" t="s">
        <v>231</v>
      </c>
      <c r="AN43" s="29" t="s">
        <v>146</v>
      </c>
      <c r="AO43" s="28" t="s">
        <v>201</v>
      </c>
      <c r="AP43" s="37">
        <v>0</v>
      </c>
      <c r="AQ43" s="38">
        <v>45875</v>
      </c>
      <c r="AR43" s="38"/>
      <c r="AS43" s="9"/>
      <c r="AT43" s="9"/>
      <c r="AU43" s="38"/>
      <c r="AV43" s="9"/>
    </row>
    <row r="44" spans="1:48" s="11" customFormat="1" ht="54.75" hidden="1" customHeight="1">
      <c r="A44" s="56" t="s">
        <v>232</v>
      </c>
      <c r="B44" s="57" t="s">
        <v>233</v>
      </c>
      <c r="C44" s="53" t="s">
        <v>68</v>
      </c>
      <c r="D44" s="53" t="s">
        <v>137</v>
      </c>
      <c r="E44" s="53" t="s">
        <v>81</v>
      </c>
      <c r="F44" s="53" t="s">
        <v>81</v>
      </c>
      <c r="G44" s="53" t="s">
        <v>94</v>
      </c>
      <c r="H44" s="54">
        <v>28749999.999999996</v>
      </c>
      <c r="I44" s="54" t="s">
        <v>234</v>
      </c>
      <c r="J44" s="55">
        <v>28749999.999999996</v>
      </c>
      <c r="K44" s="43" t="s">
        <v>72</v>
      </c>
      <c r="L44" s="55" t="s">
        <v>175</v>
      </c>
      <c r="M44" s="45" t="s">
        <v>142</v>
      </c>
      <c r="N44" s="75" t="s">
        <v>111</v>
      </c>
      <c r="O44" s="77" t="s">
        <v>7</v>
      </c>
      <c r="P44" s="129">
        <v>45109</v>
      </c>
      <c r="Q44" s="122">
        <v>45139</v>
      </c>
      <c r="R44" s="130">
        <v>45139</v>
      </c>
      <c r="S44" s="131">
        <v>45169</v>
      </c>
      <c r="T44" s="129">
        <v>45169</v>
      </c>
      <c r="U44" s="122">
        <v>45313</v>
      </c>
      <c r="V44" s="130">
        <v>45848</v>
      </c>
      <c r="W44" s="131">
        <v>45916</v>
      </c>
      <c r="X44" s="126"/>
      <c r="Y44" s="125"/>
      <c r="Z44" s="104"/>
      <c r="AA44" s="111"/>
      <c r="AB44" s="116"/>
      <c r="AC44" s="117"/>
      <c r="AD44" s="114"/>
      <c r="AE44" s="47"/>
      <c r="AF44" s="8" t="s">
        <v>7</v>
      </c>
      <c r="AG44" s="28" t="s">
        <v>175</v>
      </c>
      <c r="AH44" s="28" t="s">
        <v>158</v>
      </c>
      <c r="AI44" s="9" t="s">
        <v>76</v>
      </c>
      <c r="AJ44" s="10"/>
      <c r="AK44" s="9" t="s">
        <v>160</v>
      </c>
      <c r="AL44" s="10"/>
      <c r="AM44" s="16" t="s">
        <v>235</v>
      </c>
      <c r="AN44" s="29" t="s">
        <v>146</v>
      </c>
      <c r="AO44" s="28" t="s">
        <v>236</v>
      </c>
      <c r="AP44" s="37">
        <v>0</v>
      </c>
      <c r="AQ44" s="38"/>
      <c r="AR44" s="38"/>
      <c r="AS44" s="9"/>
      <c r="AT44" s="9"/>
      <c r="AU44" s="38"/>
      <c r="AV44" s="9" t="s">
        <v>178</v>
      </c>
    </row>
    <row r="45" spans="1:48" s="11" customFormat="1" ht="54.75" hidden="1" customHeight="1">
      <c r="A45" s="58" t="s">
        <v>478</v>
      </c>
      <c r="B45" s="57" t="s">
        <v>479</v>
      </c>
      <c r="C45" s="53" t="s">
        <v>68</v>
      </c>
      <c r="D45" s="53" t="s">
        <v>165</v>
      </c>
      <c r="E45" s="53" t="s">
        <v>395</v>
      </c>
      <c r="F45" s="53" t="s">
        <v>424</v>
      </c>
      <c r="G45" s="53" t="s">
        <v>94</v>
      </c>
      <c r="H45" s="59">
        <v>22000000</v>
      </c>
      <c r="I45" s="59" t="e">
        <v>#N/A</v>
      </c>
      <c r="J45" s="55">
        <v>18862003</v>
      </c>
      <c r="K45" s="44" t="s">
        <v>140</v>
      </c>
      <c r="L45" s="71" t="s">
        <v>480</v>
      </c>
      <c r="M45" s="45" t="s">
        <v>142</v>
      </c>
      <c r="N45" s="75" t="s">
        <v>75</v>
      </c>
      <c r="O45" s="78" t="s">
        <v>7</v>
      </c>
      <c r="P45" s="129">
        <v>45710</v>
      </c>
      <c r="Q45" s="122">
        <v>45740</v>
      </c>
      <c r="R45" s="132">
        <v>45740</v>
      </c>
      <c r="S45" s="133">
        <v>45760</v>
      </c>
      <c r="T45" s="129" t="s">
        <v>527</v>
      </c>
      <c r="U45" s="122" t="s">
        <v>527</v>
      </c>
      <c r="V45" s="130">
        <v>45759</v>
      </c>
      <c r="W45" s="131">
        <v>45804</v>
      </c>
      <c r="X45" s="126"/>
      <c r="Y45" s="125"/>
      <c r="Z45" s="104"/>
      <c r="AA45" s="78"/>
      <c r="AB45" s="116"/>
      <c r="AC45" s="117"/>
      <c r="AD45" s="114"/>
      <c r="AE45" s="47"/>
      <c r="AF45" s="8" t="s">
        <v>7</v>
      </c>
      <c r="AG45" s="33" t="s">
        <v>480</v>
      </c>
      <c r="AH45" s="28" t="s">
        <v>158</v>
      </c>
      <c r="AI45" s="9" t="s">
        <v>262</v>
      </c>
      <c r="AJ45" s="10">
        <v>45858</v>
      </c>
      <c r="AK45" s="9" t="s">
        <v>160</v>
      </c>
      <c r="AL45" s="10"/>
      <c r="AM45" s="16" t="s">
        <v>481</v>
      </c>
      <c r="AN45" s="29" t="s">
        <v>146</v>
      </c>
      <c r="AO45" s="28" t="s">
        <v>147</v>
      </c>
      <c r="AP45" s="37">
        <v>0</v>
      </c>
      <c r="AQ45" s="38"/>
      <c r="AR45" s="38"/>
      <c r="AS45" s="9"/>
      <c r="AT45" s="9"/>
      <c r="AU45" s="38"/>
      <c r="AV45" s="9"/>
    </row>
    <row r="46" spans="1:48" s="11" customFormat="1" ht="54.75" hidden="1" customHeight="1">
      <c r="A46" s="58" t="s">
        <v>135</v>
      </c>
      <c r="B46" s="57" t="s">
        <v>136</v>
      </c>
      <c r="C46" s="53" t="s">
        <v>68</v>
      </c>
      <c r="D46" s="53" t="s">
        <v>137</v>
      </c>
      <c r="E46" s="53" t="s">
        <v>81</v>
      </c>
      <c r="F46" s="53" t="s">
        <v>138</v>
      </c>
      <c r="G46" s="53" t="s">
        <v>94</v>
      </c>
      <c r="H46" s="59">
        <v>80000000</v>
      </c>
      <c r="I46" s="59" t="s">
        <v>139</v>
      </c>
      <c r="J46" s="55">
        <v>59750000</v>
      </c>
      <c r="K46" s="44" t="s">
        <v>140</v>
      </c>
      <c r="L46" s="72" t="s">
        <v>141</v>
      </c>
      <c r="M46" s="45" t="s">
        <v>142</v>
      </c>
      <c r="N46" s="75" t="s">
        <v>75</v>
      </c>
      <c r="O46" s="78" t="s">
        <v>6</v>
      </c>
      <c r="P46" s="129">
        <v>45688</v>
      </c>
      <c r="Q46" s="122">
        <v>45718</v>
      </c>
      <c r="R46" s="132">
        <v>45718</v>
      </c>
      <c r="S46" s="133">
        <v>45748</v>
      </c>
      <c r="T46" s="129">
        <v>45748</v>
      </c>
      <c r="U46" s="122">
        <v>45778</v>
      </c>
      <c r="V46" s="132">
        <v>45778</v>
      </c>
      <c r="W46" s="134">
        <v>46006</v>
      </c>
      <c r="X46" s="126"/>
      <c r="Y46" s="125"/>
      <c r="Z46" s="104"/>
      <c r="AA46" s="78"/>
      <c r="AB46" s="116"/>
      <c r="AC46" s="117"/>
      <c r="AD46" s="114"/>
      <c r="AE46" s="47"/>
      <c r="AF46" s="8" t="s">
        <v>6</v>
      </c>
      <c r="AG46" s="31" t="s">
        <v>143</v>
      </c>
      <c r="AH46" s="31" t="s">
        <v>144</v>
      </c>
      <c r="AI46" s="9" t="s">
        <v>76</v>
      </c>
      <c r="AJ46" s="10"/>
      <c r="AK46" s="9"/>
      <c r="AL46" s="10"/>
      <c r="AM46" s="16" t="s">
        <v>145</v>
      </c>
      <c r="AN46" s="29" t="s">
        <v>146</v>
      </c>
      <c r="AO46" s="28" t="s">
        <v>147</v>
      </c>
      <c r="AP46" s="37">
        <v>0</v>
      </c>
      <c r="AQ46" s="38"/>
      <c r="AR46" s="38"/>
      <c r="AS46" s="9"/>
      <c r="AT46" s="9"/>
      <c r="AU46" s="38"/>
      <c r="AV46" s="9"/>
    </row>
    <row r="47" spans="1:48" s="11" customFormat="1" ht="54.75" customHeight="1">
      <c r="A47" s="56" t="s">
        <v>292</v>
      </c>
      <c r="B47" s="57" t="s">
        <v>293</v>
      </c>
      <c r="C47" s="53" t="s">
        <v>68</v>
      </c>
      <c r="D47" s="53" t="s">
        <v>165</v>
      </c>
      <c r="E47" s="53" t="s">
        <v>81</v>
      </c>
      <c r="F47" s="53" t="s">
        <v>294</v>
      </c>
      <c r="G47" s="53" t="s">
        <v>122</v>
      </c>
      <c r="H47" s="54">
        <v>221143052.67049998</v>
      </c>
      <c r="I47" s="54" t="e">
        <v>#N/A</v>
      </c>
      <c r="J47" s="55">
        <v>221143052.67049998</v>
      </c>
      <c r="K47" s="43" t="s">
        <v>72</v>
      </c>
      <c r="L47" s="55" t="s">
        <v>267</v>
      </c>
      <c r="M47" s="45" t="s">
        <v>142</v>
      </c>
      <c r="N47" s="45"/>
      <c r="O47" s="77" t="s">
        <v>268</v>
      </c>
      <c r="P47" s="129">
        <v>45049</v>
      </c>
      <c r="Q47" s="122">
        <v>45079</v>
      </c>
      <c r="R47" s="130">
        <v>45079</v>
      </c>
      <c r="S47" s="131">
        <v>45109</v>
      </c>
      <c r="T47" s="129" t="s">
        <v>527</v>
      </c>
      <c r="U47" s="122" t="s">
        <v>527</v>
      </c>
      <c r="V47" s="130" t="s">
        <v>527</v>
      </c>
      <c r="W47" s="131" t="s">
        <v>527</v>
      </c>
      <c r="X47" s="123">
        <v>45169</v>
      </c>
      <c r="Y47" s="124">
        <v>45295</v>
      </c>
      <c r="Z47" s="103" t="s">
        <v>1424</v>
      </c>
      <c r="AA47" s="111" t="s">
        <v>1425</v>
      </c>
      <c r="AB47" s="116" t="s">
        <v>295</v>
      </c>
      <c r="AC47" s="117" t="s">
        <v>295</v>
      </c>
      <c r="AD47" s="114" t="s">
        <v>1426</v>
      </c>
      <c r="AE47" s="43" t="s">
        <v>1425</v>
      </c>
      <c r="AF47" s="8" t="s">
        <v>268</v>
      </c>
      <c r="AG47" s="28" t="s">
        <v>267</v>
      </c>
      <c r="AH47" s="28" t="s">
        <v>267</v>
      </c>
      <c r="AI47" s="9" t="s">
        <v>159</v>
      </c>
      <c r="AJ47" s="10"/>
      <c r="AK47" s="9">
        <v>0</v>
      </c>
      <c r="AL47" s="10"/>
      <c r="AM47" s="16" t="s">
        <v>267</v>
      </c>
      <c r="AN47" s="29" t="s">
        <v>146</v>
      </c>
      <c r="AO47" s="28" t="s">
        <v>157</v>
      </c>
      <c r="AP47" s="37">
        <v>221143052.27950001</v>
      </c>
      <c r="AQ47" s="38">
        <v>45169</v>
      </c>
      <c r="AR47" s="38">
        <v>45292</v>
      </c>
      <c r="AS47" s="9">
        <v>101230608</v>
      </c>
      <c r="AT47" s="9" t="s">
        <v>296</v>
      </c>
      <c r="AU47" s="38">
        <v>45295</v>
      </c>
      <c r="AV47" s="9"/>
    </row>
    <row r="48" spans="1:48" s="11" customFormat="1" ht="54.75" customHeight="1">
      <c r="A48" s="53" t="s">
        <v>297</v>
      </c>
      <c r="B48" s="57" t="s">
        <v>298</v>
      </c>
      <c r="C48" s="53" t="s">
        <v>68</v>
      </c>
      <c r="D48" s="53" t="s">
        <v>165</v>
      </c>
      <c r="E48" s="53" t="s">
        <v>81</v>
      </c>
      <c r="F48" s="53" t="s">
        <v>294</v>
      </c>
      <c r="G48" s="53" t="s">
        <v>122</v>
      </c>
      <c r="H48" s="54">
        <v>122816423.72999999</v>
      </c>
      <c r="I48" s="54" t="e">
        <v>#N/A</v>
      </c>
      <c r="J48" s="55">
        <v>122816423.72999999</v>
      </c>
      <c r="K48" s="43" t="s">
        <v>72</v>
      </c>
      <c r="L48" s="55" t="s">
        <v>267</v>
      </c>
      <c r="M48" s="45" t="s">
        <v>142</v>
      </c>
      <c r="N48" s="45"/>
      <c r="O48" s="77" t="s">
        <v>268</v>
      </c>
      <c r="P48" s="129">
        <v>45049</v>
      </c>
      <c r="Q48" s="122">
        <v>45079</v>
      </c>
      <c r="R48" s="130">
        <v>45079</v>
      </c>
      <c r="S48" s="131">
        <v>45109</v>
      </c>
      <c r="T48" s="129" t="s">
        <v>527</v>
      </c>
      <c r="U48" s="122" t="s">
        <v>527</v>
      </c>
      <c r="V48" s="130" t="s">
        <v>527</v>
      </c>
      <c r="W48" s="131" t="s">
        <v>527</v>
      </c>
      <c r="X48" s="123">
        <v>45169</v>
      </c>
      <c r="Y48" s="124">
        <v>45295</v>
      </c>
      <c r="Z48" s="103" t="s">
        <v>1427</v>
      </c>
      <c r="AA48" s="111" t="s">
        <v>1428</v>
      </c>
      <c r="AB48" s="116" t="s">
        <v>295</v>
      </c>
      <c r="AC48" s="117" t="s">
        <v>295</v>
      </c>
      <c r="AD48" s="115" t="s">
        <v>1429</v>
      </c>
      <c r="AE48" s="49" t="s">
        <v>1428</v>
      </c>
      <c r="AF48" s="8" t="s">
        <v>268</v>
      </c>
      <c r="AG48" s="28" t="s">
        <v>267</v>
      </c>
      <c r="AH48" s="28" t="s">
        <v>267</v>
      </c>
      <c r="AI48" s="9" t="s">
        <v>159</v>
      </c>
      <c r="AJ48" s="10"/>
      <c r="AK48" s="9">
        <v>0</v>
      </c>
      <c r="AL48" s="10"/>
      <c r="AM48" s="16" t="s">
        <v>267</v>
      </c>
      <c r="AN48" s="29" t="s">
        <v>146</v>
      </c>
      <c r="AO48" s="28" t="s">
        <v>279</v>
      </c>
      <c r="AP48" s="37">
        <v>122816423.2815</v>
      </c>
      <c r="AQ48" s="38">
        <v>45169</v>
      </c>
      <c r="AR48" s="38">
        <v>45292</v>
      </c>
      <c r="AS48" s="9">
        <v>101230604</v>
      </c>
      <c r="AT48" s="9" t="s">
        <v>300</v>
      </c>
      <c r="AU48" s="38">
        <v>45295</v>
      </c>
      <c r="AV48" s="9"/>
    </row>
    <row r="49" spans="1:48" s="11" customFormat="1" ht="54.75" customHeight="1">
      <c r="A49" s="53" t="s">
        <v>301</v>
      </c>
      <c r="B49" s="57" t="s">
        <v>302</v>
      </c>
      <c r="C49" s="53" t="s">
        <v>68</v>
      </c>
      <c r="D49" s="53" t="s">
        <v>165</v>
      </c>
      <c r="E49" s="53" t="s">
        <v>81</v>
      </c>
      <c r="F49" s="53" t="s">
        <v>81</v>
      </c>
      <c r="G49" s="53" t="s">
        <v>122</v>
      </c>
      <c r="H49" s="54">
        <v>134092930.47</v>
      </c>
      <c r="I49" s="54" t="e">
        <v>#N/A</v>
      </c>
      <c r="J49" s="55">
        <v>134092930.47</v>
      </c>
      <c r="K49" s="43" t="s">
        <v>72</v>
      </c>
      <c r="L49" s="55" t="s">
        <v>267</v>
      </c>
      <c r="M49" s="45" t="s">
        <v>142</v>
      </c>
      <c r="N49" s="45"/>
      <c r="O49" s="77" t="s">
        <v>268</v>
      </c>
      <c r="P49" s="129">
        <v>45063</v>
      </c>
      <c r="Q49" s="122">
        <v>45093</v>
      </c>
      <c r="R49" s="130">
        <v>45093</v>
      </c>
      <c r="S49" s="131">
        <v>45123</v>
      </c>
      <c r="T49" s="129" t="s">
        <v>527</v>
      </c>
      <c r="U49" s="122" t="s">
        <v>527</v>
      </c>
      <c r="V49" s="130" t="s">
        <v>527</v>
      </c>
      <c r="W49" s="131" t="s">
        <v>527</v>
      </c>
      <c r="X49" s="123">
        <v>45183</v>
      </c>
      <c r="Y49" s="124">
        <v>45572</v>
      </c>
      <c r="Z49" s="103" t="s">
        <v>1430</v>
      </c>
      <c r="AA49" s="111" t="s">
        <v>1431</v>
      </c>
      <c r="AB49" s="116" t="s">
        <v>295</v>
      </c>
      <c r="AC49" s="117" t="s">
        <v>295</v>
      </c>
      <c r="AD49" s="104" t="s">
        <v>1430</v>
      </c>
      <c r="AE49" s="43" t="s">
        <v>1431</v>
      </c>
      <c r="AF49" s="8" t="s">
        <v>268</v>
      </c>
      <c r="AG49" s="28" t="s">
        <v>267</v>
      </c>
      <c r="AH49" s="28" t="s">
        <v>267</v>
      </c>
      <c r="AI49" s="9" t="s">
        <v>159</v>
      </c>
      <c r="AJ49" s="10"/>
      <c r="AK49" s="9">
        <v>0</v>
      </c>
      <c r="AL49" s="10"/>
      <c r="AM49" s="16" t="s">
        <v>267</v>
      </c>
      <c r="AN49" s="29" t="s">
        <v>146</v>
      </c>
      <c r="AO49" s="28" t="s">
        <v>157</v>
      </c>
      <c r="AP49" s="37">
        <v>336544740</v>
      </c>
      <c r="AQ49" s="38">
        <v>45183</v>
      </c>
      <c r="AR49" s="38">
        <v>45400</v>
      </c>
      <c r="AS49" s="9">
        <v>101240212</v>
      </c>
      <c r="AT49" s="9" t="s">
        <v>303</v>
      </c>
      <c r="AU49" s="38">
        <v>45572</v>
      </c>
      <c r="AV49" s="9"/>
    </row>
    <row r="50" spans="1:48" s="11" customFormat="1" ht="54.75" customHeight="1">
      <c r="A50" s="53" t="s">
        <v>304</v>
      </c>
      <c r="B50" s="57" t="s">
        <v>305</v>
      </c>
      <c r="C50" s="53" t="s">
        <v>68</v>
      </c>
      <c r="D50" s="53" t="s">
        <v>165</v>
      </c>
      <c r="E50" s="53" t="s">
        <v>81</v>
      </c>
      <c r="F50" s="53" t="s">
        <v>294</v>
      </c>
      <c r="G50" s="53" t="s">
        <v>122</v>
      </c>
      <c r="H50" s="54">
        <v>134092930.47</v>
      </c>
      <c r="I50" s="54" t="e">
        <v>#N/A</v>
      </c>
      <c r="J50" s="55">
        <v>134092930.47</v>
      </c>
      <c r="K50" s="43" t="s">
        <v>72</v>
      </c>
      <c r="L50" s="55" t="s">
        <v>267</v>
      </c>
      <c r="M50" s="45" t="s">
        <v>142</v>
      </c>
      <c r="N50" s="45"/>
      <c r="O50" s="77" t="s">
        <v>268</v>
      </c>
      <c r="P50" s="129">
        <v>44765</v>
      </c>
      <c r="Q50" s="122">
        <v>44795</v>
      </c>
      <c r="R50" s="130">
        <v>44795</v>
      </c>
      <c r="S50" s="131">
        <v>44825</v>
      </c>
      <c r="T50" s="129" t="s">
        <v>527</v>
      </c>
      <c r="U50" s="122" t="s">
        <v>527</v>
      </c>
      <c r="V50" s="130" t="s">
        <v>527</v>
      </c>
      <c r="W50" s="131" t="s">
        <v>527</v>
      </c>
      <c r="X50" s="123">
        <v>44885</v>
      </c>
      <c r="Y50" s="124">
        <v>45161</v>
      </c>
      <c r="Z50" s="103" t="s">
        <v>1432</v>
      </c>
      <c r="AA50" s="111" t="s">
        <v>1433</v>
      </c>
      <c r="AB50" s="116" t="s">
        <v>295</v>
      </c>
      <c r="AC50" s="117" t="s">
        <v>295</v>
      </c>
      <c r="AD50" s="114" t="s">
        <v>1432</v>
      </c>
      <c r="AE50" s="47" t="s">
        <v>1433</v>
      </c>
      <c r="AF50" s="8" t="s">
        <v>268</v>
      </c>
      <c r="AG50" s="28" t="s">
        <v>267</v>
      </c>
      <c r="AH50" s="28" t="s">
        <v>267</v>
      </c>
      <c r="AI50" s="9" t="s">
        <v>159</v>
      </c>
      <c r="AJ50" s="10"/>
      <c r="AK50" s="9">
        <v>0</v>
      </c>
      <c r="AL50" s="10"/>
      <c r="AM50" s="16" t="s">
        <v>267</v>
      </c>
      <c r="AN50" s="29" t="s">
        <v>146</v>
      </c>
      <c r="AO50" s="28" t="s">
        <v>264</v>
      </c>
      <c r="AP50" s="37">
        <v>98669999.999999985</v>
      </c>
      <c r="AQ50" s="38">
        <v>44885</v>
      </c>
      <c r="AR50" s="38">
        <v>45134</v>
      </c>
      <c r="AS50" s="9">
        <v>101230259</v>
      </c>
      <c r="AT50" s="9" t="s">
        <v>306</v>
      </c>
      <c r="AU50" s="38">
        <v>45161</v>
      </c>
      <c r="AV50" s="9"/>
    </row>
    <row r="51" spans="1:48" s="11" customFormat="1" ht="54.75" hidden="1" customHeight="1">
      <c r="A51" s="53" t="s">
        <v>1434</v>
      </c>
      <c r="B51" s="57" t="s">
        <v>509</v>
      </c>
      <c r="C51" s="53" t="s">
        <v>68</v>
      </c>
      <c r="D51" s="53" t="s">
        <v>165</v>
      </c>
      <c r="E51" s="53" t="s">
        <v>395</v>
      </c>
      <c r="F51" s="53" t="s">
        <v>411</v>
      </c>
      <c r="G51" s="53" t="s">
        <v>86</v>
      </c>
      <c r="H51" s="54">
        <v>39499050</v>
      </c>
      <c r="I51" s="54" t="e">
        <v>#N/A</v>
      </c>
      <c r="J51" s="55">
        <v>43219903.75</v>
      </c>
      <c r="K51" s="43" t="s">
        <v>72</v>
      </c>
      <c r="L51" s="55" t="s">
        <v>267</v>
      </c>
      <c r="M51" s="45" t="s">
        <v>142</v>
      </c>
      <c r="N51" s="45"/>
      <c r="O51" s="77" t="s">
        <v>268</v>
      </c>
      <c r="P51" s="129">
        <v>44775</v>
      </c>
      <c r="Q51" s="122">
        <v>44805</v>
      </c>
      <c r="R51" s="130">
        <v>44805</v>
      </c>
      <c r="S51" s="131">
        <v>44835</v>
      </c>
      <c r="T51" s="129" t="s">
        <v>527</v>
      </c>
      <c r="U51" s="122" t="s">
        <v>527</v>
      </c>
      <c r="V51" s="130">
        <v>44865</v>
      </c>
      <c r="W51" s="131">
        <v>44910</v>
      </c>
      <c r="X51" s="123">
        <v>45013</v>
      </c>
      <c r="Y51" s="124">
        <v>45384</v>
      </c>
      <c r="Z51" s="103" t="s">
        <v>1435</v>
      </c>
      <c r="AA51" s="111" t="s">
        <v>1436</v>
      </c>
      <c r="AB51" s="116" t="s">
        <v>1437</v>
      </c>
      <c r="AC51" s="117" t="s">
        <v>1438</v>
      </c>
      <c r="AD51" s="114" t="s">
        <v>1439</v>
      </c>
      <c r="AE51" s="47" t="s">
        <v>1440</v>
      </c>
      <c r="AF51" s="8" t="s">
        <v>268</v>
      </c>
      <c r="AG51" s="28" t="s">
        <v>267</v>
      </c>
      <c r="AH51" s="28" t="s">
        <v>267</v>
      </c>
      <c r="AI51" s="9" t="s">
        <v>159</v>
      </c>
      <c r="AJ51" s="10">
        <v>44922</v>
      </c>
      <c r="AK51" s="9">
        <v>602220406</v>
      </c>
      <c r="AL51" s="10">
        <v>44991</v>
      </c>
      <c r="AM51" s="16" t="s">
        <v>267</v>
      </c>
      <c r="AN51" s="29" t="s">
        <v>146</v>
      </c>
      <c r="AO51" s="28" t="s">
        <v>147</v>
      </c>
      <c r="AP51" s="37">
        <v>39499050</v>
      </c>
      <c r="AQ51" s="38">
        <v>45013</v>
      </c>
      <c r="AR51" s="38">
        <v>45377</v>
      </c>
      <c r="AS51" s="9">
        <v>601240064</v>
      </c>
      <c r="AT51" s="9" t="s">
        <v>510</v>
      </c>
      <c r="AU51" s="38">
        <v>45384</v>
      </c>
      <c r="AV51" s="9"/>
    </row>
    <row r="52" spans="1:48" s="11" customFormat="1" ht="54.75" hidden="1" customHeight="1">
      <c r="A52" s="53" t="s">
        <v>511</v>
      </c>
      <c r="B52" s="57" t="s">
        <v>512</v>
      </c>
      <c r="C52" s="53" t="s">
        <v>68</v>
      </c>
      <c r="D52" s="53" t="s">
        <v>165</v>
      </c>
      <c r="E52" s="53" t="s">
        <v>395</v>
      </c>
      <c r="F52" s="53" t="s">
        <v>395</v>
      </c>
      <c r="G52" s="53" t="s">
        <v>86</v>
      </c>
      <c r="H52" s="54">
        <v>26374445</v>
      </c>
      <c r="I52" s="54" t="e">
        <v>#N/A</v>
      </c>
      <c r="J52" s="55">
        <v>26374445</v>
      </c>
      <c r="K52" s="43" t="s">
        <v>72</v>
      </c>
      <c r="L52" s="55" t="s">
        <v>267</v>
      </c>
      <c r="M52" s="45" t="s">
        <v>142</v>
      </c>
      <c r="N52" s="45"/>
      <c r="O52" s="77" t="s">
        <v>268</v>
      </c>
      <c r="P52" s="129">
        <v>44775</v>
      </c>
      <c r="Q52" s="122">
        <v>44805</v>
      </c>
      <c r="R52" s="130">
        <v>44805</v>
      </c>
      <c r="S52" s="131">
        <v>44835</v>
      </c>
      <c r="T52" s="129" t="s">
        <v>527</v>
      </c>
      <c r="U52" s="122" t="s">
        <v>527</v>
      </c>
      <c r="V52" s="130">
        <v>44865</v>
      </c>
      <c r="W52" s="131">
        <v>44910</v>
      </c>
      <c r="X52" s="123">
        <v>44977</v>
      </c>
      <c r="Y52" s="124">
        <v>45609</v>
      </c>
      <c r="Z52" s="103" t="s">
        <v>1441</v>
      </c>
      <c r="AA52" s="111" t="s">
        <v>1442</v>
      </c>
      <c r="AB52" s="116" t="s">
        <v>1443</v>
      </c>
      <c r="AC52" s="117" t="s">
        <v>1444</v>
      </c>
      <c r="AD52" s="114" t="s">
        <v>1445</v>
      </c>
      <c r="AE52" s="47" t="s">
        <v>1446</v>
      </c>
      <c r="AF52" s="8" t="s">
        <v>268</v>
      </c>
      <c r="AG52" s="28" t="s">
        <v>267</v>
      </c>
      <c r="AH52" s="28" t="s">
        <v>267</v>
      </c>
      <c r="AI52" s="9" t="s">
        <v>159</v>
      </c>
      <c r="AJ52" s="10">
        <v>45477</v>
      </c>
      <c r="AK52" s="9">
        <v>602220408</v>
      </c>
      <c r="AL52" s="10">
        <v>45490</v>
      </c>
      <c r="AM52" s="16" t="s">
        <v>267</v>
      </c>
      <c r="AN52" s="29" t="s">
        <v>146</v>
      </c>
      <c r="AO52" s="28" t="s">
        <v>147</v>
      </c>
      <c r="AP52" s="37">
        <v>26374444.999999996</v>
      </c>
      <c r="AQ52" s="38">
        <v>44977</v>
      </c>
      <c r="AR52" s="38">
        <v>45516</v>
      </c>
      <c r="AS52" s="9">
        <v>601240159</v>
      </c>
      <c r="AT52" s="9" t="s">
        <v>510</v>
      </c>
      <c r="AU52" s="38">
        <v>45609</v>
      </c>
      <c r="AV52" s="9"/>
    </row>
    <row r="53" spans="1:48" s="11" customFormat="1" ht="54.75" hidden="1" customHeight="1">
      <c r="A53" s="53" t="s">
        <v>1447</v>
      </c>
      <c r="B53" s="57" t="s">
        <v>1448</v>
      </c>
      <c r="C53" s="53" t="s">
        <v>68</v>
      </c>
      <c r="D53" s="53" t="s">
        <v>165</v>
      </c>
      <c r="E53" s="53" t="s">
        <v>395</v>
      </c>
      <c r="F53" s="53" t="s">
        <v>395</v>
      </c>
      <c r="G53" s="53" t="s">
        <v>94</v>
      </c>
      <c r="H53" s="54">
        <v>17635765</v>
      </c>
      <c r="I53" s="54" t="e">
        <v>#N/A</v>
      </c>
      <c r="J53" s="55">
        <v>17635765</v>
      </c>
      <c r="K53" s="43" t="s">
        <v>72</v>
      </c>
      <c r="L53" s="55" t="s">
        <v>267</v>
      </c>
      <c r="M53" s="45" t="s">
        <v>142</v>
      </c>
      <c r="N53" s="45"/>
      <c r="O53" s="77" t="s">
        <v>268</v>
      </c>
      <c r="P53" s="129">
        <v>44973</v>
      </c>
      <c r="Q53" s="122">
        <v>45003</v>
      </c>
      <c r="R53" s="130">
        <v>45003</v>
      </c>
      <c r="S53" s="131">
        <v>45033</v>
      </c>
      <c r="T53" s="129" t="s">
        <v>527</v>
      </c>
      <c r="U53" s="122" t="s">
        <v>527</v>
      </c>
      <c r="V53" s="130">
        <v>45063</v>
      </c>
      <c r="W53" s="131">
        <v>45108</v>
      </c>
      <c r="X53" s="123">
        <v>45148</v>
      </c>
      <c r="Y53" s="124">
        <v>45420</v>
      </c>
      <c r="Z53" s="104"/>
      <c r="AA53" s="111"/>
      <c r="AB53" s="116"/>
      <c r="AC53" s="117"/>
      <c r="AD53" s="114"/>
      <c r="AE53" s="47"/>
      <c r="AF53" s="8" t="s">
        <v>268</v>
      </c>
      <c r="AG53" s="28" t="s">
        <v>267</v>
      </c>
      <c r="AH53" s="28" t="s">
        <v>267</v>
      </c>
      <c r="AI53" s="9" t="s">
        <v>159</v>
      </c>
      <c r="AJ53" s="10">
        <v>45336</v>
      </c>
      <c r="AK53" s="9">
        <v>602240065</v>
      </c>
      <c r="AL53" s="10">
        <v>45336</v>
      </c>
      <c r="AM53" s="16" t="s">
        <v>267</v>
      </c>
      <c r="AN53" s="29" t="s">
        <v>146</v>
      </c>
      <c r="AO53" s="28" t="s">
        <v>147</v>
      </c>
      <c r="AP53" s="37">
        <v>17635764.774500001</v>
      </c>
      <c r="AQ53" s="38">
        <v>45148</v>
      </c>
      <c r="AR53" s="38">
        <v>45356</v>
      </c>
      <c r="AS53" s="9">
        <v>601240052</v>
      </c>
      <c r="AT53" s="9" t="s">
        <v>1449</v>
      </c>
      <c r="AU53" s="38">
        <v>45420</v>
      </c>
      <c r="AV53" s="9"/>
    </row>
    <row r="54" spans="1:48" s="11" customFormat="1" ht="54.75" hidden="1" customHeight="1">
      <c r="A54" s="53" t="s">
        <v>1450</v>
      </c>
      <c r="B54" s="57" t="s">
        <v>1451</v>
      </c>
      <c r="C54" s="53" t="s">
        <v>68</v>
      </c>
      <c r="D54" s="53" t="s">
        <v>165</v>
      </c>
      <c r="E54" s="53" t="s">
        <v>395</v>
      </c>
      <c r="F54" s="53" t="s">
        <v>395</v>
      </c>
      <c r="G54" s="53" t="s">
        <v>86</v>
      </c>
      <c r="H54" s="54">
        <v>44013524.603500001</v>
      </c>
      <c r="I54" s="54" t="e">
        <v>#N/A</v>
      </c>
      <c r="J54" s="55">
        <v>48373568.834999993</v>
      </c>
      <c r="K54" s="43" t="s">
        <v>72</v>
      </c>
      <c r="L54" s="55" t="s">
        <v>267</v>
      </c>
      <c r="M54" s="45" t="s">
        <v>142</v>
      </c>
      <c r="N54" s="45"/>
      <c r="O54" s="77" t="s">
        <v>268</v>
      </c>
      <c r="P54" s="129">
        <v>44775</v>
      </c>
      <c r="Q54" s="122">
        <v>44805</v>
      </c>
      <c r="R54" s="130">
        <v>44805</v>
      </c>
      <c r="S54" s="131">
        <v>44835</v>
      </c>
      <c r="T54" s="129" t="s">
        <v>527</v>
      </c>
      <c r="U54" s="122" t="s">
        <v>527</v>
      </c>
      <c r="V54" s="130">
        <v>44865</v>
      </c>
      <c r="W54" s="131">
        <v>44910</v>
      </c>
      <c r="X54" s="123">
        <v>44994</v>
      </c>
      <c r="Y54" s="124">
        <v>45292</v>
      </c>
      <c r="Z54" s="104"/>
      <c r="AA54" s="111"/>
      <c r="AB54" s="116"/>
      <c r="AC54" s="117"/>
      <c r="AD54" s="114"/>
      <c r="AE54" s="47"/>
      <c r="AF54" s="8" t="s">
        <v>268</v>
      </c>
      <c r="AG54" s="28" t="s">
        <v>267</v>
      </c>
      <c r="AH54" s="28" t="s">
        <v>267</v>
      </c>
      <c r="AI54" s="9" t="s">
        <v>159</v>
      </c>
      <c r="AJ54" s="10">
        <v>44915</v>
      </c>
      <c r="AK54" s="9">
        <v>602220401</v>
      </c>
      <c r="AL54" s="10">
        <v>45182</v>
      </c>
      <c r="AM54" s="16" t="s">
        <v>267</v>
      </c>
      <c r="AN54" s="29" t="s">
        <v>146</v>
      </c>
      <c r="AO54" s="28" t="s">
        <v>267</v>
      </c>
      <c r="AP54" s="37">
        <v>44013524.603500001</v>
      </c>
      <c r="AQ54" s="38">
        <v>44994</v>
      </c>
      <c r="AR54" s="38">
        <v>45230</v>
      </c>
      <c r="AS54" s="9">
        <v>601230121</v>
      </c>
      <c r="AT54" s="9" t="s">
        <v>313</v>
      </c>
      <c r="AU54" s="38">
        <v>45292</v>
      </c>
      <c r="AV54" s="9"/>
    </row>
    <row r="55" spans="1:48" s="11" customFormat="1" ht="54.75" hidden="1" customHeight="1">
      <c r="A55" s="53" t="s">
        <v>516</v>
      </c>
      <c r="B55" s="57" t="s">
        <v>517</v>
      </c>
      <c r="C55" s="53" t="s">
        <v>68</v>
      </c>
      <c r="D55" s="53" t="s">
        <v>165</v>
      </c>
      <c r="E55" s="53" t="s">
        <v>395</v>
      </c>
      <c r="F55" s="53" t="s">
        <v>488</v>
      </c>
      <c r="G55" s="53" t="s">
        <v>86</v>
      </c>
      <c r="H55" s="54">
        <v>51428000</v>
      </c>
      <c r="I55" s="54" t="e">
        <v>#N/A</v>
      </c>
      <c r="J55" s="55">
        <v>51428000</v>
      </c>
      <c r="K55" s="43" t="s">
        <v>72</v>
      </c>
      <c r="L55" s="55" t="s">
        <v>267</v>
      </c>
      <c r="M55" s="45" t="s">
        <v>142</v>
      </c>
      <c r="N55" s="45"/>
      <c r="O55" s="77" t="s">
        <v>268</v>
      </c>
      <c r="P55" s="129">
        <v>44996</v>
      </c>
      <c r="Q55" s="122">
        <v>45026</v>
      </c>
      <c r="R55" s="130">
        <v>45026</v>
      </c>
      <c r="S55" s="131">
        <v>45056</v>
      </c>
      <c r="T55" s="129" t="s">
        <v>527</v>
      </c>
      <c r="U55" s="122" t="s">
        <v>527</v>
      </c>
      <c r="V55" s="130">
        <v>45086</v>
      </c>
      <c r="W55" s="131">
        <v>45131</v>
      </c>
      <c r="X55" s="123">
        <v>45147</v>
      </c>
      <c r="Y55" s="124">
        <v>45592</v>
      </c>
      <c r="Z55" s="103" t="s">
        <v>1452</v>
      </c>
      <c r="AA55" s="111" t="s">
        <v>1453</v>
      </c>
      <c r="AB55" s="116" t="s">
        <v>1454</v>
      </c>
      <c r="AC55" s="117" t="s">
        <v>1455</v>
      </c>
      <c r="AD55" s="114" t="s">
        <v>1456</v>
      </c>
      <c r="AE55" s="47" t="s">
        <v>1457</v>
      </c>
      <c r="AF55" s="8" t="s">
        <v>268</v>
      </c>
      <c r="AG55" s="28" t="s">
        <v>267</v>
      </c>
      <c r="AH55" s="28" t="s">
        <v>267</v>
      </c>
      <c r="AI55" s="9" t="s">
        <v>159</v>
      </c>
      <c r="AJ55" s="10">
        <v>45474</v>
      </c>
      <c r="AK55" s="9">
        <v>602230197</v>
      </c>
      <c r="AL55" s="10">
        <v>45479</v>
      </c>
      <c r="AM55" s="16" t="s">
        <v>267</v>
      </c>
      <c r="AN55" s="29" t="s">
        <v>146</v>
      </c>
      <c r="AO55" s="28" t="s">
        <v>267</v>
      </c>
      <c r="AP55" s="37">
        <v>51427999.999999993</v>
      </c>
      <c r="AQ55" s="38">
        <v>45147</v>
      </c>
      <c r="AR55" s="38">
        <v>45482</v>
      </c>
      <c r="AS55" s="9">
        <v>601240142</v>
      </c>
      <c r="AT55" s="9" t="s">
        <v>520</v>
      </c>
      <c r="AU55" s="38">
        <v>45592</v>
      </c>
      <c r="AV55" s="9"/>
    </row>
    <row r="56" spans="1:48" s="11" customFormat="1" ht="54.75" hidden="1" customHeight="1">
      <c r="A56" s="53" t="s">
        <v>1458</v>
      </c>
      <c r="B56" s="57" t="s">
        <v>521</v>
      </c>
      <c r="C56" s="53" t="s">
        <v>68</v>
      </c>
      <c r="D56" s="53" t="s">
        <v>165</v>
      </c>
      <c r="E56" s="53" t="s">
        <v>395</v>
      </c>
      <c r="F56" s="53" t="s">
        <v>395</v>
      </c>
      <c r="G56" s="53" t="s">
        <v>86</v>
      </c>
      <c r="H56" s="54">
        <v>20700000</v>
      </c>
      <c r="I56" s="54" t="e">
        <v>#N/A</v>
      </c>
      <c r="J56" s="55">
        <v>12474383.5</v>
      </c>
      <c r="K56" s="43" t="s">
        <v>72</v>
      </c>
      <c r="L56" s="55" t="s">
        <v>267</v>
      </c>
      <c r="M56" s="45" t="s">
        <v>142</v>
      </c>
      <c r="N56" s="45"/>
      <c r="O56" s="77" t="s">
        <v>268</v>
      </c>
      <c r="P56" s="129">
        <v>45135</v>
      </c>
      <c r="Q56" s="122">
        <v>45165</v>
      </c>
      <c r="R56" s="130">
        <v>45165</v>
      </c>
      <c r="S56" s="131">
        <v>45195</v>
      </c>
      <c r="T56" s="129" t="s">
        <v>527</v>
      </c>
      <c r="U56" s="122" t="s">
        <v>527</v>
      </c>
      <c r="V56" s="130">
        <v>45225</v>
      </c>
      <c r="W56" s="131">
        <v>45270</v>
      </c>
      <c r="X56" s="123">
        <v>45328</v>
      </c>
      <c r="Y56" s="124">
        <v>45490</v>
      </c>
      <c r="Z56" s="103" t="s">
        <v>1459</v>
      </c>
      <c r="AA56" s="111" t="s">
        <v>1460</v>
      </c>
      <c r="AB56" s="116" t="s">
        <v>1461</v>
      </c>
      <c r="AC56" s="117" t="s">
        <v>1462</v>
      </c>
      <c r="AD56" s="114" t="s">
        <v>1463</v>
      </c>
      <c r="AE56" s="47" t="s">
        <v>1464</v>
      </c>
      <c r="AF56" s="8" t="s">
        <v>268</v>
      </c>
      <c r="AG56" s="28" t="s">
        <v>267</v>
      </c>
      <c r="AH56" s="28" t="s">
        <v>267</v>
      </c>
      <c r="AI56" s="9" t="s">
        <v>159</v>
      </c>
      <c r="AJ56" s="10">
        <v>45280</v>
      </c>
      <c r="AK56" s="9">
        <v>602230290</v>
      </c>
      <c r="AL56" s="10">
        <v>45284</v>
      </c>
      <c r="AM56" s="16" t="s">
        <v>267</v>
      </c>
      <c r="AN56" s="29" t="s">
        <v>146</v>
      </c>
      <c r="AO56" s="28" t="s">
        <v>267</v>
      </c>
      <c r="AP56" s="37">
        <v>12474383.499999998</v>
      </c>
      <c r="AQ56" s="38">
        <v>45328</v>
      </c>
      <c r="AR56" s="38">
        <v>45467</v>
      </c>
      <c r="AS56" s="9">
        <v>601240116</v>
      </c>
      <c r="AT56" s="9" t="s">
        <v>524</v>
      </c>
      <c r="AU56" s="38">
        <v>45490</v>
      </c>
      <c r="AV56" s="9"/>
    </row>
    <row r="57" spans="1:48" s="11" customFormat="1" ht="54.75" hidden="1" customHeight="1">
      <c r="A57" s="53" t="s">
        <v>1465</v>
      </c>
      <c r="B57" s="62" t="s">
        <v>1466</v>
      </c>
      <c r="C57" s="53" t="s">
        <v>68</v>
      </c>
      <c r="D57" s="53" t="s">
        <v>165</v>
      </c>
      <c r="E57" s="53" t="s">
        <v>81</v>
      </c>
      <c r="F57" s="53" t="s">
        <v>81</v>
      </c>
      <c r="G57" s="53" t="s">
        <v>86</v>
      </c>
      <c r="H57" s="54">
        <v>88099999.25</v>
      </c>
      <c r="I57" s="54" t="e">
        <v>#N/A</v>
      </c>
      <c r="J57" s="55">
        <v>109205652.55</v>
      </c>
      <c r="K57" s="43" t="s">
        <v>72</v>
      </c>
      <c r="L57" s="55" t="s">
        <v>267</v>
      </c>
      <c r="M57" s="68" t="s">
        <v>74</v>
      </c>
      <c r="N57" s="68"/>
      <c r="O57" s="77" t="s">
        <v>268</v>
      </c>
      <c r="P57" s="87">
        <v>45485</v>
      </c>
      <c r="Q57" s="88">
        <v>45515</v>
      </c>
      <c r="R57" s="81">
        <v>45515</v>
      </c>
      <c r="S57" s="89">
        <v>45545</v>
      </c>
      <c r="T57" s="94" t="s">
        <v>527</v>
      </c>
      <c r="U57" s="95" t="s">
        <v>527</v>
      </c>
      <c r="V57" s="81">
        <v>45575</v>
      </c>
      <c r="W57" s="89">
        <v>45605</v>
      </c>
      <c r="X57" s="107">
        <v>45605</v>
      </c>
      <c r="Y57" s="108">
        <v>45775</v>
      </c>
      <c r="Z57" s="104"/>
      <c r="AA57" s="111"/>
      <c r="AB57" s="116"/>
      <c r="AC57" s="117"/>
      <c r="AD57" s="114"/>
      <c r="AE57" s="47"/>
      <c r="AF57" s="8" t="s">
        <v>268</v>
      </c>
      <c r="AG57" s="28" t="s">
        <v>267</v>
      </c>
      <c r="AH57" s="23" t="s">
        <v>74</v>
      </c>
      <c r="AI57" s="9" t="s">
        <v>159</v>
      </c>
      <c r="AJ57" s="10">
        <v>45595</v>
      </c>
      <c r="AK57" s="9">
        <v>0</v>
      </c>
      <c r="AL57" s="10">
        <v>45602</v>
      </c>
      <c r="AM57" s="41" t="s">
        <v>1467</v>
      </c>
      <c r="AN57" s="29" t="s">
        <v>78</v>
      </c>
      <c r="AO57" s="28" t="s">
        <v>147</v>
      </c>
      <c r="AP57" s="37">
        <v>109205652.55</v>
      </c>
      <c r="AQ57" s="38">
        <v>45605</v>
      </c>
      <c r="AR57" s="38">
        <v>45722</v>
      </c>
      <c r="AS57" s="9">
        <v>901250087</v>
      </c>
      <c r="AT57" s="9" t="s">
        <v>1468</v>
      </c>
      <c r="AU57" s="38">
        <v>45775</v>
      </c>
      <c r="AV57" s="9"/>
    </row>
    <row r="58" spans="1:48" s="11" customFormat="1" ht="54.75" customHeight="1">
      <c r="A58" s="53" t="s">
        <v>1469</v>
      </c>
      <c r="B58" s="57" t="s">
        <v>1470</v>
      </c>
      <c r="C58" s="53" t="s">
        <v>68</v>
      </c>
      <c r="D58" s="53" t="s">
        <v>165</v>
      </c>
      <c r="E58" s="53" t="s">
        <v>81</v>
      </c>
      <c r="F58" s="53" t="s">
        <v>81</v>
      </c>
      <c r="G58" s="53" t="s">
        <v>94</v>
      </c>
      <c r="H58" s="54">
        <v>117213916.09450001</v>
      </c>
      <c r="I58" s="54" t="e">
        <v>#N/A</v>
      </c>
      <c r="J58" s="55">
        <v>117213916.09450001</v>
      </c>
      <c r="K58" s="43" t="s">
        <v>72</v>
      </c>
      <c r="L58" s="55" t="s">
        <v>267</v>
      </c>
      <c r="M58" s="45" t="s">
        <v>142</v>
      </c>
      <c r="N58" s="45"/>
      <c r="O58" s="77" t="s">
        <v>268</v>
      </c>
      <c r="P58" s="129">
        <v>44775</v>
      </c>
      <c r="Q58" s="122">
        <v>44805</v>
      </c>
      <c r="R58" s="130">
        <v>44805</v>
      </c>
      <c r="S58" s="131">
        <v>44835</v>
      </c>
      <c r="T58" s="129" t="s">
        <v>527</v>
      </c>
      <c r="U58" s="122" t="s">
        <v>527</v>
      </c>
      <c r="V58" s="130">
        <v>44865</v>
      </c>
      <c r="W58" s="131">
        <v>44910</v>
      </c>
      <c r="X58" s="123">
        <v>44990</v>
      </c>
      <c r="Y58" s="124">
        <v>45265</v>
      </c>
      <c r="Z58" s="103" t="s">
        <v>1471</v>
      </c>
      <c r="AA58" s="111" t="s">
        <v>1472</v>
      </c>
      <c r="AB58" s="116" t="s">
        <v>1473</v>
      </c>
      <c r="AC58" s="117" t="s">
        <v>1472</v>
      </c>
      <c r="AD58" s="114" t="s">
        <v>1474</v>
      </c>
      <c r="AE58" s="47" t="s">
        <v>1475</v>
      </c>
      <c r="AF58" s="8" t="s">
        <v>268</v>
      </c>
      <c r="AG58" s="28" t="s">
        <v>267</v>
      </c>
      <c r="AH58" s="28" t="s">
        <v>267</v>
      </c>
      <c r="AI58" s="9" t="s">
        <v>159</v>
      </c>
      <c r="AJ58" s="10">
        <v>44935</v>
      </c>
      <c r="AK58" s="9">
        <v>902230006</v>
      </c>
      <c r="AL58" s="10">
        <v>44970</v>
      </c>
      <c r="AM58" s="16" t="s">
        <v>267</v>
      </c>
      <c r="AN58" s="29" t="s">
        <v>146</v>
      </c>
      <c r="AO58" s="28" t="s">
        <v>147</v>
      </c>
      <c r="AP58" s="37">
        <v>117213916.09450001</v>
      </c>
      <c r="AQ58" s="38">
        <v>44990</v>
      </c>
      <c r="AR58" s="38">
        <v>45230</v>
      </c>
      <c r="AS58" s="9">
        <v>901230202</v>
      </c>
      <c r="AT58" s="9" t="s">
        <v>308</v>
      </c>
      <c r="AU58" s="38">
        <v>45265</v>
      </c>
      <c r="AV58" s="9"/>
    </row>
    <row r="59" spans="1:48" s="11" customFormat="1" ht="54.75" customHeight="1">
      <c r="A59" s="53" t="s">
        <v>1476</v>
      </c>
      <c r="B59" s="57" t="s">
        <v>309</v>
      </c>
      <c r="C59" s="53" t="s">
        <v>68</v>
      </c>
      <c r="D59" s="53" t="s">
        <v>165</v>
      </c>
      <c r="E59" s="53" t="s">
        <v>81</v>
      </c>
      <c r="F59" s="53" t="s">
        <v>81</v>
      </c>
      <c r="G59" s="53" t="s">
        <v>94</v>
      </c>
      <c r="H59" s="54">
        <v>37841428.419499993</v>
      </c>
      <c r="I59" s="54" t="e">
        <v>#N/A</v>
      </c>
      <c r="J59" s="55">
        <v>37841428.419499993</v>
      </c>
      <c r="K59" s="43" t="s">
        <v>72</v>
      </c>
      <c r="L59" s="55" t="s">
        <v>267</v>
      </c>
      <c r="M59" s="45" t="s">
        <v>142</v>
      </c>
      <c r="N59" s="45"/>
      <c r="O59" s="77" t="s">
        <v>268</v>
      </c>
      <c r="P59" s="129">
        <v>44775</v>
      </c>
      <c r="Q59" s="122">
        <v>44805</v>
      </c>
      <c r="R59" s="130">
        <v>44805</v>
      </c>
      <c r="S59" s="131">
        <v>44835</v>
      </c>
      <c r="T59" s="129" t="s">
        <v>527</v>
      </c>
      <c r="U59" s="122" t="s">
        <v>527</v>
      </c>
      <c r="V59" s="130">
        <v>44865</v>
      </c>
      <c r="W59" s="131">
        <v>44910</v>
      </c>
      <c r="X59" s="123">
        <v>44986</v>
      </c>
      <c r="Y59" s="124">
        <v>45242</v>
      </c>
      <c r="Z59" s="103" t="s">
        <v>1477</v>
      </c>
      <c r="AA59" s="111" t="s">
        <v>1478</v>
      </c>
      <c r="AB59" s="116" t="s">
        <v>1479</v>
      </c>
      <c r="AC59" s="117" t="s">
        <v>1480</v>
      </c>
      <c r="AD59" s="114" t="s">
        <v>1480</v>
      </c>
      <c r="AE59" s="47" t="s">
        <v>1478</v>
      </c>
      <c r="AF59" s="8" t="s">
        <v>268</v>
      </c>
      <c r="AG59" s="28" t="s">
        <v>267</v>
      </c>
      <c r="AH59" s="28" t="s">
        <v>267</v>
      </c>
      <c r="AI59" s="9" t="s">
        <v>159</v>
      </c>
      <c r="AJ59" s="10">
        <v>44915</v>
      </c>
      <c r="AK59" s="9">
        <v>902220530</v>
      </c>
      <c r="AL59" s="10">
        <v>44970</v>
      </c>
      <c r="AM59" s="16" t="s">
        <v>267</v>
      </c>
      <c r="AN59" s="29" t="s">
        <v>146</v>
      </c>
      <c r="AO59" s="28" t="s">
        <v>147</v>
      </c>
      <c r="AP59" s="37">
        <v>37841428.419499993</v>
      </c>
      <c r="AQ59" s="38">
        <v>44986</v>
      </c>
      <c r="AR59" s="38">
        <v>45182</v>
      </c>
      <c r="AS59" s="9">
        <v>901230176</v>
      </c>
      <c r="AT59" s="9" t="s">
        <v>310</v>
      </c>
      <c r="AU59" s="38">
        <v>45242</v>
      </c>
      <c r="AV59" s="9"/>
    </row>
    <row r="60" spans="1:48" s="11" customFormat="1" ht="54.75" customHeight="1">
      <c r="A60" s="53" t="s">
        <v>311</v>
      </c>
      <c r="B60" s="57" t="s">
        <v>312</v>
      </c>
      <c r="C60" s="53" t="s">
        <v>68</v>
      </c>
      <c r="D60" s="53" t="s">
        <v>165</v>
      </c>
      <c r="E60" s="53" t="s">
        <v>81</v>
      </c>
      <c r="F60" s="53" t="s">
        <v>81</v>
      </c>
      <c r="G60" s="53" t="s">
        <v>94</v>
      </c>
      <c r="H60" s="54">
        <v>20939976.25</v>
      </c>
      <c r="I60" s="54" t="e">
        <v>#N/A</v>
      </c>
      <c r="J60" s="55">
        <v>20939976.25</v>
      </c>
      <c r="K60" s="43" t="s">
        <v>72</v>
      </c>
      <c r="L60" s="55" t="s">
        <v>267</v>
      </c>
      <c r="M60" s="45" t="s">
        <v>142</v>
      </c>
      <c r="N60" s="45"/>
      <c r="O60" s="77" t="s">
        <v>268</v>
      </c>
      <c r="P60" s="129">
        <v>44962</v>
      </c>
      <c r="Q60" s="122">
        <v>44992</v>
      </c>
      <c r="R60" s="130">
        <v>44992</v>
      </c>
      <c r="S60" s="131">
        <v>45022</v>
      </c>
      <c r="T60" s="129" t="s">
        <v>527</v>
      </c>
      <c r="U60" s="122" t="s">
        <v>527</v>
      </c>
      <c r="V60" s="130">
        <v>45052</v>
      </c>
      <c r="W60" s="131">
        <v>45097</v>
      </c>
      <c r="X60" s="123">
        <v>45182</v>
      </c>
      <c r="Y60" s="124">
        <v>45424</v>
      </c>
      <c r="Z60" s="103" t="s">
        <v>1481</v>
      </c>
      <c r="AA60" s="111" t="s">
        <v>1482</v>
      </c>
      <c r="AB60" s="116" t="s">
        <v>1483</v>
      </c>
      <c r="AC60" s="117" t="s">
        <v>1484</v>
      </c>
      <c r="AD60" s="114" t="s">
        <v>1485</v>
      </c>
      <c r="AE60" s="47" t="s">
        <v>1486</v>
      </c>
      <c r="AF60" s="8" t="s">
        <v>268</v>
      </c>
      <c r="AG60" s="28" t="s">
        <v>267</v>
      </c>
      <c r="AH60" s="28" t="s">
        <v>267</v>
      </c>
      <c r="AI60" s="9" t="s">
        <v>159</v>
      </c>
      <c r="AJ60" s="10"/>
      <c r="AK60" s="9" t="s">
        <v>160</v>
      </c>
      <c r="AL60" s="10"/>
      <c r="AM60" s="16" t="s">
        <v>267</v>
      </c>
      <c r="AN60" s="29" t="s">
        <v>146</v>
      </c>
      <c r="AO60" s="28" t="s">
        <v>147</v>
      </c>
      <c r="AP60" s="37">
        <v>20939976.25</v>
      </c>
      <c r="AQ60" s="38">
        <v>45182</v>
      </c>
      <c r="AR60" s="38">
        <v>45343</v>
      </c>
      <c r="AS60" s="9">
        <v>901240023</v>
      </c>
      <c r="AT60" s="9" t="s">
        <v>313</v>
      </c>
      <c r="AU60" s="38">
        <v>45424</v>
      </c>
      <c r="AV60" s="9"/>
    </row>
    <row r="61" spans="1:48" s="11" customFormat="1" ht="54.75" customHeight="1">
      <c r="A61" s="53" t="s">
        <v>1487</v>
      </c>
      <c r="B61" s="57" t="s">
        <v>314</v>
      </c>
      <c r="C61" s="53" t="s">
        <v>68</v>
      </c>
      <c r="D61" s="53" t="s">
        <v>165</v>
      </c>
      <c r="E61" s="53" t="s">
        <v>81</v>
      </c>
      <c r="F61" s="53" t="s">
        <v>81</v>
      </c>
      <c r="G61" s="53" t="s">
        <v>94</v>
      </c>
      <c r="H61" s="54">
        <v>78223592.25</v>
      </c>
      <c r="I61" s="54" t="e">
        <v>#N/A</v>
      </c>
      <c r="J61" s="55">
        <v>78223592.25</v>
      </c>
      <c r="K61" s="43" t="s">
        <v>72</v>
      </c>
      <c r="L61" s="55" t="s">
        <v>267</v>
      </c>
      <c r="M61" s="45" t="s">
        <v>142</v>
      </c>
      <c r="N61" s="45"/>
      <c r="O61" s="77" t="s">
        <v>268</v>
      </c>
      <c r="P61" s="129">
        <v>44775</v>
      </c>
      <c r="Q61" s="122">
        <v>44805</v>
      </c>
      <c r="R61" s="130">
        <v>44805</v>
      </c>
      <c r="S61" s="131">
        <v>44835</v>
      </c>
      <c r="T61" s="129" t="s">
        <v>527</v>
      </c>
      <c r="U61" s="122" t="s">
        <v>527</v>
      </c>
      <c r="V61" s="130">
        <v>44865</v>
      </c>
      <c r="W61" s="131">
        <v>44910</v>
      </c>
      <c r="X61" s="123">
        <v>44986</v>
      </c>
      <c r="Y61" s="124">
        <v>45232</v>
      </c>
      <c r="Z61" s="103" t="s">
        <v>1488</v>
      </c>
      <c r="AA61" s="111" t="s">
        <v>1489</v>
      </c>
      <c r="AB61" s="116" t="s">
        <v>1490</v>
      </c>
      <c r="AC61" s="117" t="s">
        <v>1455</v>
      </c>
      <c r="AD61" s="114" t="s">
        <v>1491</v>
      </c>
      <c r="AE61" s="47" t="s">
        <v>1492</v>
      </c>
      <c r="AF61" s="8" t="s">
        <v>268</v>
      </c>
      <c r="AG61" s="28" t="s">
        <v>267</v>
      </c>
      <c r="AH61" s="28" t="s">
        <v>267</v>
      </c>
      <c r="AI61" s="9" t="s">
        <v>159</v>
      </c>
      <c r="AJ61" s="10">
        <v>44922</v>
      </c>
      <c r="AK61" s="9">
        <v>902220537</v>
      </c>
      <c r="AL61" s="10">
        <v>44965</v>
      </c>
      <c r="AM61" s="16" t="s">
        <v>267</v>
      </c>
      <c r="AN61" s="29" t="s">
        <v>146</v>
      </c>
      <c r="AO61" s="28" t="s">
        <v>147</v>
      </c>
      <c r="AP61" s="37">
        <v>78223592.25</v>
      </c>
      <c r="AQ61" s="38">
        <v>44986</v>
      </c>
      <c r="AR61" s="38">
        <v>45167</v>
      </c>
      <c r="AS61" s="9">
        <v>901230177</v>
      </c>
      <c r="AT61" s="9" t="s">
        <v>315</v>
      </c>
      <c r="AU61" s="38">
        <v>45232</v>
      </c>
      <c r="AV61" s="9"/>
    </row>
    <row r="62" spans="1:48" s="11" customFormat="1" ht="54.75" customHeight="1">
      <c r="A62" s="53" t="s">
        <v>1493</v>
      </c>
      <c r="B62" s="57" t="s">
        <v>316</v>
      </c>
      <c r="C62" s="53" t="s">
        <v>68</v>
      </c>
      <c r="D62" s="53" t="s">
        <v>165</v>
      </c>
      <c r="E62" s="53" t="s">
        <v>81</v>
      </c>
      <c r="F62" s="53" t="s">
        <v>81</v>
      </c>
      <c r="G62" s="53" t="s">
        <v>94</v>
      </c>
      <c r="H62" s="54">
        <v>74750000</v>
      </c>
      <c r="I62" s="54" t="e">
        <v>#N/A</v>
      </c>
      <c r="J62" s="55">
        <v>63665782.5</v>
      </c>
      <c r="K62" s="43" t="s">
        <v>72</v>
      </c>
      <c r="L62" s="55" t="s">
        <v>267</v>
      </c>
      <c r="M62" s="45" t="s">
        <v>142</v>
      </c>
      <c r="N62" s="45"/>
      <c r="O62" s="77" t="s">
        <v>268</v>
      </c>
      <c r="P62" s="129">
        <v>44999</v>
      </c>
      <c r="Q62" s="122">
        <v>45029</v>
      </c>
      <c r="R62" s="130">
        <v>45029</v>
      </c>
      <c r="S62" s="131">
        <v>45059</v>
      </c>
      <c r="T62" s="129" t="s">
        <v>527</v>
      </c>
      <c r="U62" s="122" t="s">
        <v>527</v>
      </c>
      <c r="V62" s="130">
        <v>45089</v>
      </c>
      <c r="W62" s="131">
        <v>45134</v>
      </c>
      <c r="X62" s="123">
        <v>45288</v>
      </c>
      <c r="Y62" s="124">
        <v>45453</v>
      </c>
      <c r="Z62" s="103" t="s">
        <v>1494</v>
      </c>
      <c r="AA62" s="111" t="s">
        <v>1495</v>
      </c>
      <c r="AB62" s="116" t="s">
        <v>1496</v>
      </c>
      <c r="AC62" s="117" t="s">
        <v>1497</v>
      </c>
      <c r="AD62" s="114" t="s">
        <v>1498</v>
      </c>
      <c r="AE62" s="47" t="s">
        <v>1499</v>
      </c>
      <c r="AF62" s="8" t="s">
        <v>268</v>
      </c>
      <c r="AG62" s="28" t="s">
        <v>267</v>
      </c>
      <c r="AH62" s="28" t="s">
        <v>267</v>
      </c>
      <c r="AI62" s="9" t="s">
        <v>159</v>
      </c>
      <c r="AJ62" s="10">
        <v>45273</v>
      </c>
      <c r="AK62" s="9">
        <v>902230557</v>
      </c>
      <c r="AL62" s="10">
        <v>45273</v>
      </c>
      <c r="AM62" s="16" t="s">
        <v>267</v>
      </c>
      <c r="AN62" s="29" t="s">
        <v>146</v>
      </c>
      <c r="AO62" s="28" t="s">
        <v>147</v>
      </c>
      <c r="AP62" s="37">
        <v>63665782.499999993</v>
      </c>
      <c r="AQ62" s="38">
        <v>45288</v>
      </c>
      <c r="AR62" s="38">
        <v>45412</v>
      </c>
      <c r="AS62" s="9">
        <v>901240105</v>
      </c>
      <c r="AT62" s="9" t="s">
        <v>317</v>
      </c>
      <c r="AU62" s="38">
        <v>45453</v>
      </c>
      <c r="AV62" s="9"/>
    </row>
    <row r="63" spans="1:48" s="11" customFormat="1" ht="54.75" customHeight="1">
      <c r="A63" s="73" t="s">
        <v>318</v>
      </c>
      <c r="B63" s="74" t="s">
        <v>319</v>
      </c>
      <c r="C63" s="53" t="s">
        <v>68</v>
      </c>
      <c r="D63" s="53" t="s">
        <v>165</v>
      </c>
      <c r="E63" s="53" t="s">
        <v>81</v>
      </c>
      <c r="F63" s="53" t="s">
        <v>294</v>
      </c>
      <c r="G63" s="58" t="s">
        <v>71</v>
      </c>
      <c r="H63" s="54">
        <v>816499.99999999988</v>
      </c>
      <c r="I63" s="54" t="e">
        <v>#N/A</v>
      </c>
      <c r="J63" s="55">
        <v>816499.99999999988</v>
      </c>
      <c r="K63" s="43" t="s">
        <v>72</v>
      </c>
      <c r="L63" s="55" t="s">
        <v>267</v>
      </c>
      <c r="M63" s="45" t="s">
        <v>142</v>
      </c>
      <c r="N63" s="45"/>
      <c r="O63" s="77" t="s">
        <v>268</v>
      </c>
      <c r="P63" s="129">
        <v>45011</v>
      </c>
      <c r="Q63" s="122">
        <v>45041</v>
      </c>
      <c r="R63" s="130">
        <v>45041</v>
      </c>
      <c r="S63" s="131">
        <v>45071</v>
      </c>
      <c r="T63" s="129" t="s">
        <v>527</v>
      </c>
      <c r="U63" s="122" t="s">
        <v>527</v>
      </c>
      <c r="V63" s="130">
        <v>45101</v>
      </c>
      <c r="W63" s="131">
        <v>45146</v>
      </c>
      <c r="X63" s="123">
        <v>45209</v>
      </c>
      <c r="Y63" s="124">
        <v>45270</v>
      </c>
      <c r="Z63" s="103" t="s">
        <v>1500</v>
      </c>
      <c r="AA63" s="111" t="s">
        <v>1501</v>
      </c>
      <c r="AB63" s="116" t="s">
        <v>295</v>
      </c>
      <c r="AC63" s="117" t="s">
        <v>295</v>
      </c>
      <c r="AD63" s="114" t="s">
        <v>1502</v>
      </c>
      <c r="AE63" s="47" t="s">
        <v>1503</v>
      </c>
      <c r="AF63" s="8" t="s">
        <v>268</v>
      </c>
      <c r="AG63" s="28" t="s">
        <v>267</v>
      </c>
      <c r="AH63" s="28" t="s">
        <v>267</v>
      </c>
      <c r="AI63" s="9" t="s">
        <v>159</v>
      </c>
      <c r="AJ63" s="10">
        <v>45176</v>
      </c>
      <c r="AK63" s="9">
        <v>902230413</v>
      </c>
      <c r="AL63" s="10">
        <v>45180</v>
      </c>
      <c r="AM63" s="16" t="s">
        <v>267</v>
      </c>
      <c r="AN63" s="29" t="s">
        <v>146</v>
      </c>
      <c r="AO63" s="28" t="s">
        <v>147</v>
      </c>
      <c r="AP63" s="37">
        <v>816499.99999999988</v>
      </c>
      <c r="AQ63" s="38">
        <v>45209</v>
      </c>
      <c r="AR63" s="38">
        <v>45270</v>
      </c>
      <c r="AS63" s="9">
        <v>901230281</v>
      </c>
      <c r="AT63" s="9" t="s">
        <v>320</v>
      </c>
      <c r="AU63" s="38">
        <v>45270</v>
      </c>
      <c r="AV63" s="9"/>
    </row>
    <row r="64" spans="1:48" s="11" customFormat="1" ht="54.75" hidden="1" customHeight="1">
      <c r="A64" s="73" t="s">
        <v>525</v>
      </c>
      <c r="B64" s="74" t="s">
        <v>526</v>
      </c>
      <c r="C64" s="53" t="s">
        <v>68</v>
      </c>
      <c r="D64" s="53" t="s">
        <v>165</v>
      </c>
      <c r="E64" s="53" t="s">
        <v>395</v>
      </c>
      <c r="F64" s="53" t="s">
        <v>294</v>
      </c>
      <c r="G64" s="58" t="s">
        <v>71</v>
      </c>
      <c r="H64" s="54">
        <v>217349.99999999997</v>
      </c>
      <c r="I64" s="54" t="e">
        <v>#N/A</v>
      </c>
      <c r="J64" s="55">
        <v>217349.99999999997</v>
      </c>
      <c r="K64" s="43" t="s">
        <v>72</v>
      </c>
      <c r="L64" s="55" t="s">
        <v>267</v>
      </c>
      <c r="M64" s="45" t="s">
        <v>142</v>
      </c>
      <c r="N64" s="45"/>
      <c r="O64" s="77" t="s">
        <v>268</v>
      </c>
      <c r="P64" s="129">
        <v>45080</v>
      </c>
      <c r="Q64" s="122">
        <v>45110</v>
      </c>
      <c r="R64" s="130">
        <v>45110</v>
      </c>
      <c r="S64" s="131">
        <v>45140</v>
      </c>
      <c r="T64" s="129" t="s">
        <v>527</v>
      </c>
      <c r="U64" s="122" t="s">
        <v>527</v>
      </c>
      <c r="V64" s="130">
        <v>45170</v>
      </c>
      <c r="W64" s="131">
        <v>45215</v>
      </c>
      <c r="X64" s="123">
        <v>45238</v>
      </c>
      <c r="Y64" s="124">
        <v>45314</v>
      </c>
      <c r="Z64" s="103" t="s">
        <v>1504</v>
      </c>
      <c r="AA64" s="111" t="s">
        <v>1505</v>
      </c>
      <c r="AB64" s="116" t="s">
        <v>295</v>
      </c>
      <c r="AC64" s="117" t="s">
        <v>295</v>
      </c>
      <c r="AD64" s="114" t="s">
        <v>1506</v>
      </c>
      <c r="AE64" s="47" t="s">
        <v>1507</v>
      </c>
      <c r="AF64" s="8" t="s">
        <v>268</v>
      </c>
      <c r="AG64" s="28" t="s">
        <v>267</v>
      </c>
      <c r="AH64" s="28" t="s">
        <v>267</v>
      </c>
      <c r="AI64" s="9" t="s">
        <v>159</v>
      </c>
      <c r="AJ64" s="10">
        <v>45221</v>
      </c>
      <c r="AK64" s="9">
        <v>602230239</v>
      </c>
      <c r="AL64" s="10">
        <v>45223</v>
      </c>
      <c r="AM64" s="16" t="s">
        <v>267</v>
      </c>
      <c r="AN64" s="29" t="s">
        <v>146</v>
      </c>
      <c r="AO64" s="28" t="s">
        <v>147</v>
      </c>
      <c r="AP64" s="37">
        <v>217349.99999999997</v>
      </c>
      <c r="AQ64" s="38">
        <v>45238</v>
      </c>
      <c r="AR64" s="38">
        <v>45314</v>
      </c>
      <c r="AS64" s="9">
        <v>601230179</v>
      </c>
      <c r="AT64" s="9" t="s">
        <v>528</v>
      </c>
      <c r="AU64" s="38">
        <v>45314</v>
      </c>
      <c r="AV64" s="9"/>
    </row>
    <row r="65" spans="1:48" s="11" customFormat="1" ht="54.75" customHeight="1">
      <c r="A65" s="56" t="s">
        <v>321</v>
      </c>
      <c r="B65" s="57" t="s">
        <v>322</v>
      </c>
      <c r="C65" s="53" t="s">
        <v>68</v>
      </c>
      <c r="D65" s="53" t="s">
        <v>165</v>
      </c>
      <c r="E65" s="53" t="s">
        <v>81</v>
      </c>
      <c r="F65" s="53" t="s">
        <v>81</v>
      </c>
      <c r="G65" s="53" t="s">
        <v>86</v>
      </c>
      <c r="H65" s="54">
        <v>24830132.999999996</v>
      </c>
      <c r="I65" s="54" t="e">
        <v>#N/A</v>
      </c>
      <c r="J65" s="55">
        <v>24830132.999999996</v>
      </c>
      <c r="K65" s="43" t="s">
        <v>72</v>
      </c>
      <c r="L65" s="55" t="s">
        <v>267</v>
      </c>
      <c r="M65" s="45" t="s">
        <v>142</v>
      </c>
      <c r="N65" s="45"/>
      <c r="O65" s="77" t="s">
        <v>268</v>
      </c>
      <c r="P65" s="129">
        <v>44775</v>
      </c>
      <c r="Q65" s="122">
        <v>44805</v>
      </c>
      <c r="R65" s="130">
        <v>44805</v>
      </c>
      <c r="S65" s="131">
        <v>44835</v>
      </c>
      <c r="T65" s="129" t="s">
        <v>527</v>
      </c>
      <c r="U65" s="122" t="s">
        <v>527</v>
      </c>
      <c r="V65" s="130">
        <v>44865</v>
      </c>
      <c r="W65" s="131">
        <v>44910</v>
      </c>
      <c r="X65" s="123">
        <v>45294</v>
      </c>
      <c r="Y65" s="124">
        <v>45434</v>
      </c>
      <c r="Z65" s="103" t="s">
        <v>1508</v>
      </c>
      <c r="AA65" s="111" t="s">
        <v>1509</v>
      </c>
      <c r="AB65" s="116" t="s">
        <v>1510</v>
      </c>
      <c r="AC65" s="117" t="s">
        <v>1509</v>
      </c>
      <c r="AD65" s="114" t="s">
        <v>1511</v>
      </c>
      <c r="AE65" s="47" t="s">
        <v>1512</v>
      </c>
      <c r="AF65" s="8" t="s">
        <v>268</v>
      </c>
      <c r="AG65" s="28" t="s">
        <v>267</v>
      </c>
      <c r="AH65" s="28" t="s">
        <v>267</v>
      </c>
      <c r="AI65" s="9" t="s">
        <v>159</v>
      </c>
      <c r="AJ65" s="10">
        <v>45279</v>
      </c>
      <c r="AK65" s="9">
        <v>902230559</v>
      </c>
      <c r="AL65" s="10">
        <v>45279</v>
      </c>
      <c r="AM65" s="16" t="s">
        <v>267</v>
      </c>
      <c r="AN65" s="29" t="s">
        <v>146</v>
      </c>
      <c r="AO65" s="28" t="s">
        <v>147</v>
      </c>
      <c r="AP65" s="37">
        <v>24830132.999999996</v>
      </c>
      <c r="AQ65" s="38">
        <v>45294</v>
      </c>
      <c r="AR65" s="38">
        <v>45397</v>
      </c>
      <c r="AS65" s="9">
        <v>901240090</v>
      </c>
      <c r="AT65" s="9" t="s">
        <v>323</v>
      </c>
      <c r="AU65" s="38">
        <v>45434</v>
      </c>
      <c r="AV65" s="9"/>
    </row>
    <row r="66" spans="1:48" s="11" customFormat="1" ht="54.75" customHeight="1">
      <c r="A66" s="53" t="s">
        <v>1513</v>
      </c>
      <c r="B66" s="57" t="s">
        <v>324</v>
      </c>
      <c r="C66" s="53" t="s">
        <v>68</v>
      </c>
      <c r="D66" s="53" t="s">
        <v>165</v>
      </c>
      <c r="E66" s="53" t="s">
        <v>81</v>
      </c>
      <c r="F66" s="53" t="s">
        <v>93</v>
      </c>
      <c r="G66" s="53" t="s">
        <v>94</v>
      </c>
      <c r="H66" s="54">
        <v>44275000</v>
      </c>
      <c r="I66" s="54" t="e">
        <v>#N/A</v>
      </c>
      <c r="J66" s="55">
        <v>44275000</v>
      </c>
      <c r="K66" s="43" t="s">
        <v>72</v>
      </c>
      <c r="L66" s="55" t="s">
        <v>267</v>
      </c>
      <c r="M66" s="45" t="s">
        <v>142</v>
      </c>
      <c r="N66" s="45"/>
      <c r="O66" s="77" t="s">
        <v>268</v>
      </c>
      <c r="P66" s="129">
        <v>44775</v>
      </c>
      <c r="Q66" s="122">
        <v>44805</v>
      </c>
      <c r="R66" s="130">
        <v>44805</v>
      </c>
      <c r="S66" s="131">
        <v>44835</v>
      </c>
      <c r="T66" s="129" t="s">
        <v>527</v>
      </c>
      <c r="U66" s="122" t="s">
        <v>527</v>
      </c>
      <c r="V66" s="130">
        <v>44865</v>
      </c>
      <c r="W66" s="131">
        <v>44910</v>
      </c>
      <c r="X66" s="123">
        <v>44980</v>
      </c>
      <c r="Y66" s="124">
        <v>45176</v>
      </c>
      <c r="Z66" s="103" t="s">
        <v>1494</v>
      </c>
      <c r="AA66" s="111" t="s">
        <v>1495</v>
      </c>
      <c r="AB66" s="116" t="s">
        <v>1514</v>
      </c>
      <c r="AC66" s="117" t="s">
        <v>1497</v>
      </c>
      <c r="AD66" s="114" t="s">
        <v>1498</v>
      </c>
      <c r="AE66" s="47" t="s">
        <v>1499</v>
      </c>
      <c r="AF66" s="8" t="s">
        <v>268</v>
      </c>
      <c r="AG66" s="28" t="s">
        <v>267</v>
      </c>
      <c r="AH66" s="28" t="s">
        <v>267</v>
      </c>
      <c r="AI66" s="9" t="s">
        <v>159</v>
      </c>
      <c r="AJ66" s="10">
        <v>44936</v>
      </c>
      <c r="AK66" s="9">
        <v>902230007</v>
      </c>
      <c r="AL66" s="10">
        <v>44970</v>
      </c>
      <c r="AM66" s="16" t="s">
        <v>267</v>
      </c>
      <c r="AN66" s="29" t="s">
        <v>146</v>
      </c>
      <c r="AO66" s="28" t="s">
        <v>147</v>
      </c>
      <c r="AP66" s="37">
        <v>44275000</v>
      </c>
      <c r="AQ66" s="38">
        <v>44980</v>
      </c>
      <c r="AR66" s="38">
        <v>45160</v>
      </c>
      <c r="AS66" s="9">
        <v>901230173</v>
      </c>
      <c r="AT66" s="9" t="s">
        <v>325</v>
      </c>
      <c r="AU66" s="38">
        <v>45176</v>
      </c>
      <c r="AV66" s="9"/>
    </row>
    <row r="67" spans="1:48" s="11" customFormat="1" ht="54.75" customHeight="1">
      <c r="A67" s="56" t="s">
        <v>1515</v>
      </c>
      <c r="B67" s="57" t="s">
        <v>326</v>
      </c>
      <c r="C67" s="53" t="s">
        <v>68</v>
      </c>
      <c r="D67" s="53" t="s">
        <v>165</v>
      </c>
      <c r="E67" s="53" t="s">
        <v>81</v>
      </c>
      <c r="F67" s="53" t="s">
        <v>81</v>
      </c>
      <c r="G67" s="53" t="s">
        <v>86</v>
      </c>
      <c r="H67" s="54">
        <v>56750066.599999994</v>
      </c>
      <c r="I67" s="54" t="e">
        <v>#N/A</v>
      </c>
      <c r="J67" s="55">
        <v>56750066.599999994</v>
      </c>
      <c r="K67" s="43" t="s">
        <v>72</v>
      </c>
      <c r="L67" s="55" t="s">
        <v>267</v>
      </c>
      <c r="M67" s="45" t="s">
        <v>142</v>
      </c>
      <c r="N67" s="45"/>
      <c r="O67" s="77" t="s">
        <v>268</v>
      </c>
      <c r="P67" s="129">
        <v>44775</v>
      </c>
      <c r="Q67" s="122">
        <v>44805</v>
      </c>
      <c r="R67" s="130">
        <v>44805</v>
      </c>
      <c r="S67" s="131">
        <v>44835</v>
      </c>
      <c r="T67" s="129" t="s">
        <v>527</v>
      </c>
      <c r="U67" s="122" t="s">
        <v>527</v>
      </c>
      <c r="V67" s="130">
        <v>44865</v>
      </c>
      <c r="W67" s="131">
        <v>44910</v>
      </c>
      <c r="X67" s="123">
        <v>44986</v>
      </c>
      <c r="Y67" s="124">
        <v>45141</v>
      </c>
      <c r="Z67" s="103" t="s">
        <v>1516</v>
      </c>
      <c r="AA67" s="111" t="s">
        <v>1517</v>
      </c>
      <c r="AB67" s="116" t="s">
        <v>1518</v>
      </c>
      <c r="AC67" s="117" t="s">
        <v>1519</v>
      </c>
      <c r="AD67" s="114" t="s">
        <v>1520</v>
      </c>
      <c r="AE67" s="47" t="s">
        <v>1521</v>
      </c>
      <c r="AF67" s="8" t="s">
        <v>268</v>
      </c>
      <c r="AG67" s="28" t="s">
        <v>267</v>
      </c>
      <c r="AH67" s="28" t="s">
        <v>267</v>
      </c>
      <c r="AI67" s="9" t="s">
        <v>159</v>
      </c>
      <c r="AJ67" s="10">
        <v>44916</v>
      </c>
      <c r="AK67" s="9">
        <v>902220532</v>
      </c>
      <c r="AL67" s="10">
        <v>44970</v>
      </c>
      <c r="AM67" s="16" t="s">
        <v>267</v>
      </c>
      <c r="AN67" s="29" t="s">
        <v>146</v>
      </c>
      <c r="AO67" s="28" t="s">
        <v>147</v>
      </c>
      <c r="AP67" s="37">
        <v>56750066.599999994</v>
      </c>
      <c r="AQ67" s="38">
        <v>44986</v>
      </c>
      <c r="AR67" s="38">
        <v>45141</v>
      </c>
      <c r="AS67" s="9">
        <v>901230145</v>
      </c>
      <c r="AT67" s="9" t="s">
        <v>327</v>
      </c>
      <c r="AU67" s="38">
        <v>45141</v>
      </c>
      <c r="AV67" s="9"/>
    </row>
    <row r="68" spans="1:48" s="11" customFormat="1" ht="54.75" customHeight="1">
      <c r="A68" s="56" t="s">
        <v>344</v>
      </c>
      <c r="B68" s="57" t="s">
        <v>328</v>
      </c>
      <c r="C68" s="53" t="s">
        <v>68</v>
      </c>
      <c r="D68" s="53" t="s">
        <v>165</v>
      </c>
      <c r="E68" s="53" t="s">
        <v>81</v>
      </c>
      <c r="F68" s="53" t="s">
        <v>81</v>
      </c>
      <c r="G68" s="53" t="s">
        <v>86</v>
      </c>
      <c r="H68" s="54">
        <v>43639020.099999994</v>
      </c>
      <c r="I68" s="54" t="e">
        <v>#N/A</v>
      </c>
      <c r="J68" s="55">
        <v>43639020.099999994</v>
      </c>
      <c r="K68" s="43" t="s">
        <v>72</v>
      </c>
      <c r="L68" s="55" t="s">
        <v>267</v>
      </c>
      <c r="M68" s="45" t="s">
        <v>142</v>
      </c>
      <c r="N68" s="45"/>
      <c r="O68" s="77" t="s">
        <v>268</v>
      </c>
      <c r="P68" s="129">
        <v>44775</v>
      </c>
      <c r="Q68" s="122">
        <v>44805</v>
      </c>
      <c r="R68" s="130">
        <v>44805</v>
      </c>
      <c r="S68" s="131">
        <v>44835</v>
      </c>
      <c r="T68" s="129" t="s">
        <v>527</v>
      </c>
      <c r="U68" s="122" t="s">
        <v>527</v>
      </c>
      <c r="V68" s="130">
        <v>44865</v>
      </c>
      <c r="W68" s="131">
        <v>44910</v>
      </c>
      <c r="X68" s="123">
        <v>45202</v>
      </c>
      <c r="Y68" s="124">
        <v>45322</v>
      </c>
      <c r="Z68" s="103" t="s">
        <v>1522</v>
      </c>
      <c r="AA68" s="111" t="s">
        <v>1523</v>
      </c>
      <c r="AB68" s="116" t="s">
        <v>1524</v>
      </c>
      <c r="AC68" s="117" t="s">
        <v>1525</v>
      </c>
      <c r="AD68" s="114" t="s">
        <v>1485</v>
      </c>
      <c r="AE68" s="47" t="s">
        <v>1526</v>
      </c>
      <c r="AF68" s="8" t="s">
        <v>268</v>
      </c>
      <c r="AG68" s="28" t="s">
        <v>267</v>
      </c>
      <c r="AH68" s="28" t="s">
        <v>267</v>
      </c>
      <c r="AI68" s="9" t="s">
        <v>159</v>
      </c>
      <c r="AJ68" s="10">
        <v>45182</v>
      </c>
      <c r="AK68" s="9">
        <v>902230417</v>
      </c>
      <c r="AL68" s="10">
        <v>45189</v>
      </c>
      <c r="AM68" s="16" t="s">
        <v>267</v>
      </c>
      <c r="AN68" s="29" t="s">
        <v>146</v>
      </c>
      <c r="AO68" s="28" t="s">
        <v>157</v>
      </c>
      <c r="AP68" s="37">
        <v>43639020.099999994</v>
      </c>
      <c r="AQ68" s="38">
        <v>45202</v>
      </c>
      <c r="AR68" s="38">
        <v>45299</v>
      </c>
      <c r="AS68" s="9">
        <v>901230317</v>
      </c>
      <c r="AT68" s="9" t="s">
        <v>329</v>
      </c>
      <c r="AU68" s="38">
        <v>45322</v>
      </c>
      <c r="AV68" s="9"/>
    </row>
    <row r="69" spans="1:48" s="11" customFormat="1" ht="54.75" customHeight="1">
      <c r="A69" s="53" t="s">
        <v>1527</v>
      </c>
      <c r="B69" s="57" t="s">
        <v>330</v>
      </c>
      <c r="C69" s="53" t="s">
        <v>68</v>
      </c>
      <c r="D69" s="53" t="s">
        <v>165</v>
      </c>
      <c r="E69" s="53" t="s">
        <v>81</v>
      </c>
      <c r="F69" s="53" t="s">
        <v>81</v>
      </c>
      <c r="G69" s="53" t="s">
        <v>86</v>
      </c>
      <c r="H69" s="54">
        <v>50599999.999999993</v>
      </c>
      <c r="I69" s="54" t="e">
        <v>#N/A</v>
      </c>
      <c r="J69" s="55">
        <v>29432727.16</v>
      </c>
      <c r="K69" s="43" t="s">
        <v>72</v>
      </c>
      <c r="L69" s="55" t="s">
        <v>267</v>
      </c>
      <c r="M69" s="45" t="s">
        <v>142</v>
      </c>
      <c r="N69" s="45"/>
      <c r="O69" s="77" t="s">
        <v>268</v>
      </c>
      <c r="P69" s="129">
        <v>45082</v>
      </c>
      <c r="Q69" s="122">
        <v>45112</v>
      </c>
      <c r="R69" s="130">
        <v>45112</v>
      </c>
      <c r="S69" s="131">
        <v>45142</v>
      </c>
      <c r="T69" s="129" t="s">
        <v>527</v>
      </c>
      <c r="U69" s="122" t="s">
        <v>527</v>
      </c>
      <c r="V69" s="130">
        <v>45172</v>
      </c>
      <c r="W69" s="131">
        <v>45217</v>
      </c>
      <c r="X69" s="123">
        <v>45238</v>
      </c>
      <c r="Y69" s="124">
        <v>45497</v>
      </c>
      <c r="Z69" s="103" t="s">
        <v>1459</v>
      </c>
      <c r="AA69" s="111" t="s">
        <v>1528</v>
      </c>
      <c r="AB69" s="116" t="s">
        <v>1529</v>
      </c>
      <c r="AC69" s="117" t="s">
        <v>1530</v>
      </c>
      <c r="AD69" s="114" t="s">
        <v>1531</v>
      </c>
      <c r="AE69" s="47" t="s">
        <v>1532</v>
      </c>
      <c r="AF69" s="8" t="s">
        <v>268</v>
      </c>
      <c r="AG69" s="28" t="s">
        <v>267</v>
      </c>
      <c r="AH69" s="28" t="s">
        <v>267</v>
      </c>
      <c r="AI69" s="9" t="s">
        <v>159</v>
      </c>
      <c r="AJ69" s="10">
        <v>45222</v>
      </c>
      <c r="AK69" s="9">
        <v>902230467</v>
      </c>
      <c r="AL69" s="10">
        <v>45222</v>
      </c>
      <c r="AM69" s="16" t="s">
        <v>267</v>
      </c>
      <c r="AN69" s="29" t="s">
        <v>146</v>
      </c>
      <c r="AO69" s="28" t="s">
        <v>157</v>
      </c>
      <c r="AP69" s="37">
        <v>29432727.169999998</v>
      </c>
      <c r="AQ69" s="38">
        <v>45238</v>
      </c>
      <c r="AR69" s="38">
        <v>45399</v>
      </c>
      <c r="AS69" s="9">
        <v>901240095</v>
      </c>
      <c r="AT69" s="9" t="s">
        <v>331</v>
      </c>
      <c r="AU69" s="38">
        <v>45497</v>
      </c>
      <c r="AV69" s="9"/>
    </row>
    <row r="70" spans="1:48" s="11" customFormat="1" ht="54.75" customHeight="1">
      <c r="A70" s="53" t="s">
        <v>332</v>
      </c>
      <c r="B70" s="57" t="s">
        <v>333</v>
      </c>
      <c r="C70" s="53" t="s">
        <v>68</v>
      </c>
      <c r="D70" s="53" t="s">
        <v>165</v>
      </c>
      <c r="E70" s="53" t="s">
        <v>81</v>
      </c>
      <c r="F70" s="53" t="s">
        <v>81</v>
      </c>
      <c r="G70" s="53" t="s">
        <v>86</v>
      </c>
      <c r="H70" s="54">
        <v>29301148.195</v>
      </c>
      <c r="I70" s="54" t="e">
        <v>#N/A</v>
      </c>
      <c r="J70" s="55">
        <v>29301148.195</v>
      </c>
      <c r="K70" s="43" t="s">
        <v>72</v>
      </c>
      <c r="L70" s="55" t="s">
        <v>267</v>
      </c>
      <c r="M70" s="45" t="s">
        <v>142</v>
      </c>
      <c r="N70" s="45"/>
      <c r="O70" s="77" t="s">
        <v>268</v>
      </c>
      <c r="P70" s="129">
        <v>45007</v>
      </c>
      <c r="Q70" s="122">
        <v>45037</v>
      </c>
      <c r="R70" s="130">
        <v>45037</v>
      </c>
      <c r="S70" s="131">
        <v>45052</v>
      </c>
      <c r="T70" s="129" t="s">
        <v>527</v>
      </c>
      <c r="U70" s="122" t="s">
        <v>527</v>
      </c>
      <c r="V70" s="130">
        <v>45079</v>
      </c>
      <c r="W70" s="131">
        <v>45103</v>
      </c>
      <c r="X70" s="123">
        <v>45158</v>
      </c>
      <c r="Y70" s="124">
        <v>45372</v>
      </c>
      <c r="Z70" s="103" t="s">
        <v>1533</v>
      </c>
      <c r="AA70" s="111" t="s">
        <v>1534</v>
      </c>
      <c r="AB70" s="116" t="s">
        <v>1535</v>
      </c>
      <c r="AC70" s="117" t="s">
        <v>1536</v>
      </c>
      <c r="AD70" s="114" t="s">
        <v>1537</v>
      </c>
      <c r="AE70" s="47" t="s">
        <v>1534</v>
      </c>
      <c r="AF70" s="8" t="s">
        <v>268</v>
      </c>
      <c r="AG70" s="28" t="s">
        <v>267</v>
      </c>
      <c r="AH70" s="28" t="s">
        <v>267</v>
      </c>
      <c r="AI70" s="9" t="s">
        <v>159</v>
      </c>
      <c r="AJ70" s="10"/>
      <c r="AK70" s="9" t="s">
        <v>160</v>
      </c>
      <c r="AL70" s="10"/>
      <c r="AM70" s="16" t="s">
        <v>267</v>
      </c>
      <c r="AN70" s="29" t="s">
        <v>146</v>
      </c>
      <c r="AO70" s="28" t="s">
        <v>147</v>
      </c>
      <c r="AP70" s="37">
        <v>29301148.240999997</v>
      </c>
      <c r="AQ70" s="38">
        <v>45158</v>
      </c>
      <c r="AR70" s="38">
        <v>45342</v>
      </c>
      <c r="AS70" s="9">
        <v>901240024</v>
      </c>
      <c r="AT70" s="9" t="s">
        <v>334</v>
      </c>
      <c r="AU70" s="38">
        <v>45372</v>
      </c>
      <c r="AV70" s="9"/>
    </row>
    <row r="71" spans="1:48" s="11" customFormat="1" ht="54.75" customHeight="1">
      <c r="A71" s="53" t="s">
        <v>335</v>
      </c>
      <c r="B71" s="57" t="s">
        <v>336</v>
      </c>
      <c r="C71" s="53" t="s">
        <v>68</v>
      </c>
      <c r="D71" s="53" t="s">
        <v>165</v>
      </c>
      <c r="E71" s="53" t="s">
        <v>81</v>
      </c>
      <c r="F71" s="53" t="s">
        <v>81</v>
      </c>
      <c r="G71" s="53" t="s">
        <v>86</v>
      </c>
      <c r="H71" s="54">
        <v>111774958.40000001</v>
      </c>
      <c r="I71" s="54" t="e">
        <v>#N/A</v>
      </c>
      <c r="J71" s="55">
        <v>111774958.40000001</v>
      </c>
      <c r="K71" s="43" t="s">
        <v>72</v>
      </c>
      <c r="L71" s="55" t="s">
        <v>267</v>
      </c>
      <c r="M71" s="45" t="s">
        <v>142</v>
      </c>
      <c r="N71" s="45"/>
      <c r="O71" s="77" t="s">
        <v>268</v>
      </c>
      <c r="P71" s="129">
        <v>44996</v>
      </c>
      <c r="Q71" s="122">
        <v>45026</v>
      </c>
      <c r="R71" s="130">
        <v>45026</v>
      </c>
      <c r="S71" s="131">
        <v>45056</v>
      </c>
      <c r="T71" s="129" t="s">
        <v>527</v>
      </c>
      <c r="U71" s="122" t="s">
        <v>527</v>
      </c>
      <c r="V71" s="130">
        <v>45086</v>
      </c>
      <c r="W71" s="131">
        <v>45131</v>
      </c>
      <c r="X71" s="123">
        <v>45223</v>
      </c>
      <c r="Y71" s="124">
        <v>45397</v>
      </c>
      <c r="Z71" s="103" t="s">
        <v>1538</v>
      </c>
      <c r="AA71" s="111" t="s">
        <v>1539</v>
      </c>
      <c r="AB71" s="116" t="s">
        <v>1540</v>
      </c>
      <c r="AC71" s="117" t="s">
        <v>1541</v>
      </c>
      <c r="AD71" s="114" t="s">
        <v>1542</v>
      </c>
      <c r="AE71" s="47" t="s">
        <v>1543</v>
      </c>
      <c r="AF71" s="8" t="s">
        <v>268</v>
      </c>
      <c r="AG71" s="28" t="s">
        <v>267</v>
      </c>
      <c r="AH71" s="28" t="s">
        <v>267</v>
      </c>
      <c r="AI71" s="9" t="s">
        <v>159</v>
      </c>
      <c r="AJ71" s="10"/>
      <c r="AK71" s="9" t="s">
        <v>160</v>
      </c>
      <c r="AL71" s="10"/>
      <c r="AM71" s="16" t="s">
        <v>267</v>
      </c>
      <c r="AN71" s="29" t="s">
        <v>146</v>
      </c>
      <c r="AO71" s="28" t="s">
        <v>147</v>
      </c>
      <c r="AP71" s="37">
        <v>111774958.39999999</v>
      </c>
      <c r="AQ71" s="38">
        <v>45223</v>
      </c>
      <c r="AR71" s="38">
        <v>45342</v>
      </c>
      <c r="AS71" s="9">
        <v>901240021</v>
      </c>
      <c r="AT71" s="9" t="s">
        <v>337</v>
      </c>
      <c r="AU71" s="38">
        <v>45397</v>
      </c>
      <c r="AV71" s="9"/>
    </row>
    <row r="72" spans="1:48" s="11" customFormat="1" ht="54.75" customHeight="1">
      <c r="A72" s="53" t="s">
        <v>338</v>
      </c>
      <c r="B72" s="57" t="s">
        <v>339</v>
      </c>
      <c r="C72" s="53" t="s">
        <v>68</v>
      </c>
      <c r="D72" s="53" t="s">
        <v>165</v>
      </c>
      <c r="E72" s="53" t="s">
        <v>81</v>
      </c>
      <c r="F72" s="53" t="s">
        <v>81</v>
      </c>
      <c r="G72" s="53" t="s">
        <v>86</v>
      </c>
      <c r="H72" s="54">
        <v>83905989.5</v>
      </c>
      <c r="I72" s="54" t="e">
        <v>#N/A</v>
      </c>
      <c r="J72" s="55">
        <v>83905989.5</v>
      </c>
      <c r="K72" s="43" t="s">
        <v>72</v>
      </c>
      <c r="L72" s="55" t="s">
        <v>267</v>
      </c>
      <c r="M72" s="45" t="s">
        <v>142</v>
      </c>
      <c r="N72" s="45"/>
      <c r="O72" s="77" t="s">
        <v>268</v>
      </c>
      <c r="P72" s="129">
        <v>45081</v>
      </c>
      <c r="Q72" s="122">
        <v>45111</v>
      </c>
      <c r="R72" s="130">
        <v>45111</v>
      </c>
      <c r="S72" s="131">
        <v>45141</v>
      </c>
      <c r="T72" s="129" t="s">
        <v>527</v>
      </c>
      <c r="U72" s="122" t="s">
        <v>527</v>
      </c>
      <c r="V72" s="130">
        <v>45171</v>
      </c>
      <c r="W72" s="131">
        <v>45216</v>
      </c>
      <c r="X72" s="123">
        <v>45238</v>
      </c>
      <c r="Y72" s="124">
        <v>45411</v>
      </c>
      <c r="Z72" s="103" t="s">
        <v>1544</v>
      </c>
      <c r="AA72" s="111" t="s">
        <v>1545</v>
      </c>
      <c r="AB72" s="116" t="s">
        <v>1546</v>
      </c>
      <c r="AC72" s="117" t="s">
        <v>1547</v>
      </c>
      <c r="AD72" s="114" t="s">
        <v>1546</v>
      </c>
      <c r="AE72" s="47" t="s">
        <v>1548</v>
      </c>
      <c r="AF72" s="8" t="s">
        <v>268</v>
      </c>
      <c r="AG72" s="28" t="s">
        <v>267</v>
      </c>
      <c r="AH72" s="28" t="s">
        <v>267</v>
      </c>
      <c r="AI72" s="9" t="s">
        <v>159</v>
      </c>
      <c r="AJ72" s="10">
        <v>45221</v>
      </c>
      <c r="AK72" s="9">
        <v>902230466</v>
      </c>
      <c r="AL72" s="10">
        <v>45221</v>
      </c>
      <c r="AM72" s="16" t="s">
        <v>267</v>
      </c>
      <c r="AN72" s="29" t="s">
        <v>146</v>
      </c>
      <c r="AO72" s="28" t="s">
        <v>147</v>
      </c>
      <c r="AP72" s="37">
        <v>83905989.5</v>
      </c>
      <c r="AQ72" s="38">
        <v>45238</v>
      </c>
      <c r="AR72" s="38">
        <v>45350</v>
      </c>
      <c r="AS72" s="9">
        <v>901240018</v>
      </c>
      <c r="AT72" s="9" t="s">
        <v>340</v>
      </c>
      <c r="AU72" s="38">
        <v>45411</v>
      </c>
      <c r="AV72" s="9"/>
    </row>
    <row r="73" spans="1:48" s="11" customFormat="1" ht="54.75" customHeight="1">
      <c r="A73" s="53" t="s">
        <v>1549</v>
      </c>
      <c r="B73" s="57" t="s">
        <v>342</v>
      </c>
      <c r="C73" s="53" t="s">
        <v>68</v>
      </c>
      <c r="D73" s="53" t="s">
        <v>165</v>
      </c>
      <c r="E73" s="53" t="s">
        <v>81</v>
      </c>
      <c r="F73" s="53" t="s">
        <v>81</v>
      </c>
      <c r="G73" s="53" t="s">
        <v>86</v>
      </c>
      <c r="H73" s="54">
        <v>28749999.999999996</v>
      </c>
      <c r="I73" s="54" t="e">
        <v>#N/A</v>
      </c>
      <c r="J73" s="55">
        <v>35894605</v>
      </c>
      <c r="K73" s="43" t="s">
        <v>72</v>
      </c>
      <c r="L73" s="55" t="s">
        <v>267</v>
      </c>
      <c r="M73" s="45" t="s">
        <v>142</v>
      </c>
      <c r="N73" s="45"/>
      <c r="O73" s="77" t="s">
        <v>268</v>
      </c>
      <c r="P73" s="129">
        <v>45157</v>
      </c>
      <c r="Q73" s="122">
        <v>45187</v>
      </c>
      <c r="R73" s="130">
        <v>45187</v>
      </c>
      <c r="S73" s="131">
        <v>45217</v>
      </c>
      <c r="T73" s="129" t="s">
        <v>527</v>
      </c>
      <c r="U73" s="122" t="s">
        <v>527</v>
      </c>
      <c r="V73" s="130">
        <v>45247</v>
      </c>
      <c r="W73" s="131">
        <v>45292</v>
      </c>
      <c r="X73" s="123">
        <v>45361</v>
      </c>
      <c r="Y73" s="124">
        <v>45524</v>
      </c>
      <c r="Z73" s="103" t="s">
        <v>1550</v>
      </c>
      <c r="AA73" s="111" t="s">
        <v>1551</v>
      </c>
      <c r="AB73" s="116" t="s">
        <v>1552</v>
      </c>
      <c r="AC73" s="117" t="s">
        <v>1553</v>
      </c>
      <c r="AD73" s="114" t="s">
        <v>1554</v>
      </c>
      <c r="AE73" s="47" t="s">
        <v>1555</v>
      </c>
      <c r="AF73" s="8" t="s">
        <v>268</v>
      </c>
      <c r="AG73" s="28" t="s">
        <v>267</v>
      </c>
      <c r="AH73" s="28" t="s">
        <v>267</v>
      </c>
      <c r="AI73" s="9" t="s">
        <v>159</v>
      </c>
      <c r="AJ73" s="10">
        <v>45482</v>
      </c>
      <c r="AK73" s="9">
        <v>902240431</v>
      </c>
      <c r="AL73" s="10">
        <v>45484</v>
      </c>
      <c r="AM73" s="16" t="s">
        <v>267</v>
      </c>
      <c r="AN73" s="29" t="s">
        <v>146</v>
      </c>
      <c r="AO73" s="28" t="s">
        <v>147</v>
      </c>
      <c r="AP73" s="37">
        <v>35894605</v>
      </c>
      <c r="AQ73" s="38">
        <v>45361</v>
      </c>
      <c r="AR73" s="38">
        <v>45489</v>
      </c>
      <c r="AS73" s="9">
        <v>901240136</v>
      </c>
      <c r="AT73" s="9" t="s">
        <v>343</v>
      </c>
      <c r="AU73" s="38">
        <v>45524</v>
      </c>
      <c r="AV73" s="9"/>
    </row>
    <row r="74" spans="1:48" s="11" customFormat="1" ht="54.75" customHeight="1">
      <c r="A74" s="53" t="s">
        <v>1556</v>
      </c>
      <c r="B74" s="57" t="s">
        <v>345</v>
      </c>
      <c r="C74" s="53" t="s">
        <v>68</v>
      </c>
      <c r="D74" s="53" t="s">
        <v>165</v>
      </c>
      <c r="E74" s="53" t="s">
        <v>81</v>
      </c>
      <c r="F74" s="53" t="s">
        <v>81</v>
      </c>
      <c r="G74" s="53" t="s">
        <v>86</v>
      </c>
      <c r="H74" s="54">
        <v>26147277.449999999</v>
      </c>
      <c r="I74" s="54" t="e">
        <v>#N/A</v>
      </c>
      <c r="J74" s="55">
        <v>26147277.449999999</v>
      </c>
      <c r="K74" s="43" t="s">
        <v>72</v>
      </c>
      <c r="L74" s="55" t="s">
        <v>267</v>
      </c>
      <c r="M74" s="45" t="s">
        <v>142</v>
      </c>
      <c r="N74" s="45"/>
      <c r="O74" s="77" t="s">
        <v>268</v>
      </c>
      <c r="P74" s="129">
        <v>44996</v>
      </c>
      <c r="Q74" s="122">
        <v>45026</v>
      </c>
      <c r="R74" s="130">
        <v>45026</v>
      </c>
      <c r="S74" s="131">
        <v>45056</v>
      </c>
      <c r="T74" s="129" t="s">
        <v>527</v>
      </c>
      <c r="U74" s="122" t="s">
        <v>527</v>
      </c>
      <c r="V74" s="130">
        <v>45086</v>
      </c>
      <c r="W74" s="133">
        <v>45131</v>
      </c>
      <c r="X74" s="123">
        <v>45147</v>
      </c>
      <c r="Y74" s="124">
        <v>45322</v>
      </c>
      <c r="Z74" s="103" t="s">
        <v>1557</v>
      </c>
      <c r="AA74" s="111" t="s">
        <v>1558</v>
      </c>
      <c r="AB74" s="116" t="s">
        <v>1504</v>
      </c>
      <c r="AC74" s="117" t="s">
        <v>1559</v>
      </c>
      <c r="AD74" s="114" t="s">
        <v>1560</v>
      </c>
      <c r="AE74" s="47" t="s">
        <v>1561</v>
      </c>
      <c r="AF74" s="8" t="s">
        <v>268</v>
      </c>
      <c r="AG74" s="28" t="s">
        <v>267</v>
      </c>
      <c r="AH74" s="28" t="s">
        <v>267</v>
      </c>
      <c r="AI74" s="9" t="s">
        <v>159</v>
      </c>
      <c r="AJ74" s="10">
        <v>45134</v>
      </c>
      <c r="AK74" s="9">
        <v>902230362</v>
      </c>
      <c r="AL74" s="10">
        <v>45141</v>
      </c>
      <c r="AM74" s="16" t="s">
        <v>267</v>
      </c>
      <c r="AN74" s="29" t="s">
        <v>146</v>
      </c>
      <c r="AO74" s="28" t="s">
        <v>147</v>
      </c>
      <c r="AP74" s="37">
        <v>26147277.449999999</v>
      </c>
      <c r="AQ74" s="38">
        <v>45147</v>
      </c>
      <c r="AR74" s="38">
        <v>45264</v>
      </c>
      <c r="AS74" s="9">
        <v>901230273</v>
      </c>
      <c r="AT74" s="9" t="s">
        <v>346</v>
      </c>
      <c r="AU74" s="38">
        <v>45322</v>
      </c>
      <c r="AV74" s="9"/>
    </row>
    <row r="75" spans="1:48" s="11" customFormat="1" ht="54.75" customHeight="1">
      <c r="A75" s="53" t="s">
        <v>1562</v>
      </c>
      <c r="B75" s="57" t="s">
        <v>348</v>
      </c>
      <c r="C75" s="53" t="s">
        <v>68</v>
      </c>
      <c r="D75" s="53" t="s">
        <v>165</v>
      </c>
      <c r="E75" s="53" t="s">
        <v>81</v>
      </c>
      <c r="F75" s="53" t="s">
        <v>194</v>
      </c>
      <c r="G75" s="53" t="s">
        <v>86</v>
      </c>
      <c r="H75" s="54">
        <v>43700000</v>
      </c>
      <c r="I75" s="54" t="e">
        <v>#N/A</v>
      </c>
      <c r="J75" s="55">
        <v>24989166.499999996</v>
      </c>
      <c r="K75" s="43" t="s">
        <v>72</v>
      </c>
      <c r="L75" s="55" t="s">
        <v>267</v>
      </c>
      <c r="M75" s="45" t="s">
        <v>142</v>
      </c>
      <c r="N75" s="45"/>
      <c r="O75" s="77" t="s">
        <v>268</v>
      </c>
      <c r="P75" s="129">
        <v>45240</v>
      </c>
      <c r="Q75" s="122">
        <v>45270</v>
      </c>
      <c r="R75" s="130">
        <v>45270</v>
      </c>
      <c r="S75" s="131">
        <v>45300</v>
      </c>
      <c r="T75" s="129" t="s">
        <v>527</v>
      </c>
      <c r="U75" s="122" t="s">
        <v>527</v>
      </c>
      <c r="V75" s="130">
        <v>45330</v>
      </c>
      <c r="W75" s="131">
        <v>45375</v>
      </c>
      <c r="X75" s="123">
        <v>45386</v>
      </c>
      <c r="Y75" s="124">
        <v>45540</v>
      </c>
      <c r="Z75" s="103" t="s">
        <v>1563</v>
      </c>
      <c r="AA75" s="111" t="s">
        <v>1564</v>
      </c>
      <c r="AB75" s="116" t="s">
        <v>1565</v>
      </c>
      <c r="AC75" s="117" t="s">
        <v>1566</v>
      </c>
      <c r="AD75" s="114" t="s">
        <v>1567</v>
      </c>
      <c r="AE75" s="47" t="s">
        <v>1568</v>
      </c>
      <c r="AF75" s="8" t="s">
        <v>268</v>
      </c>
      <c r="AG75" s="28" t="s">
        <v>267</v>
      </c>
      <c r="AH75" s="28" t="s">
        <v>267</v>
      </c>
      <c r="AI75" s="9" t="s">
        <v>159</v>
      </c>
      <c r="AJ75" s="10">
        <v>45378</v>
      </c>
      <c r="AK75" s="9">
        <v>902240202</v>
      </c>
      <c r="AL75" s="10">
        <v>45378</v>
      </c>
      <c r="AM75" s="16" t="s">
        <v>267</v>
      </c>
      <c r="AN75" s="29" t="s">
        <v>146</v>
      </c>
      <c r="AO75" s="28" t="s">
        <v>147</v>
      </c>
      <c r="AP75" s="37">
        <v>24989166.499999996</v>
      </c>
      <c r="AQ75" s="38">
        <v>45386</v>
      </c>
      <c r="AR75" s="38">
        <v>45470</v>
      </c>
      <c r="AS75" s="9">
        <v>901240144</v>
      </c>
      <c r="AT75" s="9" t="s">
        <v>349</v>
      </c>
      <c r="AU75" s="38">
        <v>45540</v>
      </c>
      <c r="AV75" s="9"/>
    </row>
    <row r="76" spans="1:48" s="11" customFormat="1" ht="54.75" customHeight="1">
      <c r="A76" s="53" t="s">
        <v>350</v>
      </c>
      <c r="B76" s="57" t="s">
        <v>351</v>
      </c>
      <c r="C76" s="53" t="s">
        <v>68</v>
      </c>
      <c r="D76" s="53" t="s">
        <v>165</v>
      </c>
      <c r="E76" s="53" t="s">
        <v>81</v>
      </c>
      <c r="F76" s="53" t="s">
        <v>81</v>
      </c>
      <c r="G76" s="53" t="s">
        <v>86</v>
      </c>
      <c r="H76" s="54">
        <v>17250000</v>
      </c>
      <c r="I76" s="54" t="e">
        <v>#N/A</v>
      </c>
      <c r="J76" s="55">
        <v>32081963.999999996</v>
      </c>
      <c r="K76" s="43" t="s">
        <v>72</v>
      </c>
      <c r="L76" s="55" t="s">
        <v>267</v>
      </c>
      <c r="M76" s="45" t="s">
        <v>142</v>
      </c>
      <c r="N76" s="45"/>
      <c r="O76" s="77" t="s">
        <v>268</v>
      </c>
      <c r="P76" s="129">
        <v>45229</v>
      </c>
      <c r="Q76" s="122">
        <v>45259</v>
      </c>
      <c r="R76" s="130">
        <v>45259</v>
      </c>
      <c r="S76" s="131">
        <v>45289</v>
      </c>
      <c r="T76" s="129" t="s">
        <v>527</v>
      </c>
      <c r="U76" s="122" t="s">
        <v>527</v>
      </c>
      <c r="V76" s="130">
        <v>45319</v>
      </c>
      <c r="W76" s="131">
        <v>45364</v>
      </c>
      <c r="X76" s="123">
        <v>45396</v>
      </c>
      <c r="Y76" s="124">
        <v>45564</v>
      </c>
      <c r="Z76" s="103" t="s">
        <v>1569</v>
      </c>
      <c r="AA76" s="111" t="s">
        <v>1570</v>
      </c>
      <c r="AB76" s="116" t="s">
        <v>1571</v>
      </c>
      <c r="AC76" s="117" t="s">
        <v>1499</v>
      </c>
      <c r="AD76" s="114" t="s">
        <v>1572</v>
      </c>
      <c r="AE76" s="47" t="s">
        <v>1573</v>
      </c>
      <c r="AF76" s="8" t="s">
        <v>268</v>
      </c>
      <c r="AG76" s="28" t="s">
        <v>267</v>
      </c>
      <c r="AH76" s="28" t="s">
        <v>267</v>
      </c>
      <c r="AI76" s="9" t="s">
        <v>159</v>
      </c>
      <c r="AJ76" s="10">
        <v>45517</v>
      </c>
      <c r="AK76" s="9">
        <v>902240478</v>
      </c>
      <c r="AL76" s="10">
        <v>45526</v>
      </c>
      <c r="AM76" s="16" t="s">
        <v>267</v>
      </c>
      <c r="AN76" s="29" t="s">
        <v>146</v>
      </c>
      <c r="AO76" s="28" t="s">
        <v>147</v>
      </c>
      <c r="AP76" s="37">
        <v>34461239.25</v>
      </c>
      <c r="AQ76" s="38">
        <v>45396</v>
      </c>
      <c r="AR76" s="38">
        <v>45530</v>
      </c>
      <c r="AS76" s="9">
        <v>901240210</v>
      </c>
      <c r="AT76" s="9" t="s">
        <v>323</v>
      </c>
      <c r="AU76" s="38">
        <v>45564</v>
      </c>
      <c r="AV76" s="9"/>
    </row>
    <row r="77" spans="1:48" s="11" customFormat="1" ht="54.75" customHeight="1">
      <c r="A77" s="53" t="s">
        <v>352</v>
      </c>
      <c r="B77" s="57" t="s">
        <v>353</v>
      </c>
      <c r="C77" s="53" t="s">
        <v>68</v>
      </c>
      <c r="D77" s="53" t="s">
        <v>165</v>
      </c>
      <c r="E77" s="53" t="s">
        <v>81</v>
      </c>
      <c r="F77" s="53" t="s">
        <v>81</v>
      </c>
      <c r="G77" s="53" t="s">
        <v>86</v>
      </c>
      <c r="H77" s="54">
        <v>22439088</v>
      </c>
      <c r="I77" s="54" t="e">
        <v>#N/A</v>
      </c>
      <c r="J77" s="55">
        <v>15456482.43</v>
      </c>
      <c r="K77" s="43" t="s">
        <v>72</v>
      </c>
      <c r="L77" s="55" t="s">
        <v>267</v>
      </c>
      <c r="M77" s="45" t="s">
        <v>142</v>
      </c>
      <c r="N77" s="45"/>
      <c r="O77" s="77" t="s">
        <v>268</v>
      </c>
      <c r="P77" s="129">
        <v>45229</v>
      </c>
      <c r="Q77" s="122">
        <v>45259</v>
      </c>
      <c r="R77" s="130">
        <v>45259</v>
      </c>
      <c r="S77" s="131">
        <v>45289</v>
      </c>
      <c r="T77" s="129" t="s">
        <v>527</v>
      </c>
      <c r="U77" s="122" t="s">
        <v>527</v>
      </c>
      <c r="V77" s="130">
        <v>45319</v>
      </c>
      <c r="W77" s="131">
        <v>45364</v>
      </c>
      <c r="X77" s="123">
        <v>45398</v>
      </c>
      <c r="Y77" s="124">
        <v>45705</v>
      </c>
      <c r="Z77" s="103" t="s">
        <v>1454</v>
      </c>
      <c r="AA77" s="111" t="s">
        <v>1574</v>
      </c>
      <c r="AB77" s="116" t="s">
        <v>1575</v>
      </c>
      <c r="AC77" s="117" t="s">
        <v>1576</v>
      </c>
      <c r="AD77" s="114" t="s">
        <v>1577</v>
      </c>
      <c r="AE77" s="47" t="s">
        <v>1475</v>
      </c>
      <c r="AF77" s="8" t="s">
        <v>268</v>
      </c>
      <c r="AG77" s="28" t="s">
        <v>267</v>
      </c>
      <c r="AH77" s="28" t="s">
        <v>267</v>
      </c>
      <c r="AI77" s="9" t="s">
        <v>159</v>
      </c>
      <c r="AJ77" s="10">
        <v>45594</v>
      </c>
      <c r="AK77" s="9">
        <v>902240599</v>
      </c>
      <c r="AL77" s="10">
        <v>45606</v>
      </c>
      <c r="AM77" s="16" t="s">
        <v>267</v>
      </c>
      <c r="AN77" s="29" t="s">
        <v>146</v>
      </c>
      <c r="AO77" s="28" t="s">
        <v>147</v>
      </c>
      <c r="AP77" s="37">
        <v>15456482.424999999</v>
      </c>
      <c r="AQ77" s="38">
        <v>45398</v>
      </c>
      <c r="AR77" s="38">
        <v>45624</v>
      </c>
      <c r="AS77" s="9">
        <v>901240327</v>
      </c>
      <c r="AT77" s="9" t="s">
        <v>349</v>
      </c>
      <c r="AU77" s="38">
        <v>45705</v>
      </c>
      <c r="AV77" s="9"/>
    </row>
    <row r="78" spans="1:48" s="11" customFormat="1" ht="54.75" customHeight="1">
      <c r="A78" s="53" t="s">
        <v>1578</v>
      </c>
      <c r="B78" s="57" t="s">
        <v>355</v>
      </c>
      <c r="C78" s="53" t="s">
        <v>68</v>
      </c>
      <c r="D78" s="53" t="s">
        <v>165</v>
      </c>
      <c r="E78" s="53" t="s">
        <v>81</v>
      </c>
      <c r="F78" s="53" t="s">
        <v>81</v>
      </c>
      <c r="G78" s="53" t="s">
        <v>86</v>
      </c>
      <c r="H78" s="54">
        <v>28749999.999999996</v>
      </c>
      <c r="I78" s="54" t="e">
        <v>#N/A</v>
      </c>
      <c r="J78" s="55">
        <v>28950042.5</v>
      </c>
      <c r="K78" s="43" t="s">
        <v>72</v>
      </c>
      <c r="L78" s="55" t="s">
        <v>267</v>
      </c>
      <c r="M78" s="45" t="s">
        <v>142</v>
      </c>
      <c r="N78" s="45"/>
      <c r="O78" s="77" t="s">
        <v>268</v>
      </c>
      <c r="P78" s="129">
        <v>45229</v>
      </c>
      <c r="Q78" s="122">
        <v>45259</v>
      </c>
      <c r="R78" s="130">
        <v>45259</v>
      </c>
      <c r="S78" s="131">
        <v>45289</v>
      </c>
      <c r="T78" s="129" t="s">
        <v>527</v>
      </c>
      <c r="U78" s="122" t="s">
        <v>527</v>
      </c>
      <c r="V78" s="130">
        <v>45319</v>
      </c>
      <c r="W78" s="131">
        <v>45364</v>
      </c>
      <c r="X78" s="123">
        <v>45370</v>
      </c>
      <c r="Y78" s="124">
        <v>45515</v>
      </c>
      <c r="Z78" s="103" t="s">
        <v>1579</v>
      </c>
      <c r="AA78" s="111" t="s">
        <v>1580</v>
      </c>
      <c r="AB78" s="116" t="s">
        <v>1581</v>
      </c>
      <c r="AC78" s="117" t="s">
        <v>1582</v>
      </c>
      <c r="AD78" s="114" t="s">
        <v>1441</v>
      </c>
      <c r="AE78" s="47" t="s">
        <v>1583</v>
      </c>
      <c r="AF78" s="8" t="s">
        <v>268</v>
      </c>
      <c r="AG78" s="28" t="s">
        <v>267</v>
      </c>
      <c r="AH78" s="28" t="s">
        <v>267</v>
      </c>
      <c r="AI78" s="9" t="s">
        <v>159</v>
      </c>
      <c r="AJ78" s="10">
        <v>45357</v>
      </c>
      <c r="AK78" s="9">
        <v>902240168</v>
      </c>
      <c r="AL78" s="10">
        <v>45357</v>
      </c>
      <c r="AM78" s="16" t="s">
        <v>267</v>
      </c>
      <c r="AN78" s="29" t="s">
        <v>146</v>
      </c>
      <c r="AO78" s="28" t="s">
        <v>185</v>
      </c>
      <c r="AP78" s="37">
        <v>28950042.499999996</v>
      </c>
      <c r="AQ78" s="38">
        <v>45370</v>
      </c>
      <c r="AR78" s="38">
        <v>45453</v>
      </c>
      <c r="AS78" s="9">
        <v>901240137</v>
      </c>
      <c r="AT78" s="9" t="s">
        <v>356</v>
      </c>
      <c r="AU78" s="38">
        <v>45515</v>
      </c>
      <c r="AV78" s="9"/>
    </row>
    <row r="79" spans="1:48" s="11" customFormat="1" ht="54.75" hidden="1" customHeight="1">
      <c r="A79" s="53" t="s">
        <v>529</v>
      </c>
      <c r="B79" s="57" t="s">
        <v>530</v>
      </c>
      <c r="C79" s="53" t="s">
        <v>68</v>
      </c>
      <c r="D79" s="53" t="s">
        <v>165</v>
      </c>
      <c r="E79" s="53" t="s">
        <v>395</v>
      </c>
      <c r="F79" s="53" t="s">
        <v>395</v>
      </c>
      <c r="G79" s="53" t="s">
        <v>94</v>
      </c>
      <c r="H79" s="54">
        <v>35000000</v>
      </c>
      <c r="I79" s="54" t="e">
        <v>#N/A</v>
      </c>
      <c r="J79" s="55">
        <v>47358200.090000004</v>
      </c>
      <c r="K79" s="43" t="s">
        <v>72</v>
      </c>
      <c r="L79" s="55" t="s">
        <v>267</v>
      </c>
      <c r="M79" s="45" t="s">
        <v>142</v>
      </c>
      <c r="N79" s="45"/>
      <c r="O79" s="77" t="s">
        <v>268</v>
      </c>
      <c r="P79" s="129">
        <v>45020</v>
      </c>
      <c r="Q79" s="122">
        <v>45050</v>
      </c>
      <c r="R79" s="130">
        <v>45050</v>
      </c>
      <c r="S79" s="131">
        <v>45080</v>
      </c>
      <c r="T79" s="129" t="s">
        <v>527</v>
      </c>
      <c r="U79" s="122" t="s">
        <v>527</v>
      </c>
      <c r="V79" s="130">
        <v>45110</v>
      </c>
      <c r="W79" s="131">
        <v>45155</v>
      </c>
      <c r="X79" s="123">
        <v>45396</v>
      </c>
      <c r="Y79" s="124">
        <v>45552</v>
      </c>
      <c r="Z79" s="103" t="s">
        <v>1584</v>
      </c>
      <c r="AA79" s="111" t="s">
        <v>1585</v>
      </c>
      <c r="AB79" s="116" t="s">
        <v>1586</v>
      </c>
      <c r="AC79" s="117" t="s">
        <v>1568</v>
      </c>
      <c r="AD79" s="114" t="s">
        <v>1587</v>
      </c>
      <c r="AE79" s="47" t="s">
        <v>1588</v>
      </c>
      <c r="AF79" s="8" t="s">
        <v>268</v>
      </c>
      <c r="AG79" s="28" t="s">
        <v>267</v>
      </c>
      <c r="AH79" s="28" t="s">
        <v>267</v>
      </c>
      <c r="AI79" s="9" t="s">
        <v>159</v>
      </c>
      <c r="AJ79" s="10">
        <v>45518</v>
      </c>
      <c r="AK79" s="9">
        <v>602240254</v>
      </c>
      <c r="AL79" s="10">
        <v>45524</v>
      </c>
      <c r="AM79" s="16" t="s">
        <v>267</v>
      </c>
      <c r="AN79" s="29" t="s">
        <v>146</v>
      </c>
      <c r="AO79" s="28" t="s">
        <v>147</v>
      </c>
      <c r="AP79" s="37">
        <v>47358200.093999997</v>
      </c>
      <c r="AQ79" s="38">
        <v>45396</v>
      </c>
      <c r="AR79" s="38">
        <v>45525</v>
      </c>
      <c r="AS79" s="9">
        <v>601240171</v>
      </c>
      <c r="AT79" s="9" t="s">
        <v>533</v>
      </c>
      <c r="AU79" s="38">
        <v>45552</v>
      </c>
      <c r="AV79" s="9"/>
    </row>
    <row r="80" spans="1:48" s="11" customFormat="1" ht="54.75" customHeight="1">
      <c r="A80" s="53" t="s">
        <v>1589</v>
      </c>
      <c r="B80" s="57" t="s">
        <v>358</v>
      </c>
      <c r="C80" s="53" t="s">
        <v>68</v>
      </c>
      <c r="D80" s="53" t="s">
        <v>165</v>
      </c>
      <c r="E80" s="53" t="s">
        <v>81</v>
      </c>
      <c r="F80" s="53" t="s">
        <v>81</v>
      </c>
      <c r="G80" s="53" t="s">
        <v>94</v>
      </c>
      <c r="H80" s="54">
        <v>50216360</v>
      </c>
      <c r="I80" s="54" t="e">
        <v>#N/A</v>
      </c>
      <c r="J80" s="55">
        <v>50216360</v>
      </c>
      <c r="K80" s="43" t="s">
        <v>72</v>
      </c>
      <c r="L80" s="55" t="s">
        <v>267</v>
      </c>
      <c r="M80" s="45" t="s">
        <v>142</v>
      </c>
      <c r="N80" s="45"/>
      <c r="O80" s="77" t="s">
        <v>268</v>
      </c>
      <c r="P80" s="129">
        <v>45080</v>
      </c>
      <c r="Q80" s="122">
        <v>45110</v>
      </c>
      <c r="R80" s="130">
        <v>45110</v>
      </c>
      <c r="S80" s="131">
        <v>45140</v>
      </c>
      <c r="T80" s="129" t="s">
        <v>527</v>
      </c>
      <c r="U80" s="122" t="s">
        <v>527</v>
      </c>
      <c r="V80" s="130">
        <v>45170</v>
      </c>
      <c r="W80" s="131">
        <v>45215</v>
      </c>
      <c r="X80" s="123">
        <v>45251</v>
      </c>
      <c r="Y80" s="124">
        <v>45550</v>
      </c>
      <c r="Z80" s="103" t="s">
        <v>1590</v>
      </c>
      <c r="AA80" s="111" t="s">
        <v>1498</v>
      </c>
      <c r="AB80" s="116" t="s">
        <v>1546</v>
      </c>
      <c r="AC80" s="117" t="s">
        <v>1532</v>
      </c>
      <c r="AD80" s="114" t="s">
        <v>1591</v>
      </c>
      <c r="AE80" s="47" t="s">
        <v>1592</v>
      </c>
      <c r="AF80" s="8" t="s">
        <v>268</v>
      </c>
      <c r="AG80" s="28" t="s">
        <v>267</v>
      </c>
      <c r="AH80" s="28" t="s">
        <v>267</v>
      </c>
      <c r="AI80" s="9" t="s">
        <v>159</v>
      </c>
      <c r="AJ80" s="10"/>
      <c r="AK80" s="9">
        <v>0</v>
      </c>
      <c r="AL80" s="10"/>
      <c r="AM80" s="16" t="s">
        <v>267</v>
      </c>
      <c r="AN80" s="29" t="s">
        <v>146</v>
      </c>
      <c r="AO80" s="28" t="s">
        <v>147</v>
      </c>
      <c r="AP80" s="37">
        <v>50216359.999999993</v>
      </c>
      <c r="AQ80" s="38">
        <v>45251</v>
      </c>
      <c r="AR80" s="38">
        <v>45484</v>
      </c>
      <c r="AS80" s="9">
        <v>901240072</v>
      </c>
      <c r="AT80" s="9" t="s">
        <v>313</v>
      </c>
      <c r="AU80" s="38">
        <v>45550</v>
      </c>
      <c r="AV80" s="9"/>
    </row>
    <row r="81" spans="1:48" s="11" customFormat="1" ht="54.75" hidden="1" customHeight="1">
      <c r="A81" s="53" t="s">
        <v>534</v>
      </c>
      <c r="B81" s="57" t="s">
        <v>535</v>
      </c>
      <c r="C81" s="53" t="s">
        <v>68</v>
      </c>
      <c r="D81" s="53" t="s">
        <v>165</v>
      </c>
      <c r="E81" s="53" t="s">
        <v>395</v>
      </c>
      <c r="F81" s="53" t="s">
        <v>411</v>
      </c>
      <c r="G81" s="53" t="s">
        <v>94</v>
      </c>
      <c r="H81" s="54">
        <v>40250000</v>
      </c>
      <c r="I81" s="54" t="e">
        <v>#N/A</v>
      </c>
      <c r="J81" s="55">
        <v>37878652.850000001</v>
      </c>
      <c r="K81" s="43" t="s">
        <v>72</v>
      </c>
      <c r="L81" s="55" t="s">
        <v>267</v>
      </c>
      <c r="M81" s="45" t="s">
        <v>142</v>
      </c>
      <c r="N81" s="45"/>
      <c r="O81" s="77" t="s">
        <v>268</v>
      </c>
      <c r="P81" s="129">
        <v>45296</v>
      </c>
      <c r="Q81" s="122">
        <v>45326</v>
      </c>
      <c r="R81" s="130">
        <v>45326</v>
      </c>
      <c r="S81" s="131">
        <v>45356</v>
      </c>
      <c r="T81" s="129" t="s">
        <v>527</v>
      </c>
      <c r="U81" s="122" t="s">
        <v>527</v>
      </c>
      <c r="V81" s="130">
        <v>45386</v>
      </c>
      <c r="W81" s="131">
        <v>45431</v>
      </c>
      <c r="X81" s="123">
        <v>45439</v>
      </c>
      <c r="Y81" s="124">
        <v>45564</v>
      </c>
      <c r="Z81" s="103" t="s">
        <v>1593</v>
      </c>
      <c r="AA81" s="111" t="s">
        <v>1594</v>
      </c>
      <c r="AB81" s="116" t="s">
        <v>1595</v>
      </c>
      <c r="AC81" s="117" t="s">
        <v>1423</v>
      </c>
      <c r="AD81" s="114" t="s">
        <v>1596</v>
      </c>
      <c r="AE81" s="47" t="s">
        <v>1597</v>
      </c>
      <c r="AF81" s="8" t="s">
        <v>268</v>
      </c>
      <c r="AG81" s="28" t="s">
        <v>267</v>
      </c>
      <c r="AH81" s="28" t="s">
        <v>267</v>
      </c>
      <c r="AI81" s="9" t="s">
        <v>159</v>
      </c>
      <c r="AJ81" s="10">
        <v>45432</v>
      </c>
      <c r="AK81" s="9">
        <v>602240191</v>
      </c>
      <c r="AL81" s="10">
        <v>45434</v>
      </c>
      <c r="AM81" s="16" t="s">
        <v>267</v>
      </c>
      <c r="AN81" s="29" t="s">
        <v>146</v>
      </c>
      <c r="AO81" s="28" t="s">
        <v>147</v>
      </c>
      <c r="AP81" s="37">
        <v>37878652.849999994</v>
      </c>
      <c r="AQ81" s="38">
        <v>45439</v>
      </c>
      <c r="AR81" s="38">
        <v>45510</v>
      </c>
      <c r="AS81" s="9">
        <v>601240160</v>
      </c>
      <c r="AT81" s="9" t="s">
        <v>538</v>
      </c>
      <c r="AU81" s="38">
        <v>45564</v>
      </c>
      <c r="AV81" s="9"/>
    </row>
    <row r="82" spans="1:48" s="11" customFormat="1" ht="54.75" hidden="1" customHeight="1">
      <c r="A82" s="53" t="s">
        <v>539</v>
      </c>
      <c r="B82" s="57" t="s">
        <v>540</v>
      </c>
      <c r="C82" s="53" t="s">
        <v>68</v>
      </c>
      <c r="D82" s="53" t="s">
        <v>165</v>
      </c>
      <c r="E82" s="53" t="s">
        <v>395</v>
      </c>
      <c r="F82" s="53" t="s">
        <v>395</v>
      </c>
      <c r="G82" s="53" t="s">
        <v>86</v>
      </c>
      <c r="H82" s="54">
        <v>8176499.9999999991</v>
      </c>
      <c r="I82" s="54" t="e">
        <v>#N/A</v>
      </c>
      <c r="J82" s="55">
        <v>5723400.5</v>
      </c>
      <c r="K82" s="43" t="s">
        <v>72</v>
      </c>
      <c r="L82" s="55" t="s">
        <v>267</v>
      </c>
      <c r="M82" s="45" t="s">
        <v>142</v>
      </c>
      <c r="N82" s="45"/>
      <c r="O82" s="77" t="s">
        <v>268</v>
      </c>
      <c r="P82" s="129">
        <v>45268</v>
      </c>
      <c r="Q82" s="122">
        <v>45298</v>
      </c>
      <c r="R82" s="130">
        <v>45298</v>
      </c>
      <c r="S82" s="131">
        <v>45328</v>
      </c>
      <c r="T82" s="129" t="s">
        <v>527</v>
      </c>
      <c r="U82" s="122" t="s">
        <v>527</v>
      </c>
      <c r="V82" s="130">
        <v>45358</v>
      </c>
      <c r="W82" s="131">
        <v>45403</v>
      </c>
      <c r="X82" s="123">
        <v>45411</v>
      </c>
      <c r="Y82" s="124">
        <v>45501</v>
      </c>
      <c r="Z82" s="103" t="s">
        <v>1598</v>
      </c>
      <c r="AA82" s="111" t="s">
        <v>1599</v>
      </c>
      <c r="AB82" s="116" t="s">
        <v>1600</v>
      </c>
      <c r="AC82" s="117" t="s">
        <v>1601</v>
      </c>
      <c r="AD82" s="114" t="s">
        <v>1602</v>
      </c>
      <c r="AE82" s="47" t="s">
        <v>1603</v>
      </c>
      <c r="AF82" s="8" t="s">
        <v>268</v>
      </c>
      <c r="AG82" s="28" t="s">
        <v>267</v>
      </c>
      <c r="AH82" s="28" t="s">
        <v>267</v>
      </c>
      <c r="AI82" s="9" t="s">
        <v>159</v>
      </c>
      <c r="AJ82" s="10">
        <v>45405</v>
      </c>
      <c r="AK82" s="9">
        <v>602240152</v>
      </c>
      <c r="AL82" s="10">
        <v>45407</v>
      </c>
      <c r="AM82" s="16" t="s">
        <v>267</v>
      </c>
      <c r="AN82" s="29" t="s">
        <v>146</v>
      </c>
      <c r="AO82" s="28" t="s">
        <v>147</v>
      </c>
      <c r="AP82" s="37">
        <v>5723400.5</v>
      </c>
      <c r="AQ82" s="38">
        <v>45411</v>
      </c>
      <c r="AR82" s="38">
        <v>45501</v>
      </c>
      <c r="AS82" s="9">
        <v>601240154</v>
      </c>
      <c r="AT82" s="9" t="s">
        <v>542</v>
      </c>
      <c r="AU82" s="38">
        <v>45501</v>
      </c>
      <c r="AV82" s="9"/>
    </row>
    <row r="83" spans="1:48" s="11" customFormat="1" ht="54.75" hidden="1" customHeight="1">
      <c r="A83" s="56" t="s">
        <v>237</v>
      </c>
      <c r="B83" s="57" t="s">
        <v>238</v>
      </c>
      <c r="C83" s="53" t="s">
        <v>68</v>
      </c>
      <c r="D83" s="53" t="s">
        <v>165</v>
      </c>
      <c r="E83" s="53" t="s">
        <v>81</v>
      </c>
      <c r="F83" s="53" t="s">
        <v>81</v>
      </c>
      <c r="G83" s="53" t="s">
        <v>86</v>
      </c>
      <c r="H83" s="54">
        <v>5750000</v>
      </c>
      <c r="I83" s="54" t="e">
        <v>#N/A</v>
      </c>
      <c r="J83" s="55">
        <v>10746806.0625</v>
      </c>
      <c r="K83" s="43" t="s">
        <v>72</v>
      </c>
      <c r="L83" s="69" t="s">
        <v>157</v>
      </c>
      <c r="M83" s="45" t="s">
        <v>142</v>
      </c>
      <c r="N83" s="75" t="s">
        <v>118</v>
      </c>
      <c r="O83" s="77" t="s">
        <v>7</v>
      </c>
      <c r="P83" s="129">
        <v>45312</v>
      </c>
      <c r="Q83" s="122">
        <v>45342</v>
      </c>
      <c r="R83" s="130">
        <v>45342</v>
      </c>
      <c r="S83" s="131">
        <v>45357</v>
      </c>
      <c r="T83" s="129" t="s">
        <v>527</v>
      </c>
      <c r="U83" s="122" t="s">
        <v>527</v>
      </c>
      <c r="V83" s="130">
        <v>45513</v>
      </c>
      <c r="W83" s="131">
        <v>45558</v>
      </c>
      <c r="X83" s="123">
        <v>45589</v>
      </c>
      <c r="Y83" s="125"/>
      <c r="Z83" s="104"/>
      <c r="AA83" s="111"/>
      <c r="AB83" s="116"/>
      <c r="AC83" s="117"/>
      <c r="AD83" s="114"/>
      <c r="AE83" s="47"/>
      <c r="AF83" s="8" t="s">
        <v>7</v>
      </c>
      <c r="AG83" s="30" t="s">
        <v>157</v>
      </c>
      <c r="AH83" s="28" t="s">
        <v>158</v>
      </c>
      <c r="AI83" s="9" t="s">
        <v>159</v>
      </c>
      <c r="AJ83" s="10">
        <v>45566</v>
      </c>
      <c r="AK83" s="9" t="s">
        <v>160</v>
      </c>
      <c r="AL83" s="10">
        <v>45581</v>
      </c>
      <c r="AM83" s="16" t="s">
        <v>239</v>
      </c>
      <c r="AN83" s="29" t="s">
        <v>146</v>
      </c>
      <c r="AO83" s="28" t="s">
        <v>157</v>
      </c>
      <c r="AP83" s="37">
        <v>8479709</v>
      </c>
      <c r="AQ83" s="38">
        <v>45589</v>
      </c>
      <c r="AR83" s="38"/>
      <c r="AS83" s="9"/>
      <c r="AT83" s="9" t="s">
        <v>240</v>
      </c>
      <c r="AU83" s="38"/>
      <c r="AV83" s="9"/>
    </row>
    <row r="84" spans="1:48" s="11" customFormat="1" ht="54.75" hidden="1" customHeight="1">
      <c r="A84" s="53" t="s">
        <v>543</v>
      </c>
      <c r="B84" s="57" t="s">
        <v>544</v>
      </c>
      <c r="C84" s="53" t="s">
        <v>68</v>
      </c>
      <c r="D84" s="53" t="s">
        <v>165</v>
      </c>
      <c r="E84" s="53" t="s">
        <v>395</v>
      </c>
      <c r="F84" s="53" t="s">
        <v>395</v>
      </c>
      <c r="G84" s="53" t="s">
        <v>94</v>
      </c>
      <c r="H84" s="54">
        <v>13799999.999999998</v>
      </c>
      <c r="I84" s="54" t="s">
        <v>151</v>
      </c>
      <c r="J84" s="55">
        <v>18198750.459999997</v>
      </c>
      <c r="K84" s="43" t="s">
        <v>72</v>
      </c>
      <c r="L84" s="55" t="s">
        <v>267</v>
      </c>
      <c r="M84" s="45" t="s">
        <v>142</v>
      </c>
      <c r="N84" s="45"/>
      <c r="O84" s="77" t="s">
        <v>268</v>
      </c>
      <c r="P84" s="129">
        <v>45297</v>
      </c>
      <c r="Q84" s="122">
        <v>45327</v>
      </c>
      <c r="R84" s="130">
        <v>45327</v>
      </c>
      <c r="S84" s="131">
        <v>45342</v>
      </c>
      <c r="T84" s="129" t="s">
        <v>527</v>
      </c>
      <c r="U84" s="122" t="s">
        <v>527</v>
      </c>
      <c r="V84" s="130">
        <v>45460</v>
      </c>
      <c r="W84" s="131">
        <v>45505</v>
      </c>
      <c r="X84" s="123">
        <v>45561</v>
      </c>
      <c r="Y84" s="124">
        <v>45705</v>
      </c>
      <c r="Z84" s="103" t="s">
        <v>1604</v>
      </c>
      <c r="AA84" s="111" t="s">
        <v>1605</v>
      </c>
      <c r="AB84" s="116" t="s">
        <v>1606</v>
      </c>
      <c r="AC84" s="117" t="s">
        <v>1607</v>
      </c>
      <c r="AD84" s="114" t="s">
        <v>1463</v>
      </c>
      <c r="AE84" s="47" t="s">
        <v>1608</v>
      </c>
      <c r="AF84" s="8" t="s">
        <v>268</v>
      </c>
      <c r="AG84" s="28" t="s">
        <v>267</v>
      </c>
      <c r="AH84" s="28" t="s">
        <v>267</v>
      </c>
      <c r="AI84" s="9" t="s">
        <v>159</v>
      </c>
      <c r="AJ84" s="10">
        <v>45525</v>
      </c>
      <c r="AK84" s="9" t="s">
        <v>160</v>
      </c>
      <c r="AL84" s="10">
        <v>45547</v>
      </c>
      <c r="AM84" s="16" t="s">
        <v>267</v>
      </c>
      <c r="AN84" s="29" t="s">
        <v>146</v>
      </c>
      <c r="AO84" s="28" t="s">
        <v>147</v>
      </c>
      <c r="AP84" s="37">
        <v>18198750.459999997</v>
      </c>
      <c r="AQ84" s="38">
        <v>45561</v>
      </c>
      <c r="AR84" s="38">
        <v>45670</v>
      </c>
      <c r="AS84" s="9">
        <v>601250007</v>
      </c>
      <c r="AT84" s="9" t="s">
        <v>545</v>
      </c>
      <c r="AU84" s="38">
        <v>45705</v>
      </c>
      <c r="AV84" s="9"/>
    </row>
    <row r="85" spans="1:48" s="11" customFormat="1" ht="54.75" customHeight="1">
      <c r="A85" s="56" t="s">
        <v>359</v>
      </c>
      <c r="B85" s="57" t="s">
        <v>360</v>
      </c>
      <c r="C85" s="53" t="s">
        <v>68</v>
      </c>
      <c r="D85" s="53" t="s">
        <v>165</v>
      </c>
      <c r="E85" s="53" t="s">
        <v>81</v>
      </c>
      <c r="F85" s="53" t="s">
        <v>194</v>
      </c>
      <c r="G85" s="53" t="s">
        <v>86</v>
      </c>
      <c r="H85" s="54">
        <v>59799999.999999993</v>
      </c>
      <c r="I85" s="54" t="e">
        <v>#N/A</v>
      </c>
      <c r="J85" s="55">
        <v>29649713.999999996</v>
      </c>
      <c r="K85" s="43" t="s">
        <v>72</v>
      </c>
      <c r="L85" s="55" t="s">
        <v>267</v>
      </c>
      <c r="M85" s="45" t="s">
        <v>142</v>
      </c>
      <c r="N85" s="45"/>
      <c r="O85" s="77" t="s">
        <v>268</v>
      </c>
      <c r="P85" s="129">
        <v>45302</v>
      </c>
      <c r="Q85" s="122">
        <v>45332</v>
      </c>
      <c r="R85" s="130">
        <v>45332</v>
      </c>
      <c r="S85" s="131">
        <v>45347</v>
      </c>
      <c r="T85" s="129" t="s">
        <v>527</v>
      </c>
      <c r="U85" s="122" t="s">
        <v>527</v>
      </c>
      <c r="V85" s="130">
        <v>45491</v>
      </c>
      <c r="W85" s="131">
        <v>45536</v>
      </c>
      <c r="X85" s="123">
        <v>45545</v>
      </c>
      <c r="Y85" s="124">
        <v>45664</v>
      </c>
      <c r="Z85" s="103" t="s">
        <v>1609</v>
      </c>
      <c r="AA85" s="111" t="s">
        <v>1610</v>
      </c>
      <c r="AB85" s="116" t="s">
        <v>1611</v>
      </c>
      <c r="AC85" s="117" t="s">
        <v>1612</v>
      </c>
      <c r="AD85" s="114" t="s">
        <v>1613</v>
      </c>
      <c r="AE85" s="47" t="s">
        <v>1614</v>
      </c>
      <c r="AF85" s="8" t="s">
        <v>268</v>
      </c>
      <c r="AG85" s="28" t="s">
        <v>267</v>
      </c>
      <c r="AH85" s="28" t="s">
        <v>267</v>
      </c>
      <c r="AI85" s="9" t="s">
        <v>159</v>
      </c>
      <c r="AJ85" s="10">
        <v>45532</v>
      </c>
      <c r="AK85" s="9">
        <v>902240505</v>
      </c>
      <c r="AL85" s="10">
        <v>45538</v>
      </c>
      <c r="AM85" s="16" t="s">
        <v>267</v>
      </c>
      <c r="AN85" s="29" t="s">
        <v>146</v>
      </c>
      <c r="AO85" s="28" t="s">
        <v>147</v>
      </c>
      <c r="AP85" s="37">
        <v>29649713.999999996</v>
      </c>
      <c r="AQ85" s="38">
        <v>45545</v>
      </c>
      <c r="AR85" s="38">
        <v>45629</v>
      </c>
      <c r="AS85" s="9">
        <v>901240355</v>
      </c>
      <c r="AT85" s="9" t="s">
        <v>361</v>
      </c>
      <c r="AU85" s="38">
        <v>45664</v>
      </c>
      <c r="AV85" s="9"/>
    </row>
    <row r="86" spans="1:48" s="11" customFormat="1" ht="54.75" hidden="1" customHeight="1">
      <c r="A86" s="53" t="s">
        <v>482</v>
      </c>
      <c r="B86" s="57" t="s">
        <v>483</v>
      </c>
      <c r="C86" s="53" t="s">
        <v>68</v>
      </c>
      <c r="D86" s="53" t="s">
        <v>137</v>
      </c>
      <c r="E86" s="53" t="s">
        <v>395</v>
      </c>
      <c r="F86" s="53" t="s">
        <v>395</v>
      </c>
      <c r="G86" s="53" t="s">
        <v>94</v>
      </c>
      <c r="H86" s="54">
        <v>38495186.25</v>
      </c>
      <c r="I86" s="54" t="s">
        <v>151</v>
      </c>
      <c r="J86" s="55">
        <v>76314828</v>
      </c>
      <c r="K86" s="43" t="s">
        <v>72</v>
      </c>
      <c r="L86" s="69" t="s">
        <v>157</v>
      </c>
      <c r="M86" s="45" t="s">
        <v>142</v>
      </c>
      <c r="N86" s="75" t="s">
        <v>75</v>
      </c>
      <c r="O86" s="77" t="s">
        <v>7</v>
      </c>
      <c r="P86" s="129">
        <v>45109</v>
      </c>
      <c r="Q86" s="122">
        <v>45139</v>
      </c>
      <c r="R86" s="130">
        <v>45139</v>
      </c>
      <c r="S86" s="131">
        <v>45169</v>
      </c>
      <c r="T86" s="129">
        <v>45169</v>
      </c>
      <c r="U86" s="122">
        <v>45313</v>
      </c>
      <c r="V86" s="130">
        <v>45370</v>
      </c>
      <c r="W86" s="131">
        <v>45564</v>
      </c>
      <c r="X86" s="123">
        <v>45665</v>
      </c>
      <c r="Y86" s="125"/>
      <c r="Z86" s="104"/>
      <c r="AA86" s="111"/>
      <c r="AB86" s="116"/>
      <c r="AC86" s="117"/>
      <c r="AD86" s="114"/>
      <c r="AE86" s="47"/>
      <c r="AF86" s="8" t="s">
        <v>7</v>
      </c>
      <c r="AG86" s="30" t="s">
        <v>157</v>
      </c>
      <c r="AH86" s="28" t="s">
        <v>158</v>
      </c>
      <c r="AI86" s="9" t="s">
        <v>159</v>
      </c>
      <c r="AJ86" s="10">
        <v>45587</v>
      </c>
      <c r="AK86" s="9" t="s">
        <v>160</v>
      </c>
      <c r="AL86" s="10">
        <v>45588</v>
      </c>
      <c r="AM86" s="16" t="s">
        <v>484</v>
      </c>
      <c r="AN86" s="29" t="s">
        <v>146</v>
      </c>
      <c r="AO86" s="28" t="s">
        <v>157</v>
      </c>
      <c r="AP86" s="37">
        <v>47610000</v>
      </c>
      <c r="AQ86" s="38">
        <v>45665</v>
      </c>
      <c r="AR86" s="38"/>
      <c r="AS86" s="9"/>
      <c r="AT86" s="9" t="s">
        <v>485</v>
      </c>
      <c r="AU86" s="38"/>
      <c r="AV86" s="9"/>
    </row>
    <row r="87" spans="1:48" s="11" customFormat="1" ht="54.75" hidden="1" customHeight="1">
      <c r="A87" s="53" t="s">
        <v>486</v>
      </c>
      <c r="B87" s="57" t="s">
        <v>487</v>
      </c>
      <c r="C87" s="53" t="s">
        <v>68</v>
      </c>
      <c r="D87" s="53" t="s">
        <v>137</v>
      </c>
      <c r="E87" s="53" t="s">
        <v>395</v>
      </c>
      <c r="F87" s="53" t="s">
        <v>488</v>
      </c>
      <c r="G87" s="53" t="s">
        <v>86</v>
      </c>
      <c r="H87" s="54">
        <v>11566700</v>
      </c>
      <c r="I87" s="54" t="s">
        <v>156</v>
      </c>
      <c r="J87" s="55">
        <v>18518631.699999999</v>
      </c>
      <c r="K87" s="43" t="s">
        <v>72</v>
      </c>
      <c r="L87" s="55" t="s">
        <v>157</v>
      </c>
      <c r="M87" s="45" t="s">
        <v>142</v>
      </c>
      <c r="N87" s="75" t="s">
        <v>111</v>
      </c>
      <c r="O87" s="77" t="s">
        <v>7</v>
      </c>
      <c r="P87" s="129">
        <v>45109</v>
      </c>
      <c r="Q87" s="122">
        <v>45139</v>
      </c>
      <c r="R87" s="130">
        <v>45139</v>
      </c>
      <c r="S87" s="131">
        <v>45169</v>
      </c>
      <c r="T87" s="129">
        <v>45169</v>
      </c>
      <c r="U87" s="122">
        <v>45313</v>
      </c>
      <c r="V87" s="130">
        <v>45400</v>
      </c>
      <c r="W87" s="131">
        <v>45543</v>
      </c>
      <c r="X87" s="123">
        <v>45566</v>
      </c>
      <c r="Y87" s="125"/>
      <c r="Z87" s="104"/>
      <c r="AA87" s="111"/>
      <c r="AB87" s="116"/>
      <c r="AC87" s="117"/>
      <c r="AD87" s="114"/>
      <c r="AE87" s="47"/>
      <c r="AF87" s="8" t="s">
        <v>7</v>
      </c>
      <c r="AG87" s="28" t="s">
        <v>157</v>
      </c>
      <c r="AH87" s="28" t="s">
        <v>158</v>
      </c>
      <c r="AI87" s="9" t="s">
        <v>159</v>
      </c>
      <c r="AJ87" s="10">
        <v>45832</v>
      </c>
      <c r="AK87" s="9">
        <v>602250246</v>
      </c>
      <c r="AL87" s="10">
        <v>45840</v>
      </c>
      <c r="AM87" s="28" t="s">
        <v>157</v>
      </c>
      <c r="AN87" s="29" t="s">
        <v>146</v>
      </c>
      <c r="AO87" s="28" t="s">
        <v>185</v>
      </c>
      <c r="AP87" s="37">
        <v>18518631.699999999</v>
      </c>
      <c r="AQ87" s="38">
        <v>45566</v>
      </c>
      <c r="AR87" s="38"/>
      <c r="AS87" s="9">
        <v>601250138</v>
      </c>
      <c r="AT87" s="9" t="s">
        <v>489</v>
      </c>
      <c r="AU87" s="38"/>
      <c r="AV87" s="9"/>
    </row>
    <row r="88" spans="1:48" s="11" customFormat="1" ht="54.75" hidden="1" customHeight="1">
      <c r="A88" s="53" t="s">
        <v>490</v>
      </c>
      <c r="B88" s="57" t="s">
        <v>491</v>
      </c>
      <c r="C88" s="53" t="s">
        <v>68</v>
      </c>
      <c r="D88" s="53" t="s">
        <v>165</v>
      </c>
      <c r="E88" s="53" t="s">
        <v>395</v>
      </c>
      <c r="F88" s="53" t="s">
        <v>395</v>
      </c>
      <c r="G88" s="53" t="s">
        <v>86</v>
      </c>
      <c r="H88" s="54">
        <v>29393999.999999996</v>
      </c>
      <c r="I88" s="54" t="e">
        <v>#N/A</v>
      </c>
      <c r="J88" s="55">
        <v>42908570</v>
      </c>
      <c r="K88" s="43" t="s">
        <v>72</v>
      </c>
      <c r="L88" s="55" t="s">
        <v>219</v>
      </c>
      <c r="M88" s="45" t="s">
        <v>142</v>
      </c>
      <c r="N88" s="75" t="s">
        <v>75</v>
      </c>
      <c r="O88" s="77" t="s">
        <v>7</v>
      </c>
      <c r="P88" s="129">
        <v>45297</v>
      </c>
      <c r="Q88" s="122">
        <v>45327</v>
      </c>
      <c r="R88" s="130">
        <v>45327</v>
      </c>
      <c r="S88" s="131">
        <v>45342</v>
      </c>
      <c r="T88" s="129" t="s">
        <v>527</v>
      </c>
      <c r="U88" s="122" t="s">
        <v>527</v>
      </c>
      <c r="V88" s="130">
        <v>45499</v>
      </c>
      <c r="W88" s="131">
        <v>45544</v>
      </c>
      <c r="X88" s="123">
        <v>45564</v>
      </c>
      <c r="Y88" s="125"/>
      <c r="Z88" s="104"/>
      <c r="AA88" s="111"/>
      <c r="AB88" s="116"/>
      <c r="AC88" s="117"/>
      <c r="AD88" s="114"/>
      <c r="AE88" s="47"/>
      <c r="AF88" s="8" t="s">
        <v>7</v>
      </c>
      <c r="AG88" s="28" t="s">
        <v>278</v>
      </c>
      <c r="AH88" s="28" t="s">
        <v>158</v>
      </c>
      <c r="AI88" s="9" t="s">
        <v>159</v>
      </c>
      <c r="AJ88" s="10">
        <v>45832</v>
      </c>
      <c r="AK88" s="9">
        <v>602250251</v>
      </c>
      <c r="AL88" s="10">
        <v>45866</v>
      </c>
      <c r="AM88" s="42" t="s">
        <v>492</v>
      </c>
      <c r="AN88" s="29" t="s">
        <v>146</v>
      </c>
      <c r="AO88" s="28" t="s">
        <v>279</v>
      </c>
      <c r="AP88" s="37">
        <v>42908570</v>
      </c>
      <c r="AQ88" s="38">
        <v>45564</v>
      </c>
      <c r="AR88" s="38">
        <v>45880</v>
      </c>
      <c r="AS88" s="9">
        <v>601250165</v>
      </c>
      <c r="AT88" s="9" t="s">
        <v>493</v>
      </c>
      <c r="AU88" s="38"/>
      <c r="AV88" s="9"/>
    </row>
    <row r="89" spans="1:48" s="11" customFormat="1" ht="54.75" hidden="1" customHeight="1">
      <c r="A89" s="53" t="s">
        <v>546</v>
      </c>
      <c r="B89" s="57" t="s">
        <v>547</v>
      </c>
      <c r="C89" s="53" t="s">
        <v>68</v>
      </c>
      <c r="D89" s="53" t="s">
        <v>137</v>
      </c>
      <c r="E89" s="53" t="s">
        <v>395</v>
      </c>
      <c r="F89" s="53" t="s">
        <v>488</v>
      </c>
      <c r="G89" s="53" t="s">
        <v>86</v>
      </c>
      <c r="H89" s="54">
        <v>8965400</v>
      </c>
      <c r="I89" s="54" t="s">
        <v>151</v>
      </c>
      <c r="J89" s="55">
        <v>13772864.6</v>
      </c>
      <c r="K89" s="43" t="s">
        <v>72</v>
      </c>
      <c r="L89" s="55" t="s">
        <v>267</v>
      </c>
      <c r="M89" s="45" t="s">
        <v>142</v>
      </c>
      <c r="N89" s="45"/>
      <c r="O89" s="77" t="s">
        <v>268</v>
      </c>
      <c r="P89" s="129">
        <v>45109</v>
      </c>
      <c r="Q89" s="122">
        <v>45139</v>
      </c>
      <c r="R89" s="130">
        <v>45139</v>
      </c>
      <c r="S89" s="131">
        <v>45169</v>
      </c>
      <c r="T89" s="129">
        <v>45169</v>
      </c>
      <c r="U89" s="122">
        <v>45313</v>
      </c>
      <c r="V89" s="130">
        <v>45370</v>
      </c>
      <c r="W89" s="131">
        <v>45551</v>
      </c>
      <c r="X89" s="123">
        <v>45581</v>
      </c>
      <c r="Y89" s="124">
        <v>45914</v>
      </c>
      <c r="Z89" s="103" t="s">
        <v>1615</v>
      </c>
      <c r="AA89" s="111" t="s">
        <v>1616</v>
      </c>
      <c r="AB89" s="116" t="s">
        <v>1617</v>
      </c>
      <c r="AC89" s="117" t="s">
        <v>1618</v>
      </c>
      <c r="AD89" s="114" t="s">
        <v>1616</v>
      </c>
      <c r="AE89" s="47" t="s">
        <v>1619</v>
      </c>
      <c r="AF89" s="8" t="s">
        <v>268</v>
      </c>
      <c r="AG89" s="34" t="s">
        <v>267</v>
      </c>
      <c r="AH89" s="28" t="s">
        <v>267</v>
      </c>
      <c r="AI89" s="9" t="s">
        <v>159</v>
      </c>
      <c r="AJ89" s="10">
        <v>45830</v>
      </c>
      <c r="AK89" s="9">
        <v>602250242</v>
      </c>
      <c r="AL89" s="10">
        <v>45840</v>
      </c>
      <c r="AM89" s="16" t="s">
        <v>267</v>
      </c>
      <c r="AN89" s="29" t="s">
        <v>146</v>
      </c>
      <c r="AO89" s="28" t="s">
        <v>147</v>
      </c>
      <c r="AP89" s="37">
        <v>13772864.6</v>
      </c>
      <c r="AQ89" s="38">
        <v>45581</v>
      </c>
      <c r="AR89" s="38">
        <v>45846</v>
      </c>
      <c r="AS89" s="9">
        <v>601250132</v>
      </c>
      <c r="AT89" s="9" t="s">
        <v>346</v>
      </c>
      <c r="AU89" s="38">
        <v>45914</v>
      </c>
      <c r="AV89" s="9"/>
    </row>
    <row r="90" spans="1:48" s="11" customFormat="1" ht="54.75" hidden="1" customHeight="1">
      <c r="A90" s="53" t="s">
        <v>494</v>
      </c>
      <c r="B90" s="57" t="s">
        <v>495</v>
      </c>
      <c r="C90" s="53" t="s">
        <v>68</v>
      </c>
      <c r="D90" s="53" t="s">
        <v>137</v>
      </c>
      <c r="E90" s="53" t="s">
        <v>395</v>
      </c>
      <c r="F90" s="53" t="s">
        <v>488</v>
      </c>
      <c r="G90" s="53" t="s">
        <v>94</v>
      </c>
      <c r="H90" s="54">
        <v>25667999.999999996</v>
      </c>
      <c r="I90" s="54" t="s">
        <v>151</v>
      </c>
      <c r="J90" s="55">
        <v>36973800.649999999</v>
      </c>
      <c r="K90" s="43" t="s">
        <v>72</v>
      </c>
      <c r="L90" s="55" t="s">
        <v>157</v>
      </c>
      <c r="M90" s="45" t="s">
        <v>142</v>
      </c>
      <c r="N90" s="75" t="s">
        <v>75</v>
      </c>
      <c r="O90" s="77" t="s">
        <v>7</v>
      </c>
      <c r="P90" s="129">
        <v>45109</v>
      </c>
      <c r="Q90" s="122">
        <v>45139</v>
      </c>
      <c r="R90" s="130">
        <v>45139</v>
      </c>
      <c r="S90" s="131">
        <v>45169</v>
      </c>
      <c r="T90" s="129">
        <v>45169</v>
      </c>
      <c r="U90" s="122">
        <v>45313</v>
      </c>
      <c r="V90" s="130">
        <v>45370</v>
      </c>
      <c r="W90" s="131">
        <v>45564</v>
      </c>
      <c r="X90" s="123">
        <v>45761</v>
      </c>
      <c r="Y90" s="125"/>
      <c r="Z90" s="104"/>
      <c r="AA90" s="111"/>
      <c r="AB90" s="116"/>
      <c r="AC90" s="117"/>
      <c r="AD90" s="114"/>
      <c r="AE90" s="47"/>
      <c r="AF90" s="8" t="s">
        <v>7</v>
      </c>
      <c r="AG90" s="28" t="s">
        <v>157</v>
      </c>
      <c r="AH90" s="28" t="s">
        <v>158</v>
      </c>
      <c r="AI90" s="9" t="s">
        <v>159</v>
      </c>
      <c r="AJ90" s="10">
        <v>45713</v>
      </c>
      <c r="AK90" s="9" t="s">
        <v>160</v>
      </c>
      <c r="AL90" s="10">
        <v>45738</v>
      </c>
      <c r="AM90" s="28" t="s">
        <v>157</v>
      </c>
      <c r="AN90" s="29" t="s">
        <v>146</v>
      </c>
      <c r="AO90" s="28" t="s">
        <v>185</v>
      </c>
      <c r="AP90" s="37">
        <v>0</v>
      </c>
      <c r="AQ90" s="38">
        <v>45761</v>
      </c>
      <c r="AR90" s="38"/>
      <c r="AS90" s="9"/>
      <c r="AT90" s="9"/>
      <c r="AU90" s="38"/>
      <c r="AV90" s="9"/>
    </row>
    <row r="91" spans="1:48" s="11" customFormat="1" ht="54.75" customHeight="1">
      <c r="A91" s="53" t="s">
        <v>362</v>
      </c>
      <c r="B91" s="57" t="s">
        <v>363</v>
      </c>
      <c r="C91" s="53" t="s">
        <v>68</v>
      </c>
      <c r="D91" s="53" t="s">
        <v>165</v>
      </c>
      <c r="E91" s="53" t="s">
        <v>81</v>
      </c>
      <c r="F91" s="53" t="s">
        <v>98</v>
      </c>
      <c r="G91" s="53" t="s">
        <v>86</v>
      </c>
      <c r="H91" s="54">
        <v>48000000</v>
      </c>
      <c r="I91" s="54" t="e">
        <v>#N/A</v>
      </c>
      <c r="J91" s="55">
        <v>58221206.399999999</v>
      </c>
      <c r="K91" s="43" t="s">
        <v>72</v>
      </c>
      <c r="L91" s="55" t="s">
        <v>267</v>
      </c>
      <c r="M91" s="45" t="s">
        <v>142</v>
      </c>
      <c r="N91" s="45"/>
      <c r="O91" s="77" t="s">
        <v>268</v>
      </c>
      <c r="P91" s="129">
        <v>45297</v>
      </c>
      <c r="Q91" s="122">
        <v>45327</v>
      </c>
      <c r="R91" s="130">
        <v>45327</v>
      </c>
      <c r="S91" s="131">
        <v>45347</v>
      </c>
      <c r="T91" s="129" t="s">
        <v>527</v>
      </c>
      <c r="U91" s="122" t="s">
        <v>527</v>
      </c>
      <c r="V91" s="130">
        <v>45491</v>
      </c>
      <c r="W91" s="131">
        <v>45536</v>
      </c>
      <c r="X91" s="123">
        <v>45565</v>
      </c>
      <c r="Y91" s="124">
        <v>45742</v>
      </c>
      <c r="Z91" s="103" t="s">
        <v>1620</v>
      </c>
      <c r="AA91" s="111" t="s">
        <v>1523</v>
      </c>
      <c r="AB91" s="116" t="s">
        <v>1621</v>
      </c>
      <c r="AC91" s="117" t="s">
        <v>1475</v>
      </c>
      <c r="AD91" s="114" t="s">
        <v>1622</v>
      </c>
      <c r="AE91" s="47" t="s">
        <v>1539</v>
      </c>
      <c r="AF91" s="8" t="s">
        <v>268</v>
      </c>
      <c r="AG91" s="28" t="s">
        <v>267</v>
      </c>
      <c r="AH91" s="28" t="s">
        <v>267</v>
      </c>
      <c r="AI91" s="9" t="s">
        <v>159</v>
      </c>
      <c r="AJ91" s="10">
        <v>45525</v>
      </c>
      <c r="AK91" s="9" t="s">
        <v>160</v>
      </c>
      <c r="AL91" s="10">
        <v>45525</v>
      </c>
      <c r="AM91" s="16" t="s">
        <v>267</v>
      </c>
      <c r="AN91" s="29" t="s">
        <v>146</v>
      </c>
      <c r="AO91" s="28" t="s">
        <v>147</v>
      </c>
      <c r="AP91" s="37">
        <v>58221206.399999999</v>
      </c>
      <c r="AQ91" s="38">
        <v>45565</v>
      </c>
      <c r="AR91" s="38">
        <v>45707</v>
      </c>
      <c r="AS91" s="9">
        <v>901250059</v>
      </c>
      <c r="AT91" s="9" t="s">
        <v>195</v>
      </c>
      <c r="AU91" s="38">
        <v>45742</v>
      </c>
      <c r="AV91" s="9"/>
    </row>
    <row r="92" spans="1:48" s="11" customFormat="1" ht="54.75" customHeight="1">
      <c r="A92" s="53" t="s">
        <v>364</v>
      </c>
      <c r="B92" s="57" t="s">
        <v>365</v>
      </c>
      <c r="C92" s="53" t="s">
        <v>68</v>
      </c>
      <c r="D92" s="53" t="s">
        <v>150</v>
      </c>
      <c r="E92" s="53" t="s">
        <v>81</v>
      </c>
      <c r="F92" s="53" t="s">
        <v>81</v>
      </c>
      <c r="G92" s="53" t="s">
        <v>94</v>
      </c>
      <c r="H92" s="54">
        <v>28016875</v>
      </c>
      <c r="I92" s="54" t="s">
        <v>151</v>
      </c>
      <c r="J92" s="55">
        <v>72449998.849999994</v>
      </c>
      <c r="K92" s="43" t="s">
        <v>72</v>
      </c>
      <c r="L92" s="55" t="s">
        <v>267</v>
      </c>
      <c r="M92" s="45" t="s">
        <v>142</v>
      </c>
      <c r="N92" s="45"/>
      <c r="O92" s="77" t="s">
        <v>268</v>
      </c>
      <c r="P92" s="129">
        <v>45109</v>
      </c>
      <c r="Q92" s="122">
        <v>45139</v>
      </c>
      <c r="R92" s="130">
        <v>45139</v>
      </c>
      <c r="S92" s="131">
        <v>45169</v>
      </c>
      <c r="T92" s="129">
        <v>45169</v>
      </c>
      <c r="U92" s="122">
        <v>45312</v>
      </c>
      <c r="V92" s="130">
        <v>45386</v>
      </c>
      <c r="W92" s="131">
        <v>45550</v>
      </c>
      <c r="X92" s="123">
        <v>45581</v>
      </c>
      <c r="Y92" s="124">
        <v>45932</v>
      </c>
      <c r="Z92" s="103" t="s">
        <v>1486</v>
      </c>
      <c r="AA92" s="111" t="s">
        <v>1623</v>
      </c>
      <c r="AB92" s="116" t="s">
        <v>1624</v>
      </c>
      <c r="AC92" s="117" t="s">
        <v>1625</v>
      </c>
      <c r="AD92" s="114" t="s">
        <v>1626</v>
      </c>
      <c r="AE92" s="47" t="s">
        <v>1627</v>
      </c>
      <c r="AF92" s="8" t="s">
        <v>268</v>
      </c>
      <c r="AG92" s="32" t="s">
        <v>267</v>
      </c>
      <c r="AH92" s="28" t="s">
        <v>267</v>
      </c>
      <c r="AI92" s="9" t="s">
        <v>159</v>
      </c>
      <c r="AJ92" s="10">
        <v>45552</v>
      </c>
      <c r="AK92" s="9" t="s">
        <v>160</v>
      </c>
      <c r="AL92" s="10">
        <v>45552</v>
      </c>
      <c r="AM92" s="16" t="s">
        <v>267</v>
      </c>
      <c r="AN92" s="29" t="s">
        <v>146</v>
      </c>
      <c r="AO92" s="28" t="s">
        <v>147</v>
      </c>
      <c r="AP92" s="37">
        <v>72449998.849999994</v>
      </c>
      <c r="AQ92" s="38">
        <v>45581</v>
      </c>
      <c r="AR92" s="38">
        <v>45881</v>
      </c>
      <c r="AS92" s="9">
        <v>901250290</v>
      </c>
      <c r="AT92" s="9" t="s">
        <v>366</v>
      </c>
      <c r="AU92" s="38"/>
      <c r="AV92" s="9"/>
    </row>
    <row r="93" spans="1:48" s="11" customFormat="1" ht="54.75" hidden="1" customHeight="1">
      <c r="A93" s="53" t="s">
        <v>241</v>
      </c>
      <c r="B93" s="57" t="s">
        <v>242</v>
      </c>
      <c r="C93" s="53" t="s">
        <v>68</v>
      </c>
      <c r="D93" s="53" t="s">
        <v>150</v>
      </c>
      <c r="E93" s="53" t="s">
        <v>81</v>
      </c>
      <c r="F93" s="53" t="s">
        <v>81</v>
      </c>
      <c r="G93" s="53" t="s">
        <v>94</v>
      </c>
      <c r="H93" s="54">
        <v>71530000</v>
      </c>
      <c r="I93" s="54" t="s">
        <v>170</v>
      </c>
      <c r="J93" s="55">
        <v>242258338.74999997</v>
      </c>
      <c r="K93" s="43" t="s">
        <v>72</v>
      </c>
      <c r="L93" s="69" t="s">
        <v>243</v>
      </c>
      <c r="M93" s="45" t="s">
        <v>142</v>
      </c>
      <c r="N93" s="75" t="s">
        <v>75</v>
      </c>
      <c r="O93" s="77" t="s">
        <v>7</v>
      </c>
      <c r="P93" s="129">
        <v>45109</v>
      </c>
      <c r="Q93" s="122">
        <v>45139</v>
      </c>
      <c r="R93" s="130">
        <v>45139</v>
      </c>
      <c r="S93" s="131">
        <v>45169</v>
      </c>
      <c r="T93" s="129">
        <v>45169</v>
      </c>
      <c r="U93" s="122">
        <v>45312</v>
      </c>
      <c r="V93" s="130">
        <v>45386</v>
      </c>
      <c r="W93" s="131">
        <v>45552</v>
      </c>
      <c r="X93" s="123">
        <v>45578</v>
      </c>
      <c r="Y93" s="125"/>
      <c r="Z93" s="104"/>
      <c r="AA93" s="111"/>
      <c r="AB93" s="116"/>
      <c r="AC93" s="117"/>
      <c r="AD93" s="114"/>
      <c r="AE93" s="47"/>
      <c r="AF93" s="8" t="s">
        <v>7</v>
      </c>
      <c r="AG93" s="30" t="s">
        <v>243</v>
      </c>
      <c r="AH93" s="28" t="s">
        <v>158</v>
      </c>
      <c r="AI93" s="9" t="s">
        <v>159</v>
      </c>
      <c r="AJ93" s="10">
        <v>45552</v>
      </c>
      <c r="AK93" s="9" t="s">
        <v>160</v>
      </c>
      <c r="AL93" s="10">
        <v>45552</v>
      </c>
      <c r="AM93" s="16" t="s">
        <v>244</v>
      </c>
      <c r="AN93" s="29" t="s">
        <v>146</v>
      </c>
      <c r="AO93" s="28" t="s">
        <v>157</v>
      </c>
      <c r="AP93" s="37">
        <v>242258338.74999997</v>
      </c>
      <c r="AQ93" s="38">
        <v>45578</v>
      </c>
      <c r="AR93" s="38"/>
      <c r="AS93" s="9"/>
      <c r="AT93" s="9" t="s">
        <v>245</v>
      </c>
      <c r="AU93" s="38"/>
      <c r="AV93" s="9"/>
    </row>
    <row r="94" spans="1:48" s="11" customFormat="1" ht="54.75" customHeight="1">
      <c r="A94" s="53" t="s">
        <v>367</v>
      </c>
      <c r="B94" s="57" t="s">
        <v>368</v>
      </c>
      <c r="C94" s="53" t="s">
        <v>68</v>
      </c>
      <c r="D94" s="53" t="s">
        <v>150</v>
      </c>
      <c r="E94" s="53" t="s">
        <v>81</v>
      </c>
      <c r="F94" s="53" t="s">
        <v>81</v>
      </c>
      <c r="G94" s="53" t="s">
        <v>86</v>
      </c>
      <c r="H94" s="54">
        <v>169694000</v>
      </c>
      <c r="I94" s="54" t="s">
        <v>258</v>
      </c>
      <c r="J94" s="55">
        <v>342263000</v>
      </c>
      <c r="K94" s="43" t="s">
        <v>72</v>
      </c>
      <c r="L94" s="55" t="s">
        <v>267</v>
      </c>
      <c r="M94" s="45" t="s">
        <v>142</v>
      </c>
      <c r="N94" s="45"/>
      <c r="O94" s="77" t="s">
        <v>268</v>
      </c>
      <c r="P94" s="129">
        <v>45109</v>
      </c>
      <c r="Q94" s="122">
        <v>45139</v>
      </c>
      <c r="R94" s="130">
        <v>45139</v>
      </c>
      <c r="S94" s="131">
        <v>45169</v>
      </c>
      <c r="T94" s="129">
        <v>45169</v>
      </c>
      <c r="U94" s="122">
        <v>45312</v>
      </c>
      <c r="V94" s="130">
        <v>45386</v>
      </c>
      <c r="W94" s="131">
        <v>45559</v>
      </c>
      <c r="X94" s="123">
        <v>45578</v>
      </c>
      <c r="Y94" s="124">
        <v>45937</v>
      </c>
      <c r="Z94" s="103" t="s">
        <v>1628</v>
      </c>
      <c r="AA94" s="111" t="s">
        <v>1629</v>
      </c>
      <c r="AB94" s="116" t="s">
        <v>1630</v>
      </c>
      <c r="AC94" s="117" t="s">
        <v>1631</v>
      </c>
      <c r="AD94" s="114" t="s">
        <v>1632</v>
      </c>
      <c r="AE94" s="47" t="s">
        <v>1633</v>
      </c>
      <c r="AF94" s="8" t="s">
        <v>268</v>
      </c>
      <c r="AG94" s="32" t="s">
        <v>267</v>
      </c>
      <c r="AH94" s="28" t="s">
        <v>267</v>
      </c>
      <c r="AI94" s="9" t="s">
        <v>159</v>
      </c>
      <c r="AJ94" s="10">
        <v>45550</v>
      </c>
      <c r="AK94" s="9" t="s">
        <v>160</v>
      </c>
      <c r="AL94" s="10">
        <v>45551</v>
      </c>
      <c r="AM94" s="16" t="s">
        <v>267</v>
      </c>
      <c r="AN94" s="29" t="s">
        <v>146</v>
      </c>
      <c r="AO94" s="28" t="s">
        <v>147</v>
      </c>
      <c r="AP94" s="37">
        <v>342205500</v>
      </c>
      <c r="AQ94" s="38">
        <v>45578</v>
      </c>
      <c r="AR94" s="38">
        <v>45883</v>
      </c>
      <c r="AS94" s="9">
        <v>901250300</v>
      </c>
      <c r="AT94" s="9" t="s">
        <v>369</v>
      </c>
      <c r="AU94" s="38"/>
      <c r="AV94" s="9"/>
    </row>
    <row r="95" spans="1:48" s="11" customFormat="1" ht="54.75" customHeight="1">
      <c r="A95" s="53" t="s">
        <v>370</v>
      </c>
      <c r="B95" s="57" t="s">
        <v>371</v>
      </c>
      <c r="C95" s="53" t="s">
        <v>68</v>
      </c>
      <c r="D95" s="53" t="s">
        <v>150</v>
      </c>
      <c r="E95" s="53" t="s">
        <v>81</v>
      </c>
      <c r="F95" s="53" t="s">
        <v>81</v>
      </c>
      <c r="G95" s="53" t="s">
        <v>86</v>
      </c>
      <c r="H95" s="54">
        <v>97749999.999999985</v>
      </c>
      <c r="I95" s="54" t="s">
        <v>258</v>
      </c>
      <c r="J95" s="55">
        <v>116757993.5</v>
      </c>
      <c r="K95" s="43" t="s">
        <v>72</v>
      </c>
      <c r="L95" s="55" t="s">
        <v>267</v>
      </c>
      <c r="M95" s="45" t="s">
        <v>142</v>
      </c>
      <c r="N95" s="45"/>
      <c r="O95" s="77" t="s">
        <v>268</v>
      </c>
      <c r="P95" s="129">
        <v>45109</v>
      </c>
      <c r="Q95" s="122">
        <v>45139</v>
      </c>
      <c r="R95" s="130">
        <v>45139</v>
      </c>
      <c r="S95" s="131">
        <v>45169</v>
      </c>
      <c r="T95" s="129">
        <v>45169</v>
      </c>
      <c r="U95" s="122">
        <v>45312</v>
      </c>
      <c r="V95" s="130">
        <v>45386</v>
      </c>
      <c r="W95" s="131">
        <v>45562</v>
      </c>
      <c r="X95" s="123">
        <v>45840</v>
      </c>
      <c r="Y95" s="124">
        <v>45840</v>
      </c>
      <c r="Z95" s="103" t="s">
        <v>1606</v>
      </c>
      <c r="AA95" s="111" t="s">
        <v>1634</v>
      </c>
      <c r="AB95" s="116" t="s">
        <v>1635</v>
      </c>
      <c r="AC95" s="117" t="s">
        <v>1636</v>
      </c>
      <c r="AD95" s="114" t="s">
        <v>1637</v>
      </c>
      <c r="AE95" s="47" t="s">
        <v>1412</v>
      </c>
      <c r="AF95" s="8" t="s">
        <v>268</v>
      </c>
      <c r="AG95" s="28" t="s">
        <v>267</v>
      </c>
      <c r="AH95" s="28" t="s">
        <v>267</v>
      </c>
      <c r="AI95" s="9" t="s">
        <v>159</v>
      </c>
      <c r="AJ95" s="10">
        <v>45832</v>
      </c>
      <c r="AK95" s="9">
        <v>902250349</v>
      </c>
      <c r="AL95" s="10">
        <v>45839</v>
      </c>
      <c r="AM95" s="16" t="s">
        <v>267</v>
      </c>
      <c r="AN95" s="29" t="s">
        <v>146</v>
      </c>
      <c r="AO95" s="28" t="s">
        <v>147</v>
      </c>
      <c r="AP95" s="37">
        <v>116757993.49999999</v>
      </c>
      <c r="AQ95" s="38">
        <v>45840</v>
      </c>
      <c r="AR95" s="38">
        <v>45840</v>
      </c>
      <c r="AS95" s="9">
        <v>901250210</v>
      </c>
      <c r="AT95" s="9" t="s">
        <v>373</v>
      </c>
      <c r="AU95" s="38">
        <v>45840</v>
      </c>
      <c r="AV95" s="9" t="s">
        <v>178</v>
      </c>
    </row>
    <row r="96" spans="1:48" s="11" customFormat="1" ht="54.75" customHeight="1">
      <c r="A96" s="53" t="s">
        <v>374</v>
      </c>
      <c r="B96" s="57" t="s">
        <v>375</v>
      </c>
      <c r="C96" s="53" t="s">
        <v>68</v>
      </c>
      <c r="D96" s="53" t="s">
        <v>150</v>
      </c>
      <c r="E96" s="53" t="s">
        <v>81</v>
      </c>
      <c r="F96" s="53" t="s">
        <v>81</v>
      </c>
      <c r="G96" s="53" t="s">
        <v>86</v>
      </c>
      <c r="H96" s="54">
        <v>51749999.999999993</v>
      </c>
      <c r="I96" s="54" t="s">
        <v>258</v>
      </c>
      <c r="J96" s="55">
        <v>20806386.5</v>
      </c>
      <c r="K96" s="43" t="s">
        <v>72</v>
      </c>
      <c r="L96" s="55" t="s">
        <v>267</v>
      </c>
      <c r="M96" s="45" t="s">
        <v>142</v>
      </c>
      <c r="N96" s="45"/>
      <c r="O96" s="77" t="s">
        <v>268</v>
      </c>
      <c r="P96" s="129">
        <v>45109</v>
      </c>
      <c r="Q96" s="122">
        <v>45139</v>
      </c>
      <c r="R96" s="130">
        <v>45139</v>
      </c>
      <c r="S96" s="131">
        <v>45169</v>
      </c>
      <c r="T96" s="129">
        <v>45169</v>
      </c>
      <c r="U96" s="122">
        <v>45312</v>
      </c>
      <c r="V96" s="130">
        <v>45386</v>
      </c>
      <c r="W96" s="131">
        <v>45543</v>
      </c>
      <c r="X96" s="123">
        <v>45578</v>
      </c>
      <c r="Y96" s="124">
        <v>45700</v>
      </c>
      <c r="Z96" s="103" t="s">
        <v>1638</v>
      </c>
      <c r="AA96" s="111" t="s">
        <v>1639</v>
      </c>
      <c r="AB96" s="116" t="s">
        <v>1640</v>
      </c>
      <c r="AC96" s="117" t="s">
        <v>1641</v>
      </c>
      <c r="AD96" s="114" t="s">
        <v>1642</v>
      </c>
      <c r="AE96" s="47" t="s">
        <v>1643</v>
      </c>
      <c r="AF96" s="8" t="s">
        <v>268</v>
      </c>
      <c r="AG96" s="28" t="s">
        <v>267</v>
      </c>
      <c r="AH96" s="28" t="s">
        <v>267</v>
      </c>
      <c r="AI96" s="9" t="s">
        <v>159</v>
      </c>
      <c r="AJ96" s="10">
        <v>45547</v>
      </c>
      <c r="AK96" s="9">
        <v>902240555</v>
      </c>
      <c r="AL96" s="10">
        <v>45568</v>
      </c>
      <c r="AM96" s="16" t="s">
        <v>267</v>
      </c>
      <c r="AN96" s="29" t="s">
        <v>146</v>
      </c>
      <c r="AO96" s="28"/>
      <c r="AP96" s="37">
        <v>20806386.5</v>
      </c>
      <c r="AQ96" s="38">
        <v>45578</v>
      </c>
      <c r="AR96" s="38">
        <v>45652</v>
      </c>
      <c r="AS96" s="9">
        <v>901240386</v>
      </c>
      <c r="AT96" s="9" t="s">
        <v>376</v>
      </c>
      <c r="AU96" s="38">
        <v>45700</v>
      </c>
      <c r="AV96" s="9"/>
    </row>
    <row r="97" spans="1:48" s="11" customFormat="1" ht="54.75" hidden="1" customHeight="1">
      <c r="A97" s="53" t="s">
        <v>246</v>
      </c>
      <c r="B97" s="57" t="s">
        <v>247</v>
      </c>
      <c r="C97" s="53" t="s">
        <v>68</v>
      </c>
      <c r="D97" s="53" t="s">
        <v>150</v>
      </c>
      <c r="E97" s="53" t="s">
        <v>81</v>
      </c>
      <c r="F97" s="53" t="s">
        <v>81</v>
      </c>
      <c r="G97" s="53" t="s">
        <v>94</v>
      </c>
      <c r="H97" s="54">
        <v>47000000</v>
      </c>
      <c r="I97" s="54" t="s">
        <v>170</v>
      </c>
      <c r="J97" s="55">
        <v>145614552.5</v>
      </c>
      <c r="K97" s="43" t="s">
        <v>72</v>
      </c>
      <c r="L97" s="69" t="s">
        <v>157</v>
      </c>
      <c r="M97" s="45" t="s">
        <v>142</v>
      </c>
      <c r="N97" s="75" t="s">
        <v>75</v>
      </c>
      <c r="O97" s="77" t="s">
        <v>7</v>
      </c>
      <c r="P97" s="129">
        <v>45109</v>
      </c>
      <c r="Q97" s="122">
        <v>45139</v>
      </c>
      <c r="R97" s="130">
        <v>45139</v>
      </c>
      <c r="S97" s="131">
        <v>45169</v>
      </c>
      <c r="T97" s="129">
        <v>45169</v>
      </c>
      <c r="U97" s="122">
        <v>45312</v>
      </c>
      <c r="V97" s="130">
        <v>45386</v>
      </c>
      <c r="W97" s="131">
        <v>45560</v>
      </c>
      <c r="X97" s="123">
        <v>45589</v>
      </c>
      <c r="Y97" s="125"/>
      <c r="Z97" s="104"/>
      <c r="AA97" s="111"/>
      <c r="AB97" s="116"/>
      <c r="AC97" s="117"/>
      <c r="AD97" s="114"/>
      <c r="AE97" s="47"/>
      <c r="AF97" s="8" t="s">
        <v>7</v>
      </c>
      <c r="AG97" s="30" t="s">
        <v>157</v>
      </c>
      <c r="AH97" s="28" t="s">
        <v>158</v>
      </c>
      <c r="AI97" s="9" t="s">
        <v>159</v>
      </c>
      <c r="AJ97" s="10">
        <v>45566</v>
      </c>
      <c r="AK97" s="9" t="s">
        <v>160</v>
      </c>
      <c r="AL97" s="10">
        <v>45581</v>
      </c>
      <c r="AM97" s="16" t="s">
        <v>248</v>
      </c>
      <c r="AN97" s="29" t="s">
        <v>146</v>
      </c>
      <c r="AO97" s="28" t="s">
        <v>157</v>
      </c>
      <c r="AP97" s="37">
        <v>145475000</v>
      </c>
      <c r="AQ97" s="38">
        <v>45589</v>
      </c>
      <c r="AR97" s="38"/>
      <c r="AS97" s="9"/>
      <c r="AT97" s="9" t="s">
        <v>249</v>
      </c>
      <c r="AU97" s="38"/>
      <c r="AV97" s="9"/>
    </row>
    <row r="98" spans="1:48" s="11" customFormat="1" ht="54.75" customHeight="1">
      <c r="A98" s="53" t="s">
        <v>377</v>
      </c>
      <c r="B98" s="57" t="s">
        <v>378</v>
      </c>
      <c r="C98" s="53" t="s">
        <v>68</v>
      </c>
      <c r="D98" s="53" t="s">
        <v>150</v>
      </c>
      <c r="E98" s="53" t="s">
        <v>81</v>
      </c>
      <c r="F98" s="53" t="s">
        <v>81</v>
      </c>
      <c r="G98" s="53" t="s">
        <v>94</v>
      </c>
      <c r="H98" s="54">
        <v>17250000</v>
      </c>
      <c r="I98" s="54" t="s">
        <v>151</v>
      </c>
      <c r="J98" s="55">
        <v>14104405</v>
      </c>
      <c r="K98" s="43" t="s">
        <v>72</v>
      </c>
      <c r="L98" s="55" t="s">
        <v>267</v>
      </c>
      <c r="M98" s="45" t="s">
        <v>142</v>
      </c>
      <c r="N98" s="45"/>
      <c r="O98" s="77" t="s">
        <v>268</v>
      </c>
      <c r="P98" s="129">
        <v>45109</v>
      </c>
      <c r="Q98" s="122">
        <v>45139</v>
      </c>
      <c r="R98" s="130">
        <v>45139</v>
      </c>
      <c r="S98" s="131">
        <v>45169</v>
      </c>
      <c r="T98" s="129">
        <v>45169</v>
      </c>
      <c r="U98" s="122">
        <v>45312</v>
      </c>
      <c r="V98" s="130">
        <v>45386</v>
      </c>
      <c r="W98" s="131">
        <v>45544</v>
      </c>
      <c r="X98" s="123">
        <v>45561</v>
      </c>
      <c r="Y98" s="124">
        <v>45705</v>
      </c>
      <c r="Z98" s="103" t="s">
        <v>1644</v>
      </c>
      <c r="AA98" s="111" t="s">
        <v>1645</v>
      </c>
      <c r="AB98" s="116" t="s">
        <v>1646</v>
      </c>
      <c r="AC98" s="117" t="s">
        <v>1647</v>
      </c>
      <c r="AD98" s="114" t="s">
        <v>1645</v>
      </c>
      <c r="AE98" s="47" t="s">
        <v>1648</v>
      </c>
      <c r="AF98" s="8" t="s">
        <v>268</v>
      </c>
      <c r="AG98" s="28" t="s">
        <v>267</v>
      </c>
      <c r="AH98" s="28" t="s">
        <v>267</v>
      </c>
      <c r="AI98" s="9" t="s">
        <v>159</v>
      </c>
      <c r="AJ98" s="10">
        <v>45545</v>
      </c>
      <c r="AK98" s="9" t="s">
        <v>160</v>
      </c>
      <c r="AL98" s="10">
        <v>45546</v>
      </c>
      <c r="AM98" s="16" t="s">
        <v>267</v>
      </c>
      <c r="AN98" s="29" t="s">
        <v>146</v>
      </c>
      <c r="AO98" s="28"/>
      <c r="AP98" s="37">
        <v>14104404.999999998</v>
      </c>
      <c r="AQ98" s="38">
        <v>45561</v>
      </c>
      <c r="AR98" s="38">
        <v>45657</v>
      </c>
      <c r="AS98" s="9">
        <v>901240391</v>
      </c>
      <c r="AT98" s="9" t="s">
        <v>379</v>
      </c>
      <c r="AU98" s="38">
        <v>45705</v>
      </c>
      <c r="AV98" s="9"/>
    </row>
    <row r="99" spans="1:48" s="11" customFormat="1" ht="54.75" hidden="1" customHeight="1">
      <c r="A99" s="53" t="s">
        <v>250</v>
      </c>
      <c r="B99" s="57" t="s">
        <v>251</v>
      </c>
      <c r="C99" s="53" t="s">
        <v>68</v>
      </c>
      <c r="D99" s="53" t="s">
        <v>150</v>
      </c>
      <c r="E99" s="53" t="s">
        <v>81</v>
      </c>
      <c r="F99" s="53" t="s">
        <v>81</v>
      </c>
      <c r="G99" s="53" t="s">
        <v>94</v>
      </c>
      <c r="H99" s="54">
        <v>103499999.99999999</v>
      </c>
      <c r="I99" s="54" t="s">
        <v>151</v>
      </c>
      <c r="J99" s="55">
        <v>282926773.62</v>
      </c>
      <c r="K99" s="43" t="s">
        <v>72</v>
      </c>
      <c r="L99" s="69" t="s">
        <v>252</v>
      </c>
      <c r="M99" s="45" t="s">
        <v>142</v>
      </c>
      <c r="N99" s="75" t="s">
        <v>87</v>
      </c>
      <c r="O99" s="77" t="s">
        <v>7</v>
      </c>
      <c r="P99" s="129">
        <v>45109</v>
      </c>
      <c r="Q99" s="122">
        <v>45139</v>
      </c>
      <c r="R99" s="130">
        <v>45139</v>
      </c>
      <c r="S99" s="131">
        <v>45169</v>
      </c>
      <c r="T99" s="129">
        <v>45169</v>
      </c>
      <c r="U99" s="122">
        <v>45312</v>
      </c>
      <c r="V99" s="130">
        <v>45386</v>
      </c>
      <c r="W99" s="131">
        <v>45559</v>
      </c>
      <c r="X99" s="123">
        <v>45603</v>
      </c>
      <c r="Y99" s="125"/>
      <c r="Z99" s="104"/>
      <c r="AA99" s="111"/>
      <c r="AB99" s="116"/>
      <c r="AC99" s="117"/>
      <c r="AD99" s="114"/>
      <c r="AE99" s="47"/>
      <c r="AF99" s="8" t="s">
        <v>7</v>
      </c>
      <c r="AG99" s="30" t="s">
        <v>252</v>
      </c>
      <c r="AH99" s="28" t="s">
        <v>158</v>
      </c>
      <c r="AI99" s="9" t="s">
        <v>159</v>
      </c>
      <c r="AJ99" s="10">
        <v>45565</v>
      </c>
      <c r="AK99" s="9" t="s">
        <v>160</v>
      </c>
      <c r="AL99" s="10">
        <v>45585</v>
      </c>
      <c r="AM99" s="28" t="s">
        <v>161</v>
      </c>
      <c r="AN99" s="29" t="s">
        <v>146</v>
      </c>
      <c r="AO99" s="28" t="s">
        <v>157</v>
      </c>
      <c r="AP99" s="37">
        <v>226584455.14999998</v>
      </c>
      <c r="AQ99" s="38">
        <v>45603</v>
      </c>
      <c r="AR99" s="38"/>
      <c r="AS99" s="9"/>
      <c r="AT99" s="9" t="s">
        <v>171</v>
      </c>
      <c r="AU99" s="38"/>
      <c r="AV99" s="9"/>
    </row>
    <row r="100" spans="1:48" s="11" customFormat="1" ht="54.75" customHeight="1">
      <c r="A100" s="56" t="s">
        <v>380</v>
      </c>
      <c r="B100" s="57" t="s">
        <v>381</v>
      </c>
      <c r="C100" s="53" t="s">
        <v>68</v>
      </c>
      <c r="D100" s="53" t="s">
        <v>150</v>
      </c>
      <c r="E100" s="53" t="s">
        <v>81</v>
      </c>
      <c r="F100" s="53" t="s">
        <v>81</v>
      </c>
      <c r="G100" s="53" t="s">
        <v>94</v>
      </c>
      <c r="H100" s="54">
        <v>57499999.999999993</v>
      </c>
      <c r="I100" s="54" t="s">
        <v>170</v>
      </c>
      <c r="J100" s="55">
        <v>82862353</v>
      </c>
      <c r="K100" s="43" t="s">
        <v>72</v>
      </c>
      <c r="L100" s="55" t="s">
        <v>267</v>
      </c>
      <c r="M100" s="45" t="s">
        <v>142</v>
      </c>
      <c r="N100" s="45"/>
      <c r="O100" s="77" t="s">
        <v>268</v>
      </c>
      <c r="P100" s="129">
        <v>45109</v>
      </c>
      <c r="Q100" s="122">
        <v>45139</v>
      </c>
      <c r="R100" s="130">
        <v>45139</v>
      </c>
      <c r="S100" s="131">
        <v>45169</v>
      </c>
      <c r="T100" s="129">
        <v>45169</v>
      </c>
      <c r="U100" s="122">
        <v>45312</v>
      </c>
      <c r="V100" s="130">
        <v>45386</v>
      </c>
      <c r="W100" s="131">
        <v>45550</v>
      </c>
      <c r="X100" s="123">
        <v>45581</v>
      </c>
      <c r="Y100" s="124">
        <v>45896</v>
      </c>
      <c r="Z100" s="103" t="s">
        <v>1649</v>
      </c>
      <c r="AA100" s="111" t="s">
        <v>1650</v>
      </c>
      <c r="AB100" s="116" t="s">
        <v>1651</v>
      </c>
      <c r="AC100" s="117" t="s">
        <v>1652</v>
      </c>
      <c r="AD100" s="114" t="s">
        <v>1653</v>
      </c>
      <c r="AE100" s="47" t="s">
        <v>1654</v>
      </c>
      <c r="AF100" s="8" t="s">
        <v>268</v>
      </c>
      <c r="AG100" s="28" t="s">
        <v>267</v>
      </c>
      <c r="AH100" s="28" t="s">
        <v>267</v>
      </c>
      <c r="AI100" s="9" t="s">
        <v>159</v>
      </c>
      <c r="AJ100" s="10">
        <v>45552</v>
      </c>
      <c r="AK100" s="9" t="s">
        <v>160</v>
      </c>
      <c r="AL100" s="10">
        <v>45552</v>
      </c>
      <c r="AM100" s="16" t="s">
        <v>267</v>
      </c>
      <c r="AN100" s="29" t="s">
        <v>146</v>
      </c>
      <c r="AO100" s="28"/>
      <c r="AP100" s="37">
        <v>82862353</v>
      </c>
      <c r="AQ100" s="38">
        <v>45581</v>
      </c>
      <c r="AR100" s="38">
        <v>45881</v>
      </c>
      <c r="AS100" s="9">
        <v>901250291</v>
      </c>
      <c r="AT100" s="9" t="s">
        <v>171</v>
      </c>
      <c r="AU100" s="38">
        <v>45896</v>
      </c>
      <c r="AV100" s="9"/>
    </row>
    <row r="101" spans="1:48" s="11" customFormat="1" ht="54.75" hidden="1" customHeight="1">
      <c r="A101" s="53" t="s">
        <v>253</v>
      </c>
      <c r="B101" s="57" t="s">
        <v>254</v>
      </c>
      <c r="C101" s="53" t="s">
        <v>68</v>
      </c>
      <c r="D101" s="53" t="s">
        <v>150</v>
      </c>
      <c r="E101" s="53" t="s">
        <v>81</v>
      </c>
      <c r="F101" s="53" t="s">
        <v>81</v>
      </c>
      <c r="G101" s="53" t="s">
        <v>94</v>
      </c>
      <c r="H101" s="54">
        <v>57499999.999999993</v>
      </c>
      <c r="I101" s="54" t="s">
        <v>170</v>
      </c>
      <c r="J101" s="55">
        <v>146941169.5</v>
      </c>
      <c r="K101" s="43" t="s">
        <v>72</v>
      </c>
      <c r="L101" s="69" t="s">
        <v>157</v>
      </c>
      <c r="M101" s="45" t="s">
        <v>142</v>
      </c>
      <c r="N101" s="75" t="s">
        <v>87</v>
      </c>
      <c r="O101" s="77" t="s">
        <v>7</v>
      </c>
      <c r="P101" s="129">
        <v>45109</v>
      </c>
      <c r="Q101" s="122">
        <v>45139</v>
      </c>
      <c r="R101" s="130">
        <v>45139</v>
      </c>
      <c r="S101" s="131">
        <v>45169</v>
      </c>
      <c r="T101" s="129">
        <v>45169</v>
      </c>
      <c r="U101" s="122">
        <v>45312</v>
      </c>
      <c r="V101" s="130">
        <v>45386</v>
      </c>
      <c r="W101" s="131">
        <v>45564</v>
      </c>
      <c r="X101" s="123">
        <v>45589</v>
      </c>
      <c r="Y101" s="125"/>
      <c r="Z101" s="104"/>
      <c r="AA101" s="111"/>
      <c r="AB101" s="116"/>
      <c r="AC101" s="117"/>
      <c r="AD101" s="114"/>
      <c r="AE101" s="47"/>
      <c r="AF101" s="8" t="s">
        <v>7</v>
      </c>
      <c r="AG101" s="30" t="s">
        <v>157</v>
      </c>
      <c r="AH101" s="28" t="s">
        <v>158</v>
      </c>
      <c r="AI101" s="9" t="s">
        <v>159</v>
      </c>
      <c r="AJ101" s="10">
        <v>45566</v>
      </c>
      <c r="AK101" s="9" t="s">
        <v>160</v>
      </c>
      <c r="AL101" s="10">
        <v>45581</v>
      </c>
      <c r="AM101" s="16" t="s">
        <v>255</v>
      </c>
      <c r="AN101" s="29" t="s">
        <v>146</v>
      </c>
      <c r="AO101" s="28" t="s">
        <v>157</v>
      </c>
      <c r="AP101" s="37">
        <v>146941169.5</v>
      </c>
      <c r="AQ101" s="38">
        <v>45589</v>
      </c>
      <c r="AR101" s="38"/>
      <c r="AS101" s="9"/>
      <c r="AT101" s="9" t="s">
        <v>249</v>
      </c>
      <c r="AU101" s="38"/>
      <c r="AV101" s="9"/>
    </row>
    <row r="102" spans="1:48" s="11" customFormat="1" ht="54.75" hidden="1" customHeight="1">
      <c r="A102" s="53" t="s">
        <v>496</v>
      </c>
      <c r="B102" s="57" t="s">
        <v>497</v>
      </c>
      <c r="C102" s="53" t="s">
        <v>68</v>
      </c>
      <c r="D102" s="53" t="s">
        <v>165</v>
      </c>
      <c r="E102" s="53" t="s">
        <v>395</v>
      </c>
      <c r="F102" s="53" t="s">
        <v>395</v>
      </c>
      <c r="G102" s="53" t="s">
        <v>86</v>
      </c>
      <c r="H102" s="54">
        <v>23000000</v>
      </c>
      <c r="I102" s="54" t="e">
        <v>#N/A</v>
      </c>
      <c r="J102" s="55">
        <v>46497039.199999996</v>
      </c>
      <c r="K102" s="43" t="s">
        <v>72</v>
      </c>
      <c r="L102" s="55" t="s">
        <v>219</v>
      </c>
      <c r="M102" s="45" t="s">
        <v>142</v>
      </c>
      <c r="N102" s="75" t="s">
        <v>75</v>
      </c>
      <c r="O102" s="77" t="s">
        <v>7</v>
      </c>
      <c r="P102" s="129">
        <v>45297</v>
      </c>
      <c r="Q102" s="122">
        <v>45327</v>
      </c>
      <c r="R102" s="130">
        <v>45327</v>
      </c>
      <c r="S102" s="131">
        <v>45342</v>
      </c>
      <c r="T102" s="129" t="s">
        <v>527</v>
      </c>
      <c r="U102" s="122" t="s">
        <v>527</v>
      </c>
      <c r="V102" s="130">
        <v>45464</v>
      </c>
      <c r="W102" s="131">
        <v>45509</v>
      </c>
      <c r="X102" s="123">
        <v>45567</v>
      </c>
      <c r="Y102" s="125"/>
      <c r="Z102" s="104"/>
      <c r="AA102" s="111"/>
      <c r="AB102" s="116"/>
      <c r="AC102" s="117"/>
      <c r="AD102" s="114"/>
      <c r="AE102" s="47"/>
      <c r="AF102" s="8" t="s">
        <v>7</v>
      </c>
      <c r="AG102" s="28" t="s">
        <v>278</v>
      </c>
      <c r="AH102" s="28" t="s">
        <v>158</v>
      </c>
      <c r="AI102" s="9" t="s">
        <v>159</v>
      </c>
      <c r="AJ102" s="10">
        <v>45832</v>
      </c>
      <c r="AK102" s="9">
        <v>602250247</v>
      </c>
      <c r="AL102" s="10">
        <v>45482</v>
      </c>
      <c r="AM102" s="16" t="s">
        <v>279</v>
      </c>
      <c r="AN102" s="29" t="s">
        <v>146</v>
      </c>
      <c r="AO102" s="28" t="s">
        <v>279</v>
      </c>
      <c r="AP102" s="37">
        <v>46497039.199999996</v>
      </c>
      <c r="AQ102" s="38">
        <v>45567</v>
      </c>
      <c r="AR102" s="38">
        <v>45859</v>
      </c>
      <c r="AS102" s="9">
        <v>601250143</v>
      </c>
      <c r="AT102" s="9" t="s">
        <v>498</v>
      </c>
      <c r="AU102" s="38"/>
      <c r="AV102" s="9"/>
    </row>
    <row r="103" spans="1:48" s="11" customFormat="1" ht="54.75" hidden="1" customHeight="1">
      <c r="A103" s="53" t="s">
        <v>548</v>
      </c>
      <c r="B103" s="57" t="s">
        <v>549</v>
      </c>
      <c r="C103" s="53" t="s">
        <v>68</v>
      </c>
      <c r="D103" s="53" t="s">
        <v>137</v>
      </c>
      <c r="E103" s="53" t="s">
        <v>395</v>
      </c>
      <c r="F103" s="53" t="s">
        <v>395</v>
      </c>
      <c r="G103" s="53" t="s">
        <v>86</v>
      </c>
      <c r="H103" s="54">
        <v>48299999.999999993</v>
      </c>
      <c r="I103" s="54" t="s">
        <v>170</v>
      </c>
      <c r="J103" s="55">
        <v>21863995.5</v>
      </c>
      <c r="K103" s="43" t="s">
        <v>72</v>
      </c>
      <c r="L103" s="55" t="s">
        <v>267</v>
      </c>
      <c r="M103" s="45" t="s">
        <v>142</v>
      </c>
      <c r="N103" s="45"/>
      <c r="O103" s="77" t="s">
        <v>268</v>
      </c>
      <c r="P103" s="129">
        <v>45109</v>
      </c>
      <c r="Q103" s="122">
        <v>45139</v>
      </c>
      <c r="R103" s="130">
        <v>45139</v>
      </c>
      <c r="S103" s="131">
        <v>45169</v>
      </c>
      <c r="T103" s="129">
        <v>45169</v>
      </c>
      <c r="U103" s="122">
        <v>45313</v>
      </c>
      <c r="V103" s="130">
        <v>45370</v>
      </c>
      <c r="W103" s="131">
        <v>45545</v>
      </c>
      <c r="X103" s="123">
        <v>45585</v>
      </c>
      <c r="Y103" s="124">
        <v>45722</v>
      </c>
      <c r="Z103" s="103" t="s">
        <v>1644</v>
      </c>
      <c r="AA103" s="111" t="s">
        <v>1655</v>
      </c>
      <c r="AB103" s="116" t="s">
        <v>1656</v>
      </c>
      <c r="AC103" s="117" t="s">
        <v>1657</v>
      </c>
      <c r="AD103" s="114" t="s">
        <v>1658</v>
      </c>
      <c r="AE103" s="47" t="s">
        <v>1475</v>
      </c>
      <c r="AF103" s="8" t="s">
        <v>268</v>
      </c>
      <c r="AG103" s="28" t="s">
        <v>267</v>
      </c>
      <c r="AH103" s="28" t="s">
        <v>267</v>
      </c>
      <c r="AI103" s="9" t="s">
        <v>159</v>
      </c>
      <c r="AJ103" s="10">
        <v>45553</v>
      </c>
      <c r="AK103" s="9">
        <v>602240273</v>
      </c>
      <c r="AL103" s="10">
        <v>45575</v>
      </c>
      <c r="AM103" s="16" t="s">
        <v>267</v>
      </c>
      <c r="AN103" s="29" t="s">
        <v>146</v>
      </c>
      <c r="AO103" s="28"/>
      <c r="AP103" s="37">
        <v>21863995.5</v>
      </c>
      <c r="AQ103" s="38">
        <v>45585</v>
      </c>
      <c r="AR103" s="38">
        <v>45656</v>
      </c>
      <c r="AS103" s="9">
        <v>601240239</v>
      </c>
      <c r="AT103" s="9" t="s">
        <v>346</v>
      </c>
      <c r="AU103" s="38">
        <v>45722</v>
      </c>
      <c r="AV103" s="9"/>
    </row>
    <row r="104" spans="1:48" s="11" customFormat="1" ht="54.75" hidden="1" customHeight="1">
      <c r="A104" s="53" t="s">
        <v>550</v>
      </c>
      <c r="B104" s="57" t="s">
        <v>551</v>
      </c>
      <c r="C104" s="53" t="s">
        <v>68</v>
      </c>
      <c r="D104" s="53" t="s">
        <v>165</v>
      </c>
      <c r="E104" s="53" t="s">
        <v>395</v>
      </c>
      <c r="F104" s="53" t="s">
        <v>395</v>
      </c>
      <c r="G104" s="53" t="s">
        <v>94</v>
      </c>
      <c r="H104" s="54">
        <v>57499999.999999993</v>
      </c>
      <c r="I104" s="54" t="e">
        <v>#N/A</v>
      </c>
      <c r="J104" s="55">
        <v>23655694.349999998</v>
      </c>
      <c r="K104" s="43" t="s">
        <v>72</v>
      </c>
      <c r="L104" s="55" t="s">
        <v>267</v>
      </c>
      <c r="M104" s="45" t="s">
        <v>142</v>
      </c>
      <c r="N104" s="45"/>
      <c r="O104" s="77" t="s">
        <v>268</v>
      </c>
      <c r="P104" s="129">
        <v>45297</v>
      </c>
      <c r="Q104" s="122">
        <v>45327</v>
      </c>
      <c r="R104" s="130">
        <v>45327</v>
      </c>
      <c r="S104" s="131">
        <v>45342</v>
      </c>
      <c r="T104" s="129" t="s">
        <v>527</v>
      </c>
      <c r="U104" s="122" t="s">
        <v>527</v>
      </c>
      <c r="V104" s="130">
        <v>45464</v>
      </c>
      <c r="W104" s="131">
        <v>45509</v>
      </c>
      <c r="X104" s="123">
        <v>45585</v>
      </c>
      <c r="Y104" s="124">
        <v>45742</v>
      </c>
      <c r="Z104" s="103" t="s">
        <v>1659</v>
      </c>
      <c r="AA104" s="111" t="s">
        <v>1660</v>
      </c>
      <c r="AB104" s="116" t="s">
        <v>1661</v>
      </c>
      <c r="AC104" s="117" t="s">
        <v>1662</v>
      </c>
      <c r="AD104" s="114" t="s">
        <v>1663</v>
      </c>
      <c r="AE104" s="47" t="s">
        <v>1664</v>
      </c>
      <c r="AF104" s="8" t="s">
        <v>268</v>
      </c>
      <c r="AG104" s="28" t="s">
        <v>267</v>
      </c>
      <c r="AH104" s="28" t="s">
        <v>267</v>
      </c>
      <c r="AI104" s="9" t="s">
        <v>159</v>
      </c>
      <c r="AJ104" s="10">
        <v>45546</v>
      </c>
      <c r="AK104" s="9">
        <v>602240268</v>
      </c>
      <c r="AL104" s="10">
        <v>45575</v>
      </c>
      <c r="AM104" s="16" t="s">
        <v>267</v>
      </c>
      <c r="AN104" s="29" t="s">
        <v>146</v>
      </c>
      <c r="AO104" s="28"/>
      <c r="AP104" s="37">
        <v>23655941.254999999</v>
      </c>
      <c r="AQ104" s="38">
        <v>45585</v>
      </c>
      <c r="AR104" s="38">
        <v>45671</v>
      </c>
      <c r="AS104" s="9">
        <v>601250001</v>
      </c>
      <c r="AT104" s="9" t="s">
        <v>552</v>
      </c>
      <c r="AU104" s="38">
        <v>45742</v>
      </c>
      <c r="AV104" s="9"/>
    </row>
    <row r="105" spans="1:48" s="11" customFormat="1" ht="54.75" hidden="1" customHeight="1">
      <c r="A105" s="56" t="s">
        <v>256</v>
      </c>
      <c r="B105" s="57" t="s">
        <v>257</v>
      </c>
      <c r="C105" s="53" t="s">
        <v>68</v>
      </c>
      <c r="D105" s="53" t="s">
        <v>150</v>
      </c>
      <c r="E105" s="53" t="s">
        <v>81</v>
      </c>
      <c r="F105" s="53" t="s">
        <v>81</v>
      </c>
      <c r="G105" s="53" t="s">
        <v>86</v>
      </c>
      <c r="H105" s="54">
        <v>40250000</v>
      </c>
      <c r="I105" s="54" t="s">
        <v>258</v>
      </c>
      <c r="J105" s="55">
        <v>118754739</v>
      </c>
      <c r="K105" s="43" t="s">
        <v>72</v>
      </c>
      <c r="L105" s="69" t="s">
        <v>157</v>
      </c>
      <c r="M105" s="45" t="s">
        <v>142</v>
      </c>
      <c r="N105" s="75" t="s">
        <v>87</v>
      </c>
      <c r="O105" s="77" t="s">
        <v>7</v>
      </c>
      <c r="P105" s="129">
        <v>45109</v>
      </c>
      <c r="Q105" s="122">
        <v>45139</v>
      </c>
      <c r="R105" s="130">
        <v>45139</v>
      </c>
      <c r="S105" s="131">
        <v>45169</v>
      </c>
      <c r="T105" s="129">
        <v>45169</v>
      </c>
      <c r="U105" s="122">
        <v>45312</v>
      </c>
      <c r="V105" s="130">
        <v>45386</v>
      </c>
      <c r="W105" s="131">
        <v>45540</v>
      </c>
      <c r="X105" s="123">
        <v>45560</v>
      </c>
      <c r="Y105" s="125"/>
      <c r="Z105" s="104"/>
      <c r="AA105" s="111"/>
      <c r="AB105" s="116"/>
      <c r="AC105" s="117"/>
      <c r="AD105" s="114"/>
      <c r="AE105" s="47"/>
      <c r="AF105" s="8" t="s">
        <v>7</v>
      </c>
      <c r="AG105" s="30" t="s">
        <v>157</v>
      </c>
      <c r="AH105" s="28" t="s">
        <v>158</v>
      </c>
      <c r="AI105" s="9" t="s">
        <v>159</v>
      </c>
      <c r="AJ105" s="10">
        <v>45525</v>
      </c>
      <c r="AK105" s="9" t="s">
        <v>160</v>
      </c>
      <c r="AL105" s="10">
        <v>45545</v>
      </c>
      <c r="AM105" s="16" t="s">
        <v>259</v>
      </c>
      <c r="AN105" s="29" t="s">
        <v>146</v>
      </c>
      <c r="AO105" s="28" t="s">
        <v>157</v>
      </c>
      <c r="AP105" s="37">
        <v>97990073.999999985</v>
      </c>
      <c r="AQ105" s="38">
        <v>45560</v>
      </c>
      <c r="AR105" s="38"/>
      <c r="AS105" s="9"/>
      <c r="AT105" s="9" t="s">
        <v>171</v>
      </c>
      <c r="AU105" s="38"/>
      <c r="AV105" s="9"/>
    </row>
    <row r="106" spans="1:48" s="11" customFormat="1" ht="54.75" hidden="1" customHeight="1">
      <c r="A106" s="53" t="s">
        <v>260</v>
      </c>
      <c r="B106" s="57" t="s">
        <v>261</v>
      </c>
      <c r="C106" s="53" t="s">
        <v>68</v>
      </c>
      <c r="D106" s="53" t="s">
        <v>150</v>
      </c>
      <c r="E106" s="53" t="s">
        <v>81</v>
      </c>
      <c r="F106" s="53" t="s">
        <v>81</v>
      </c>
      <c r="G106" s="53" t="s">
        <v>94</v>
      </c>
      <c r="H106" s="54">
        <v>111549999.99999999</v>
      </c>
      <c r="I106" s="54" t="s">
        <v>151</v>
      </c>
      <c r="J106" s="55">
        <v>235546911.15000001</v>
      </c>
      <c r="K106" s="43" t="s">
        <v>72</v>
      </c>
      <c r="L106" s="69" t="s">
        <v>199</v>
      </c>
      <c r="M106" s="45" t="s">
        <v>142</v>
      </c>
      <c r="N106" s="75" t="s">
        <v>87</v>
      </c>
      <c r="O106" s="77" t="s">
        <v>7</v>
      </c>
      <c r="P106" s="129">
        <v>45109</v>
      </c>
      <c r="Q106" s="122">
        <v>45139</v>
      </c>
      <c r="R106" s="130">
        <v>45139</v>
      </c>
      <c r="S106" s="131">
        <v>45169</v>
      </c>
      <c r="T106" s="129">
        <v>45169</v>
      </c>
      <c r="U106" s="122">
        <v>45312</v>
      </c>
      <c r="V106" s="130">
        <v>45386</v>
      </c>
      <c r="W106" s="131">
        <v>45539</v>
      </c>
      <c r="X106" s="123">
        <v>45561</v>
      </c>
      <c r="Y106" s="125"/>
      <c r="Z106" s="104"/>
      <c r="AA106" s="111"/>
      <c r="AB106" s="116"/>
      <c r="AC106" s="117"/>
      <c r="AD106" s="114"/>
      <c r="AE106" s="47"/>
      <c r="AF106" s="8" t="s">
        <v>7</v>
      </c>
      <c r="AG106" s="30" t="s">
        <v>199</v>
      </c>
      <c r="AH106" s="28" t="s">
        <v>158</v>
      </c>
      <c r="AI106" s="9" t="s">
        <v>262</v>
      </c>
      <c r="AJ106" s="10">
        <v>45799</v>
      </c>
      <c r="AK106" s="9" t="s">
        <v>160</v>
      </c>
      <c r="AL106" s="10">
        <v>45799</v>
      </c>
      <c r="AM106" s="16" t="s">
        <v>263</v>
      </c>
      <c r="AN106" s="29" t="s">
        <v>146</v>
      </c>
      <c r="AO106" s="28" t="s">
        <v>264</v>
      </c>
      <c r="AP106" s="37">
        <v>0</v>
      </c>
      <c r="AQ106" s="38">
        <v>45561</v>
      </c>
      <c r="AR106" s="38"/>
      <c r="AS106" s="9"/>
      <c r="AT106" s="9"/>
      <c r="AU106" s="38"/>
      <c r="AV106" s="9" t="s">
        <v>178</v>
      </c>
    </row>
    <row r="107" spans="1:48" s="11" customFormat="1" ht="54.75" customHeight="1">
      <c r="A107" s="53" t="s">
        <v>1665</v>
      </c>
      <c r="B107" s="57" t="s">
        <v>384</v>
      </c>
      <c r="C107" s="53" t="s">
        <v>68</v>
      </c>
      <c r="D107" s="53" t="s">
        <v>165</v>
      </c>
      <c r="E107" s="53" t="s">
        <v>81</v>
      </c>
      <c r="F107" s="53" t="s">
        <v>81</v>
      </c>
      <c r="G107" s="53" t="s">
        <v>86</v>
      </c>
      <c r="H107" s="54">
        <v>33999999.549999997</v>
      </c>
      <c r="I107" s="54" t="e">
        <v>#N/A</v>
      </c>
      <c r="J107" s="55">
        <v>26590012.5</v>
      </c>
      <c r="K107" s="43" t="s">
        <v>72</v>
      </c>
      <c r="L107" s="55" t="s">
        <v>267</v>
      </c>
      <c r="M107" s="45" t="s">
        <v>142</v>
      </c>
      <c r="N107" s="45"/>
      <c r="O107" s="77" t="s">
        <v>268</v>
      </c>
      <c r="P107" s="129">
        <v>45302</v>
      </c>
      <c r="Q107" s="122">
        <v>45332</v>
      </c>
      <c r="R107" s="130">
        <v>45332</v>
      </c>
      <c r="S107" s="131">
        <v>45347</v>
      </c>
      <c r="T107" s="129" t="s">
        <v>527</v>
      </c>
      <c r="U107" s="122" t="s">
        <v>527</v>
      </c>
      <c r="V107" s="130">
        <v>45491</v>
      </c>
      <c r="W107" s="131">
        <v>45536</v>
      </c>
      <c r="X107" s="123">
        <v>45533</v>
      </c>
      <c r="Y107" s="124">
        <v>45629</v>
      </c>
      <c r="Z107" s="103" t="s">
        <v>1666</v>
      </c>
      <c r="AA107" s="111" t="s">
        <v>1667</v>
      </c>
      <c r="AB107" s="116" t="s">
        <v>1668</v>
      </c>
      <c r="AC107" s="117" t="s">
        <v>1669</v>
      </c>
      <c r="AD107" s="114" t="s">
        <v>1670</v>
      </c>
      <c r="AE107" s="47" t="s">
        <v>1671</v>
      </c>
      <c r="AF107" s="8" t="s">
        <v>268</v>
      </c>
      <c r="AG107" s="28" t="s">
        <v>267</v>
      </c>
      <c r="AH107" s="28" t="s">
        <v>267</v>
      </c>
      <c r="AI107" s="9" t="s">
        <v>159</v>
      </c>
      <c r="AJ107" s="10">
        <v>45529</v>
      </c>
      <c r="AK107" s="9">
        <v>902240499</v>
      </c>
      <c r="AL107" s="10">
        <v>45530</v>
      </c>
      <c r="AM107" s="16" t="s">
        <v>267</v>
      </c>
      <c r="AN107" s="29" t="s">
        <v>146</v>
      </c>
      <c r="AO107" s="28"/>
      <c r="AP107" s="37">
        <v>26590012.499999996</v>
      </c>
      <c r="AQ107" s="38">
        <v>45533</v>
      </c>
      <c r="AR107" s="38">
        <v>45595</v>
      </c>
      <c r="AS107" s="9">
        <v>901240282</v>
      </c>
      <c r="AT107" s="9" t="s">
        <v>385</v>
      </c>
      <c r="AU107" s="38">
        <v>45629</v>
      </c>
      <c r="AV107" s="9"/>
    </row>
    <row r="108" spans="1:48" s="11" customFormat="1" ht="54.75" hidden="1" customHeight="1">
      <c r="A108" s="53" t="s">
        <v>435</v>
      </c>
      <c r="B108" s="57" t="s">
        <v>436</v>
      </c>
      <c r="C108" s="53" t="s">
        <v>68</v>
      </c>
      <c r="D108" s="53" t="s">
        <v>165</v>
      </c>
      <c r="E108" s="53" t="s">
        <v>395</v>
      </c>
      <c r="F108" s="53" t="s">
        <v>395</v>
      </c>
      <c r="G108" s="53" t="s">
        <v>94</v>
      </c>
      <c r="H108" s="54">
        <v>16099999.999999998</v>
      </c>
      <c r="I108" s="54" t="e">
        <v>#N/A</v>
      </c>
      <c r="J108" s="55">
        <v>16099999.999999998</v>
      </c>
      <c r="K108" s="43" t="s">
        <v>72</v>
      </c>
      <c r="L108" s="55" t="s">
        <v>152</v>
      </c>
      <c r="M108" s="45" t="s">
        <v>142</v>
      </c>
      <c r="N108" s="76" t="s">
        <v>75</v>
      </c>
      <c r="O108" s="77" t="s">
        <v>6</v>
      </c>
      <c r="P108" s="129">
        <v>45749</v>
      </c>
      <c r="Q108" s="122">
        <v>45779</v>
      </c>
      <c r="R108" s="130">
        <v>45779</v>
      </c>
      <c r="S108" s="131">
        <v>45809</v>
      </c>
      <c r="T108" s="129">
        <v>45809</v>
      </c>
      <c r="U108" s="122">
        <v>45869</v>
      </c>
      <c r="V108" s="130">
        <v>45871</v>
      </c>
      <c r="W108" s="134">
        <v>46006</v>
      </c>
      <c r="X108" s="126"/>
      <c r="Y108" s="125"/>
      <c r="Z108" s="104"/>
      <c r="AA108" s="111"/>
      <c r="AB108" s="116"/>
      <c r="AC108" s="117"/>
      <c r="AD108" s="114"/>
      <c r="AE108" s="47"/>
      <c r="AF108" s="8" t="s">
        <v>6</v>
      </c>
      <c r="AG108" s="28" t="s">
        <v>152</v>
      </c>
      <c r="AH108" s="31" t="s">
        <v>144</v>
      </c>
      <c r="AI108" s="9" t="s">
        <v>76</v>
      </c>
      <c r="AJ108" s="10"/>
      <c r="AK108" s="9">
        <v>0</v>
      </c>
      <c r="AL108" s="10"/>
      <c r="AM108" s="16" t="s">
        <v>437</v>
      </c>
      <c r="AN108" s="29" t="s">
        <v>146</v>
      </c>
      <c r="AO108" s="28" t="s">
        <v>147</v>
      </c>
      <c r="AP108" s="37">
        <v>0</v>
      </c>
      <c r="AQ108" s="38"/>
      <c r="AR108" s="38"/>
      <c r="AS108" s="9"/>
      <c r="AT108" s="9"/>
      <c r="AU108" s="38"/>
      <c r="AV108" s="9" t="s">
        <v>438</v>
      </c>
    </row>
    <row r="109" spans="1:48" s="11" customFormat="1" ht="54.75" hidden="1" customHeight="1">
      <c r="A109" s="53" t="s">
        <v>439</v>
      </c>
      <c r="B109" s="57" t="s">
        <v>440</v>
      </c>
      <c r="C109" s="53" t="s">
        <v>68</v>
      </c>
      <c r="D109" s="53" t="s">
        <v>165</v>
      </c>
      <c r="E109" s="53" t="s">
        <v>395</v>
      </c>
      <c r="F109" s="53" t="s">
        <v>395</v>
      </c>
      <c r="G109" s="53" t="s">
        <v>86</v>
      </c>
      <c r="H109" s="54">
        <v>9200000</v>
      </c>
      <c r="I109" s="54" t="e">
        <v>#N/A</v>
      </c>
      <c r="J109" s="55">
        <v>9200000</v>
      </c>
      <c r="K109" s="43" t="s">
        <v>72</v>
      </c>
      <c r="L109" s="55" t="s">
        <v>152</v>
      </c>
      <c r="M109" s="45" t="s">
        <v>142</v>
      </c>
      <c r="N109" s="76" t="s">
        <v>441</v>
      </c>
      <c r="O109" s="77" t="s">
        <v>6</v>
      </c>
      <c r="P109" s="129">
        <v>45633</v>
      </c>
      <c r="Q109" s="122">
        <v>45663</v>
      </c>
      <c r="R109" s="130">
        <v>45663</v>
      </c>
      <c r="S109" s="131">
        <v>45693</v>
      </c>
      <c r="T109" s="129">
        <v>45809</v>
      </c>
      <c r="U109" s="122">
        <v>45869</v>
      </c>
      <c r="V109" s="130">
        <v>45871</v>
      </c>
      <c r="W109" s="134">
        <v>46006</v>
      </c>
      <c r="X109" s="126"/>
      <c r="Y109" s="125"/>
      <c r="Z109" s="104"/>
      <c r="AA109" s="111"/>
      <c r="AB109" s="116"/>
      <c r="AC109" s="117"/>
      <c r="AD109" s="114"/>
      <c r="AE109" s="47"/>
      <c r="AF109" s="8" t="s">
        <v>6</v>
      </c>
      <c r="AG109" s="28" t="s">
        <v>152</v>
      </c>
      <c r="AH109" s="31" t="s">
        <v>144</v>
      </c>
      <c r="AI109" s="9" t="s">
        <v>76</v>
      </c>
      <c r="AJ109" s="10"/>
      <c r="AK109" s="9">
        <v>0</v>
      </c>
      <c r="AL109" s="10"/>
      <c r="AM109" s="16" t="s">
        <v>442</v>
      </c>
      <c r="AN109" s="29" t="s">
        <v>146</v>
      </c>
      <c r="AO109" s="28" t="s">
        <v>147</v>
      </c>
      <c r="AP109" s="37">
        <v>0</v>
      </c>
      <c r="AQ109" s="38"/>
      <c r="AR109" s="38"/>
      <c r="AS109" s="9"/>
      <c r="AT109" s="9"/>
      <c r="AU109" s="38"/>
      <c r="AV109" s="9" t="s">
        <v>438</v>
      </c>
    </row>
    <row r="110" spans="1:48" s="11" customFormat="1" ht="54.75" hidden="1" customHeight="1">
      <c r="A110" s="53" t="s">
        <v>443</v>
      </c>
      <c r="B110" s="57" t="s">
        <v>444</v>
      </c>
      <c r="C110" s="53" t="s">
        <v>68</v>
      </c>
      <c r="D110" s="53" t="s">
        <v>165</v>
      </c>
      <c r="E110" s="53" t="s">
        <v>395</v>
      </c>
      <c r="F110" s="53" t="s">
        <v>395</v>
      </c>
      <c r="G110" s="53" t="s">
        <v>94</v>
      </c>
      <c r="H110" s="54">
        <v>18975000</v>
      </c>
      <c r="I110" s="54" t="e">
        <v>#N/A</v>
      </c>
      <c r="J110" s="55">
        <v>18975000</v>
      </c>
      <c r="K110" s="43" t="s">
        <v>72</v>
      </c>
      <c r="L110" s="55" t="s">
        <v>152</v>
      </c>
      <c r="M110" s="45" t="s">
        <v>142</v>
      </c>
      <c r="N110" s="76" t="s">
        <v>111</v>
      </c>
      <c r="O110" s="77" t="s">
        <v>6</v>
      </c>
      <c r="P110" s="129">
        <v>45640</v>
      </c>
      <c r="Q110" s="122">
        <v>45670</v>
      </c>
      <c r="R110" s="130">
        <v>45670</v>
      </c>
      <c r="S110" s="131">
        <v>45700</v>
      </c>
      <c r="T110" s="129">
        <v>45809</v>
      </c>
      <c r="U110" s="122">
        <v>45869</v>
      </c>
      <c r="V110" s="130">
        <v>45871</v>
      </c>
      <c r="W110" s="134">
        <v>46006</v>
      </c>
      <c r="X110" s="126"/>
      <c r="Y110" s="125"/>
      <c r="Z110" s="104"/>
      <c r="AA110" s="111"/>
      <c r="AB110" s="116"/>
      <c r="AC110" s="117"/>
      <c r="AD110" s="114"/>
      <c r="AE110" s="47"/>
      <c r="AF110" s="8" t="s">
        <v>6</v>
      </c>
      <c r="AG110" s="28" t="s">
        <v>152</v>
      </c>
      <c r="AH110" s="31" t="s">
        <v>144</v>
      </c>
      <c r="AI110" s="9" t="s">
        <v>76</v>
      </c>
      <c r="AJ110" s="10"/>
      <c r="AK110" s="9">
        <v>0</v>
      </c>
      <c r="AL110" s="10"/>
      <c r="AM110" s="16" t="s">
        <v>445</v>
      </c>
      <c r="AN110" s="29" t="s">
        <v>146</v>
      </c>
      <c r="AO110" s="28" t="s">
        <v>147</v>
      </c>
      <c r="AP110" s="37">
        <v>0</v>
      </c>
      <c r="AQ110" s="38"/>
      <c r="AR110" s="38"/>
      <c r="AS110" s="9"/>
      <c r="AT110" s="9"/>
      <c r="AU110" s="38"/>
      <c r="AV110" s="9" t="s">
        <v>438</v>
      </c>
    </row>
    <row r="111" spans="1:48" s="11" customFormat="1" ht="54.75" hidden="1" customHeight="1">
      <c r="A111" s="53" t="s">
        <v>499</v>
      </c>
      <c r="B111" s="57" t="s">
        <v>500</v>
      </c>
      <c r="C111" s="53" t="s">
        <v>68</v>
      </c>
      <c r="D111" s="53" t="s">
        <v>165</v>
      </c>
      <c r="E111" s="53" t="s">
        <v>395</v>
      </c>
      <c r="F111" s="53" t="s">
        <v>488</v>
      </c>
      <c r="G111" s="53" t="s">
        <v>94</v>
      </c>
      <c r="H111" s="59">
        <v>40233007.549999997</v>
      </c>
      <c r="I111" s="59" t="e">
        <v>#N/A</v>
      </c>
      <c r="J111" s="55">
        <v>40233007.549999997</v>
      </c>
      <c r="K111" s="43" t="s">
        <v>387</v>
      </c>
      <c r="L111" s="70" t="s">
        <v>501</v>
      </c>
      <c r="M111" s="45" t="s">
        <v>142</v>
      </c>
      <c r="N111" s="75" t="s">
        <v>75</v>
      </c>
      <c r="O111" s="77" t="s">
        <v>7</v>
      </c>
      <c r="P111" s="129">
        <v>45125</v>
      </c>
      <c r="Q111" s="122">
        <v>45155</v>
      </c>
      <c r="R111" s="130">
        <v>45155</v>
      </c>
      <c r="S111" s="131">
        <v>45185</v>
      </c>
      <c r="T111" s="129" t="s">
        <v>527</v>
      </c>
      <c r="U111" s="122" t="s">
        <v>527</v>
      </c>
      <c r="V111" s="130">
        <v>45215</v>
      </c>
      <c r="W111" s="133">
        <v>45260</v>
      </c>
      <c r="X111" s="123">
        <v>45963</v>
      </c>
      <c r="Y111" s="125"/>
      <c r="Z111" s="104"/>
      <c r="AA111" s="111"/>
      <c r="AB111" s="116"/>
      <c r="AC111" s="117"/>
      <c r="AD111" s="114"/>
      <c r="AE111" s="47"/>
      <c r="AF111" s="8" t="s">
        <v>7</v>
      </c>
      <c r="AG111" s="28" t="s">
        <v>501</v>
      </c>
      <c r="AH111" s="28" t="s">
        <v>501</v>
      </c>
      <c r="AI111" s="9" t="s">
        <v>159</v>
      </c>
      <c r="AJ111" s="10">
        <v>45419</v>
      </c>
      <c r="AK111" s="9">
        <v>602240177</v>
      </c>
      <c r="AL111" s="10">
        <v>45419</v>
      </c>
      <c r="AM111" s="16" t="s">
        <v>502</v>
      </c>
      <c r="AN111" s="29" t="s">
        <v>146</v>
      </c>
      <c r="AO111" s="28" t="s">
        <v>267</v>
      </c>
      <c r="AP111" s="37">
        <v>40233007.553999998</v>
      </c>
      <c r="AQ111" s="38">
        <v>45280</v>
      </c>
      <c r="AR111" s="38">
        <v>45428</v>
      </c>
      <c r="AS111" s="9">
        <v>601240095</v>
      </c>
      <c r="AT111" s="9" t="s">
        <v>334</v>
      </c>
      <c r="AU111" s="38">
        <v>45454</v>
      </c>
      <c r="AV111" s="9"/>
    </row>
    <row r="112" spans="1:48" s="11" customFormat="1" ht="54.75" customHeight="1">
      <c r="A112" s="53" t="s">
        <v>1672</v>
      </c>
      <c r="B112" s="57" t="s">
        <v>386</v>
      </c>
      <c r="C112" s="53" t="s">
        <v>68</v>
      </c>
      <c r="D112" s="53" t="s">
        <v>165</v>
      </c>
      <c r="E112" s="53" t="s">
        <v>81</v>
      </c>
      <c r="F112" s="53" t="s">
        <v>90</v>
      </c>
      <c r="G112" s="53" t="s">
        <v>94</v>
      </c>
      <c r="H112" s="59">
        <v>48379713.399999999</v>
      </c>
      <c r="I112" s="59" t="e">
        <v>#N/A</v>
      </c>
      <c r="J112" s="55">
        <v>48379713.399999999</v>
      </c>
      <c r="K112" s="43" t="s">
        <v>387</v>
      </c>
      <c r="L112" s="55" t="s">
        <v>267</v>
      </c>
      <c r="M112" s="45" t="s">
        <v>142</v>
      </c>
      <c r="N112" s="45"/>
      <c r="O112" s="77" t="s">
        <v>268</v>
      </c>
      <c r="P112" s="129">
        <v>44633</v>
      </c>
      <c r="Q112" s="122">
        <v>44663</v>
      </c>
      <c r="R112" s="130">
        <v>44663</v>
      </c>
      <c r="S112" s="131">
        <v>44693</v>
      </c>
      <c r="T112" s="129" t="s">
        <v>527</v>
      </c>
      <c r="U112" s="122" t="s">
        <v>527</v>
      </c>
      <c r="V112" s="130">
        <v>44723</v>
      </c>
      <c r="W112" s="131">
        <v>44768</v>
      </c>
      <c r="X112" s="123">
        <v>44874</v>
      </c>
      <c r="Y112" s="124">
        <v>45211</v>
      </c>
      <c r="Z112" s="103" t="s">
        <v>1673</v>
      </c>
      <c r="AA112" s="111" t="s">
        <v>1674</v>
      </c>
      <c r="AB112" s="116" t="s">
        <v>1675</v>
      </c>
      <c r="AC112" s="117" t="s">
        <v>1676</v>
      </c>
      <c r="AD112" s="114" t="s">
        <v>1677</v>
      </c>
      <c r="AE112" s="47" t="s">
        <v>1678</v>
      </c>
      <c r="AF112" s="8" t="s">
        <v>268</v>
      </c>
      <c r="AG112" s="28" t="s">
        <v>267</v>
      </c>
      <c r="AH112" s="28" t="s">
        <v>267</v>
      </c>
      <c r="AI112" s="9" t="s">
        <v>159</v>
      </c>
      <c r="AJ112" s="10"/>
      <c r="AK112" s="9">
        <v>0</v>
      </c>
      <c r="AL112" s="10"/>
      <c r="AM112" s="16" t="s">
        <v>267</v>
      </c>
      <c r="AN112" s="29" t="s">
        <v>146</v>
      </c>
      <c r="AO112" s="28"/>
      <c r="AP112" s="37">
        <v>48379713.399999999</v>
      </c>
      <c r="AQ112" s="38">
        <v>44874</v>
      </c>
      <c r="AR112" s="38">
        <v>45183</v>
      </c>
      <c r="AS112" s="9">
        <v>901230191</v>
      </c>
      <c r="AT112" s="9" t="s">
        <v>388</v>
      </c>
      <c r="AU112" s="38">
        <v>45211</v>
      </c>
      <c r="AV112" s="9"/>
    </row>
    <row r="113" spans="1:48" s="11" customFormat="1" ht="54.75" customHeight="1">
      <c r="A113" s="53" t="s">
        <v>1679</v>
      </c>
      <c r="B113" s="57" t="s">
        <v>389</v>
      </c>
      <c r="C113" s="53" t="s">
        <v>68</v>
      </c>
      <c r="D113" s="53" t="s">
        <v>165</v>
      </c>
      <c r="E113" s="53" t="s">
        <v>81</v>
      </c>
      <c r="F113" s="53" t="s">
        <v>90</v>
      </c>
      <c r="G113" s="53" t="s">
        <v>94</v>
      </c>
      <c r="H113" s="59">
        <v>22679520.299999997</v>
      </c>
      <c r="I113" s="59" t="e">
        <v>#N/A</v>
      </c>
      <c r="J113" s="55">
        <v>22679520.299999997</v>
      </c>
      <c r="K113" s="43" t="s">
        <v>387</v>
      </c>
      <c r="L113" s="55" t="s">
        <v>267</v>
      </c>
      <c r="M113" s="45" t="s">
        <v>142</v>
      </c>
      <c r="N113" s="45"/>
      <c r="O113" s="77" t="s">
        <v>268</v>
      </c>
      <c r="P113" s="129">
        <v>45125</v>
      </c>
      <c r="Q113" s="122">
        <v>45155</v>
      </c>
      <c r="R113" s="130">
        <v>45155</v>
      </c>
      <c r="S113" s="131">
        <v>45185</v>
      </c>
      <c r="T113" s="129" t="s">
        <v>527</v>
      </c>
      <c r="U113" s="122" t="s">
        <v>527</v>
      </c>
      <c r="V113" s="130">
        <v>45215</v>
      </c>
      <c r="W113" s="133">
        <v>45260</v>
      </c>
      <c r="X113" s="123">
        <v>45271</v>
      </c>
      <c r="Y113" s="124">
        <v>45454</v>
      </c>
      <c r="Z113" s="103" t="s">
        <v>1680</v>
      </c>
      <c r="AA113" s="111" t="s">
        <v>1681</v>
      </c>
      <c r="AB113" s="116" t="s">
        <v>1682</v>
      </c>
      <c r="AC113" s="117" t="s">
        <v>1683</v>
      </c>
      <c r="AD113" s="114" t="s">
        <v>1684</v>
      </c>
      <c r="AE113" s="47" t="s">
        <v>1685</v>
      </c>
      <c r="AF113" s="8" t="s">
        <v>268</v>
      </c>
      <c r="AG113" s="28" t="s">
        <v>267</v>
      </c>
      <c r="AH113" s="28" t="s">
        <v>267</v>
      </c>
      <c r="AI113" s="9" t="s">
        <v>159</v>
      </c>
      <c r="AJ113" s="10">
        <v>45263</v>
      </c>
      <c r="AK113" s="9">
        <v>902230550</v>
      </c>
      <c r="AL113" s="10">
        <v>45265</v>
      </c>
      <c r="AM113" s="16" t="s">
        <v>267</v>
      </c>
      <c r="AN113" s="29" t="s">
        <v>146</v>
      </c>
      <c r="AO113" s="28"/>
      <c r="AP113" s="37">
        <v>22679520.299999997</v>
      </c>
      <c r="AQ113" s="38">
        <v>45271</v>
      </c>
      <c r="AR113" s="38">
        <v>45398</v>
      </c>
      <c r="AS113" s="9">
        <v>901240091</v>
      </c>
      <c r="AT113" s="9" t="s">
        <v>390</v>
      </c>
      <c r="AU113" s="38">
        <v>45454</v>
      </c>
      <c r="AV113" s="9"/>
    </row>
    <row r="114" spans="1:48" s="11" customFormat="1" ht="54.75" customHeight="1">
      <c r="A114" s="56" t="s">
        <v>1686</v>
      </c>
      <c r="B114" s="57" t="s">
        <v>391</v>
      </c>
      <c r="C114" s="53" t="s">
        <v>68</v>
      </c>
      <c r="D114" s="53" t="s">
        <v>165</v>
      </c>
      <c r="E114" s="53" t="s">
        <v>81</v>
      </c>
      <c r="F114" s="53" t="s">
        <v>90</v>
      </c>
      <c r="G114" s="53" t="s">
        <v>86</v>
      </c>
      <c r="H114" s="59">
        <v>26810392.75</v>
      </c>
      <c r="I114" s="59" t="e">
        <v>#N/A</v>
      </c>
      <c r="J114" s="55">
        <v>26810392.75</v>
      </c>
      <c r="K114" s="43" t="s">
        <v>387</v>
      </c>
      <c r="L114" s="55" t="s">
        <v>267</v>
      </c>
      <c r="M114" s="45" t="s">
        <v>142</v>
      </c>
      <c r="N114" s="45"/>
      <c r="O114" s="77" t="s">
        <v>268</v>
      </c>
      <c r="P114" s="129">
        <v>44633</v>
      </c>
      <c r="Q114" s="122">
        <v>44663</v>
      </c>
      <c r="R114" s="130">
        <v>44663</v>
      </c>
      <c r="S114" s="131">
        <v>44693</v>
      </c>
      <c r="T114" s="129" t="s">
        <v>527</v>
      </c>
      <c r="U114" s="122" t="s">
        <v>527</v>
      </c>
      <c r="V114" s="130">
        <v>44723</v>
      </c>
      <c r="W114" s="131">
        <v>44768</v>
      </c>
      <c r="X114" s="123">
        <v>44660</v>
      </c>
      <c r="Y114" s="124">
        <v>45298</v>
      </c>
      <c r="Z114" s="103" t="s">
        <v>1687</v>
      </c>
      <c r="AA114" s="111" t="s">
        <v>1688</v>
      </c>
      <c r="AB114" s="116" t="s">
        <v>1689</v>
      </c>
      <c r="AC114" s="117" t="s">
        <v>1530</v>
      </c>
      <c r="AD114" s="114" t="s">
        <v>1690</v>
      </c>
      <c r="AE114" s="47" t="s">
        <v>1691</v>
      </c>
      <c r="AF114" s="8" t="s">
        <v>268</v>
      </c>
      <c r="AG114" s="28" t="s">
        <v>267</v>
      </c>
      <c r="AH114" s="28" t="s">
        <v>267</v>
      </c>
      <c r="AI114" s="9" t="s">
        <v>159</v>
      </c>
      <c r="AJ114" s="10"/>
      <c r="AK114" s="9">
        <v>0</v>
      </c>
      <c r="AL114" s="10"/>
      <c r="AM114" s="16" t="s">
        <v>267</v>
      </c>
      <c r="AN114" s="29" t="s">
        <v>146</v>
      </c>
      <c r="AO114" s="28"/>
      <c r="AP114" s="37">
        <v>26810392.749999996</v>
      </c>
      <c r="AQ114" s="38">
        <v>44660</v>
      </c>
      <c r="AR114" s="38">
        <v>45252</v>
      </c>
      <c r="AS114" s="9">
        <v>901230253</v>
      </c>
      <c r="AT114" s="9" t="s">
        <v>392</v>
      </c>
      <c r="AU114" s="38">
        <v>45298</v>
      </c>
      <c r="AV114" s="9"/>
    </row>
    <row r="115" spans="1:48" s="11" customFormat="1" ht="54.75" hidden="1" customHeight="1">
      <c r="A115" s="53" t="s">
        <v>1692</v>
      </c>
      <c r="B115" s="57" t="s">
        <v>1693</v>
      </c>
      <c r="C115" s="53" t="s">
        <v>68</v>
      </c>
      <c r="D115" s="53" t="s">
        <v>165</v>
      </c>
      <c r="E115" s="53" t="s">
        <v>81</v>
      </c>
      <c r="F115" s="53" t="s">
        <v>81</v>
      </c>
      <c r="G115" s="53" t="s">
        <v>86</v>
      </c>
      <c r="H115" s="59">
        <v>28984668.850499999</v>
      </c>
      <c r="I115" s="59" t="e">
        <v>#N/A</v>
      </c>
      <c r="J115" s="55">
        <v>28984668.850499999</v>
      </c>
      <c r="K115" s="43" t="s">
        <v>1694</v>
      </c>
      <c r="L115" s="55" t="s">
        <v>1695</v>
      </c>
      <c r="M115" s="45" t="s">
        <v>142</v>
      </c>
      <c r="N115" s="75"/>
      <c r="O115" s="77" t="s">
        <v>1696</v>
      </c>
      <c r="P115" s="129">
        <v>44563</v>
      </c>
      <c r="Q115" s="122">
        <v>44593</v>
      </c>
      <c r="R115" s="130">
        <v>44593</v>
      </c>
      <c r="S115" s="131">
        <v>44623</v>
      </c>
      <c r="T115" s="129" t="s">
        <v>527</v>
      </c>
      <c r="U115" s="122" t="s">
        <v>527</v>
      </c>
      <c r="V115" s="130">
        <v>44653</v>
      </c>
      <c r="W115" s="131">
        <v>44698</v>
      </c>
      <c r="X115" s="123">
        <v>44773</v>
      </c>
      <c r="Y115" s="124">
        <v>44999</v>
      </c>
      <c r="Z115" s="104"/>
      <c r="AA115" s="111"/>
      <c r="AB115" s="116"/>
      <c r="AC115" s="117"/>
      <c r="AD115" s="114"/>
      <c r="AE115" s="47"/>
      <c r="AF115" s="8" t="s">
        <v>1696</v>
      </c>
      <c r="AG115" s="28" t="s">
        <v>1695</v>
      </c>
      <c r="AH115" s="28" t="s">
        <v>267</v>
      </c>
      <c r="AI115" s="9" t="s">
        <v>159</v>
      </c>
      <c r="AJ115" s="10"/>
      <c r="AK115" s="9">
        <v>0</v>
      </c>
      <c r="AL115" s="10"/>
      <c r="AM115" s="16" t="s">
        <v>1697</v>
      </c>
      <c r="AN115" s="29" t="s">
        <v>146</v>
      </c>
      <c r="AO115" s="28" t="s">
        <v>267</v>
      </c>
      <c r="AP115" s="37">
        <v>28984668.850499999</v>
      </c>
      <c r="AQ115" s="38">
        <v>44773</v>
      </c>
      <c r="AR115" s="38">
        <v>44970</v>
      </c>
      <c r="AS115" s="9">
        <v>901230018</v>
      </c>
      <c r="AT115" s="9" t="s">
        <v>308</v>
      </c>
      <c r="AU115" s="38">
        <v>44999</v>
      </c>
      <c r="AV115" s="9"/>
    </row>
    <row r="116" spans="1:48" s="11" customFormat="1" ht="54.75" hidden="1" customHeight="1">
      <c r="A116" s="53" t="s">
        <v>1698</v>
      </c>
      <c r="B116" s="57" t="s">
        <v>1699</v>
      </c>
      <c r="C116" s="53" t="s">
        <v>68</v>
      </c>
      <c r="D116" s="53" t="s">
        <v>165</v>
      </c>
      <c r="E116" s="53" t="s">
        <v>81</v>
      </c>
      <c r="F116" s="53" t="s">
        <v>81</v>
      </c>
      <c r="G116" s="53" t="s">
        <v>86</v>
      </c>
      <c r="H116" s="59">
        <v>12500000</v>
      </c>
      <c r="I116" s="59" t="e">
        <v>#N/A</v>
      </c>
      <c r="J116" s="55">
        <v>9655725.4499999993</v>
      </c>
      <c r="K116" s="43" t="s">
        <v>1694</v>
      </c>
      <c r="L116" s="55" t="s">
        <v>1700</v>
      </c>
      <c r="M116" s="45" t="s">
        <v>142</v>
      </c>
      <c r="N116" s="75"/>
      <c r="O116" s="77" t="s">
        <v>1696</v>
      </c>
      <c r="P116" s="129">
        <v>44545</v>
      </c>
      <c r="Q116" s="122">
        <v>44575</v>
      </c>
      <c r="R116" s="130">
        <v>44575</v>
      </c>
      <c r="S116" s="131">
        <v>44605</v>
      </c>
      <c r="T116" s="129" t="s">
        <v>527</v>
      </c>
      <c r="U116" s="122" t="s">
        <v>527</v>
      </c>
      <c r="V116" s="130">
        <v>44635</v>
      </c>
      <c r="W116" s="131">
        <v>44665</v>
      </c>
      <c r="X116" s="123">
        <v>44665</v>
      </c>
      <c r="Y116" s="124">
        <v>44923</v>
      </c>
      <c r="Z116" s="104"/>
      <c r="AA116" s="111"/>
      <c r="AB116" s="116"/>
      <c r="AC116" s="117"/>
      <c r="AD116" s="114"/>
      <c r="AE116" s="47"/>
      <c r="AF116" s="8" t="s">
        <v>1696</v>
      </c>
      <c r="AG116" s="28" t="s">
        <v>1700</v>
      </c>
      <c r="AH116" s="28" t="s">
        <v>267</v>
      </c>
      <c r="AI116" s="9" t="s">
        <v>159</v>
      </c>
      <c r="AJ116" s="10"/>
      <c r="AK116" s="9">
        <v>0</v>
      </c>
      <c r="AL116" s="10"/>
      <c r="AM116" s="16" t="s">
        <v>1697</v>
      </c>
      <c r="AN116" s="29" t="s">
        <v>146</v>
      </c>
      <c r="AO116" s="28" t="s">
        <v>267</v>
      </c>
      <c r="AP116" s="37">
        <v>9655725.4499999993</v>
      </c>
      <c r="AQ116" s="38">
        <v>44665</v>
      </c>
      <c r="AR116" s="38">
        <v>44851</v>
      </c>
      <c r="AS116" s="9">
        <v>901220388</v>
      </c>
      <c r="AT116" s="9" t="s">
        <v>308</v>
      </c>
      <c r="AU116" s="38">
        <v>44923</v>
      </c>
      <c r="AV116" s="9"/>
    </row>
    <row r="117" spans="1:48" s="11" customFormat="1" ht="54.75" hidden="1" customHeight="1">
      <c r="A117" s="56" t="s">
        <v>79</v>
      </c>
      <c r="B117" s="57" t="s">
        <v>80</v>
      </c>
      <c r="C117" s="53" t="s">
        <v>68</v>
      </c>
      <c r="D117" s="53" t="e">
        <v>#N/A</v>
      </c>
      <c r="E117" s="53" t="s">
        <v>81</v>
      </c>
      <c r="F117" s="53" t="s">
        <v>81</v>
      </c>
      <c r="G117" s="53" t="s">
        <v>71</v>
      </c>
      <c r="H117" s="54">
        <v>19550000</v>
      </c>
      <c r="I117" s="54" t="e">
        <v>#N/A</v>
      </c>
      <c r="J117" s="55">
        <v>19550000</v>
      </c>
      <c r="K117" s="45" t="s">
        <v>72</v>
      </c>
      <c r="L117" s="55" t="s">
        <v>73</v>
      </c>
      <c r="M117" s="68" t="s">
        <v>74</v>
      </c>
      <c r="N117" s="68"/>
      <c r="O117" s="79" t="s">
        <v>4</v>
      </c>
      <c r="P117" s="87" t="e">
        <v>#N/A</v>
      </c>
      <c r="Q117" s="88" t="e">
        <v>#N/A</v>
      </c>
      <c r="R117" s="83" t="e">
        <v>#N/A</v>
      </c>
      <c r="S117" s="91" t="e">
        <v>#N/A</v>
      </c>
      <c r="T117" s="96"/>
      <c r="U117" s="97"/>
      <c r="V117" s="83"/>
      <c r="W117" s="91"/>
      <c r="X117" s="110"/>
      <c r="Y117" s="109"/>
      <c r="Z117" s="105"/>
      <c r="AA117" s="112"/>
      <c r="AB117" s="118"/>
      <c r="AC117" s="119"/>
      <c r="AD117" s="83"/>
      <c r="AE117" s="48"/>
      <c r="AF117" s="8" t="s">
        <v>4</v>
      </c>
      <c r="AG117" s="28" t="s">
        <v>73</v>
      </c>
      <c r="AH117" s="23" t="s">
        <v>74</v>
      </c>
      <c r="AI117" s="9" t="s">
        <v>76</v>
      </c>
      <c r="AJ117" s="10"/>
      <c r="AK117" s="9">
        <v>0</v>
      </c>
      <c r="AL117" s="10"/>
      <c r="AM117" s="24" t="s">
        <v>82</v>
      </c>
      <c r="AN117" s="29" t="s">
        <v>78</v>
      </c>
      <c r="AO117" s="28"/>
      <c r="AP117" s="37"/>
      <c r="AQ117" s="38"/>
      <c r="AR117" s="38"/>
      <c r="AS117" s="9">
        <v>0</v>
      </c>
      <c r="AT117" s="9">
        <v>0</v>
      </c>
      <c r="AU117" s="38"/>
      <c r="AV117" s="9"/>
    </row>
    <row r="118" spans="1:48" s="11" customFormat="1" ht="54.75" hidden="1" customHeight="1">
      <c r="A118" s="56" t="s">
        <v>393</v>
      </c>
      <c r="B118" s="57" t="s">
        <v>394</v>
      </c>
      <c r="C118" s="53" t="s">
        <v>68</v>
      </c>
      <c r="D118" s="53" t="e">
        <v>#N/A</v>
      </c>
      <c r="E118" s="53" t="s">
        <v>395</v>
      </c>
      <c r="F118" s="53" t="s">
        <v>395</v>
      </c>
      <c r="G118" s="58" t="s">
        <v>71</v>
      </c>
      <c r="H118" s="54">
        <v>17250000</v>
      </c>
      <c r="I118" s="54" t="e">
        <v>#N/A</v>
      </c>
      <c r="J118" s="55">
        <v>17250000</v>
      </c>
      <c r="K118" s="45" t="s">
        <v>72</v>
      </c>
      <c r="L118" s="55" t="s">
        <v>73</v>
      </c>
      <c r="M118" s="68" t="s">
        <v>74</v>
      </c>
      <c r="N118" s="68"/>
      <c r="O118" s="79" t="s">
        <v>4</v>
      </c>
      <c r="P118" s="87" t="e">
        <v>#N/A</v>
      </c>
      <c r="Q118" s="88" t="e">
        <v>#N/A</v>
      </c>
      <c r="R118" s="83" t="e">
        <v>#N/A</v>
      </c>
      <c r="S118" s="91" t="e">
        <v>#N/A</v>
      </c>
      <c r="T118" s="96"/>
      <c r="U118" s="97"/>
      <c r="V118" s="83"/>
      <c r="W118" s="91"/>
      <c r="X118" s="110"/>
      <c r="Y118" s="109"/>
      <c r="Z118" s="105"/>
      <c r="AA118" s="112"/>
      <c r="AB118" s="118"/>
      <c r="AC118" s="119"/>
      <c r="AD118" s="83"/>
      <c r="AE118" s="48"/>
      <c r="AF118" s="8" t="s">
        <v>4</v>
      </c>
      <c r="AG118" s="28" t="s">
        <v>73</v>
      </c>
      <c r="AH118" s="23" t="s">
        <v>74</v>
      </c>
      <c r="AI118" s="9" t="s">
        <v>76</v>
      </c>
      <c r="AJ118" s="10"/>
      <c r="AK118" s="9">
        <v>0</v>
      </c>
      <c r="AL118" s="10"/>
      <c r="AM118" s="25" t="s">
        <v>82</v>
      </c>
      <c r="AN118" s="29" t="s">
        <v>78</v>
      </c>
      <c r="AO118" s="28"/>
      <c r="AP118" s="37"/>
      <c r="AQ118" s="38"/>
      <c r="AR118" s="38"/>
      <c r="AS118" s="9">
        <v>0</v>
      </c>
      <c r="AT118" s="9">
        <v>0</v>
      </c>
      <c r="AU118" s="38"/>
      <c r="AV118" s="9"/>
    </row>
    <row r="119" spans="1:48" s="11" customFormat="1" ht="54.75" hidden="1" customHeight="1">
      <c r="A119" s="56" t="s">
        <v>396</v>
      </c>
      <c r="B119" s="57" t="s">
        <v>397</v>
      </c>
      <c r="C119" s="53" t="s">
        <v>68</v>
      </c>
      <c r="D119" s="53" t="e">
        <v>#N/A</v>
      </c>
      <c r="E119" s="53" t="s">
        <v>395</v>
      </c>
      <c r="F119" s="53" t="s">
        <v>395</v>
      </c>
      <c r="G119" s="53" t="s">
        <v>86</v>
      </c>
      <c r="H119" s="54">
        <v>7300000.0199999996</v>
      </c>
      <c r="I119" s="54" t="e">
        <v>#N/A</v>
      </c>
      <c r="J119" s="55">
        <v>6346792.4999999991</v>
      </c>
      <c r="K119" s="45" t="s">
        <v>72</v>
      </c>
      <c r="L119" s="55" t="s">
        <v>73</v>
      </c>
      <c r="M119" s="68" t="s">
        <v>74</v>
      </c>
      <c r="N119" s="68"/>
      <c r="O119" s="79" t="s">
        <v>4</v>
      </c>
      <c r="P119" s="87" t="e">
        <v>#N/A</v>
      </c>
      <c r="Q119" s="88" t="e">
        <v>#N/A</v>
      </c>
      <c r="R119" s="83" t="e">
        <v>#N/A</v>
      </c>
      <c r="S119" s="91" t="e">
        <v>#N/A</v>
      </c>
      <c r="T119" s="96"/>
      <c r="U119" s="97"/>
      <c r="V119" s="83"/>
      <c r="W119" s="91"/>
      <c r="X119" s="110"/>
      <c r="Y119" s="109"/>
      <c r="Z119" s="105"/>
      <c r="AA119" s="112"/>
      <c r="AB119" s="118"/>
      <c r="AC119" s="119"/>
      <c r="AD119" s="83"/>
      <c r="AE119" s="48"/>
      <c r="AF119" s="8" t="s">
        <v>4</v>
      </c>
      <c r="AG119" s="28" t="s">
        <v>73</v>
      </c>
      <c r="AH119" s="23" t="s">
        <v>74</v>
      </c>
      <c r="AI119" s="9" t="s">
        <v>76</v>
      </c>
      <c r="AJ119" s="10"/>
      <c r="AK119" s="9">
        <v>0</v>
      </c>
      <c r="AL119" s="10"/>
      <c r="AM119" s="25" t="s">
        <v>82</v>
      </c>
      <c r="AN119" s="29" t="s">
        <v>78</v>
      </c>
      <c r="AO119" s="28"/>
      <c r="AP119" s="37"/>
      <c r="AQ119" s="38"/>
      <c r="AR119" s="38"/>
      <c r="AS119" s="9">
        <v>0</v>
      </c>
      <c r="AT119" s="9">
        <v>0</v>
      </c>
      <c r="AU119" s="38"/>
      <c r="AV119" s="9"/>
    </row>
    <row r="120" spans="1:48" s="11" customFormat="1" ht="54.75" hidden="1" customHeight="1">
      <c r="A120" s="53" t="s">
        <v>398</v>
      </c>
      <c r="B120" s="57" t="s">
        <v>399</v>
      </c>
      <c r="C120" s="53" t="s">
        <v>68</v>
      </c>
      <c r="D120" s="53" t="e">
        <v>#N/A</v>
      </c>
      <c r="E120" s="53" t="s">
        <v>395</v>
      </c>
      <c r="F120" s="53" t="s">
        <v>395</v>
      </c>
      <c r="G120" s="53" t="s">
        <v>94</v>
      </c>
      <c r="H120" s="54">
        <v>15900000.049999999</v>
      </c>
      <c r="I120" s="54" t="e">
        <v>#N/A</v>
      </c>
      <c r="J120" s="55">
        <v>15900000.049999999</v>
      </c>
      <c r="K120" s="45" t="s">
        <v>72</v>
      </c>
      <c r="L120" s="55" t="s">
        <v>73</v>
      </c>
      <c r="M120" s="68" t="s">
        <v>74</v>
      </c>
      <c r="N120" s="68"/>
      <c r="O120" s="79" t="s">
        <v>4</v>
      </c>
      <c r="P120" s="87" t="e">
        <v>#N/A</v>
      </c>
      <c r="Q120" s="88" t="e">
        <v>#N/A</v>
      </c>
      <c r="R120" s="83" t="e">
        <v>#N/A</v>
      </c>
      <c r="S120" s="91" t="e">
        <v>#N/A</v>
      </c>
      <c r="T120" s="96"/>
      <c r="U120" s="97"/>
      <c r="V120" s="83"/>
      <c r="W120" s="91"/>
      <c r="X120" s="110"/>
      <c r="Y120" s="109"/>
      <c r="Z120" s="105"/>
      <c r="AA120" s="112"/>
      <c r="AB120" s="118"/>
      <c r="AC120" s="119"/>
      <c r="AD120" s="83"/>
      <c r="AE120" s="48"/>
      <c r="AF120" s="8" t="s">
        <v>4</v>
      </c>
      <c r="AG120" s="28" t="s">
        <v>73</v>
      </c>
      <c r="AH120" s="23" t="s">
        <v>74</v>
      </c>
      <c r="AI120" s="9" t="s">
        <v>76</v>
      </c>
      <c r="AJ120" s="10"/>
      <c r="AK120" s="9">
        <v>0</v>
      </c>
      <c r="AL120" s="10"/>
      <c r="AM120" s="25" t="s">
        <v>82</v>
      </c>
      <c r="AN120" s="29" t="s">
        <v>78</v>
      </c>
      <c r="AO120" s="28"/>
      <c r="AP120" s="37"/>
      <c r="AQ120" s="38"/>
      <c r="AR120" s="38"/>
      <c r="AS120" s="9">
        <v>0</v>
      </c>
      <c r="AT120" s="9">
        <v>0</v>
      </c>
      <c r="AU120" s="38"/>
      <c r="AV120" s="9"/>
    </row>
    <row r="121" spans="1:48" s="11" customFormat="1" ht="54.75" hidden="1" customHeight="1">
      <c r="A121" s="53" t="s">
        <v>400</v>
      </c>
      <c r="B121" s="57" t="s">
        <v>401</v>
      </c>
      <c r="C121" s="53" t="s">
        <v>68</v>
      </c>
      <c r="D121" s="53" t="e">
        <v>#N/A</v>
      </c>
      <c r="E121" s="53" t="s">
        <v>395</v>
      </c>
      <c r="F121" s="53" t="s">
        <v>395</v>
      </c>
      <c r="G121" s="53" t="s">
        <v>94</v>
      </c>
      <c r="H121" s="54">
        <v>11500000</v>
      </c>
      <c r="I121" s="54" t="e">
        <v>#N/A</v>
      </c>
      <c r="J121" s="55">
        <v>11500000</v>
      </c>
      <c r="K121" s="45" t="s">
        <v>72</v>
      </c>
      <c r="L121" s="55" t="s">
        <v>73</v>
      </c>
      <c r="M121" s="68" t="s">
        <v>74</v>
      </c>
      <c r="N121" s="68"/>
      <c r="O121" s="79" t="s">
        <v>4</v>
      </c>
      <c r="P121" s="87" t="e">
        <v>#N/A</v>
      </c>
      <c r="Q121" s="88" t="e">
        <v>#N/A</v>
      </c>
      <c r="R121" s="83" t="e">
        <v>#N/A</v>
      </c>
      <c r="S121" s="91" t="e">
        <v>#N/A</v>
      </c>
      <c r="T121" s="96"/>
      <c r="U121" s="97"/>
      <c r="V121" s="83"/>
      <c r="W121" s="91"/>
      <c r="X121" s="110"/>
      <c r="Y121" s="109"/>
      <c r="Z121" s="105"/>
      <c r="AA121" s="112"/>
      <c r="AB121" s="118"/>
      <c r="AC121" s="119"/>
      <c r="AD121" s="83"/>
      <c r="AE121" s="48"/>
      <c r="AF121" s="8" t="s">
        <v>4</v>
      </c>
      <c r="AG121" s="28" t="s">
        <v>73</v>
      </c>
      <c r="AH121" s="23" t="s">
        <v>74</v>
      </c>
      <c r="AI121" s="9" t="s">
        <v>76</v>
      </c>
      <c r="AJ121" s="10"/>
      <c r="AK121" s="9">
        <v>0</v>
      </c>
      <c r="AL121" s="10"/>
      <c r="AM121" s="26" t="s">
        <v>402</v>
      </c>
      <c r="AN121" s="29" t="s">
        <v>78</v>
      </c>
      <c r="AO121" s="28"/>
      <c r="AP121" s="37"/>
      <c r="AQ121" s="38"/>
      <c r="AR121" s="38"/>
      <c r="AS121" s="9">
        <v>0</v>
      </c>
      <c r="AT121" s="9">
        <v>0</v>
      </c>
      <c r="AU121" s="38"/>
      <c r="AV121" s="9"/>
    </row>
    <row r="122" spans="1:48" s="11" customFormat="1" ht="54.75" hidden="1" customHeight="1">
      <c r="A122" s="53" t="s">
        <v>83</v>
      </c>
      <c r="B122" s="57" t="s">
        <v>84</v>
      </c>
      <c r="C122" s="53" t="s">
        <v>68</v>
      </c>
      <c r="D122" s="53" t="e">
        <v>#N/A</v>
      </c>
      <c r="E122" s="53" t="s">
        <v>81</v>
      </c>
      <c r="F122" s="53" t="s">
        <v>85</v>
      </c>
      <c r="G122" s="53" t="s">
        <v>86</v>
      </c>
      <c r="H122" s="54">
        <v>27000000.149999999</v>
      </c>
      <c r="I122" s="54" t="e">
        <v>#N/A</v>
      </c>
      <c r="J122" s="55">
        <v>27000000.149999999</v>
      </c>
      <c r="K122" s="45" t="s">
        <v>72</v>
      </c>
      <c r="L122" s="55" t="s">
        <v>73</v>
      </c>
      <c r="M122" s="68" t="s">
        <v>74</v>
      </c>
      <c r="N122" s="68"/>
      <c r="O122" s="79" t="s">
        <v>4</v>
      </c>
      <c r="P122" s="87" t="e">
        <v>#N/A</v>
      </c>
      <c r="Q122" s="88" t="e">
        <v>#N/A</v>
      </c>
      <c r="R122" s="83" t="e">
        <v>#N/A</v>
      </c>
      <c r="S122" s="91" t="e">
        <v>#N/A</v>
      </c>
      <c r="T122" s="96"/>
      <c r="U122" s="97"/>
      <c r="V122" s="83"/>
      <c r="W122" s="91"/>
      <c r="X122" s="110"/>
      <c r="Y122" s="109"/>
      <c r="Z122" s="105"/>
      <c r="AA122" s="112"/>
      <c r="AB122" s="118"/>
      <c r="AC122" s="119"/>
      <c r="AD122" s="83"/>
      <c r="AE122" s="48"/>
      <c r="AF122" s="8" t="s">
        <v>4</v>
      </c>
      <c r="AG122" s="28" t="s">
        <v>73</v>
      </c>
      <c r="AH122" s="23" t="s">
        <v>74</v>
      </c>
      <c r="AI122" s="9" t="s">
        <v>76</v>
      </c>
      <c r="AJ122" s="10"/>
      <c r="AK122" s="9">
        <v>0</v>
      </c>
      <c r="AL122" s="10"/>
      <c r="AM122" s="25" t="s">
        <v>82</v>
      </c>
      <c r="AN122" s="29" t="s">
        <v>78</v>
      </c>
      <c r="AO122" s="28"/>
      <c r="AP122" s="37"/>
      <c r="AQ122" s="38"/>
      <c r="AR122" s="38"/>
      <c r="AS122" s="9">
        <v>0</v>
      </c>
      <c r="AT122" s="9">
        <v>0</v>
      </c>
      <c r="AU122" s="38"/>
      <c r="AV122" s="9"/>
    </row>
    <row r="123" spans="1:48" s="11" customFormat="1" ht="54.75" hidden="1" customHeight="1">
      <c r="A123" s="53" t="s">
        <v>88</v>
      </c>
      <c r="B123" s="57" t="s">
        <v>89</v>
      </c>
      <c r="C123" s="53" t="s">
        <v>68</v>
      </c>
      <c r="D123" s="53" t="e">
        <v>#N/A</v>
      </c>
      <c r="E123" s="53" t="s">
        <v>81</v>
      </c>
      <c r="F123" s="53" t="s">
        <v>90</v>
      </c>
      <c r="G123" s="53" t="s">
        <v>86</v>
      </c>
      <c r="H123" s="54">
        <v>28749999.999999996</v>
      </c>
      <c r="I123" s="54" t="e">
        <v>#N/A</v>
      </c>
      <c r="J123" s="55">
        <v>28749999.999999996</v>
      </c>
      <c r="K123" s="45" t="s">
        <v>72</v>
      </c>
      <c r="L123" s="55" t="s">
        <v>73</v>
      </c>
      <c r="M123" s="68" t="s">
        <v>74</v>
      </c>
      <c r="N123" s="68"/>
      <c r="O123" s="79" t="s">
        <v>4</v>
      </c>
      <c r="P123" s="87" t="e">
        <v>#N/A</v>
      </c>
      <c r="Q123" s="88" t="e">
        <v>#N/A</v>
      </c>
      <c r="R123" s="83" t="e">
        <v>#N/A</v>
      </c>
      <c r="S123" s="91" t="e">
        <v>#N/A</v>
      </c>
      <c r="T123" s="96"/>
      <c r="U123" s="97"/>
      <c r="V123" s="83"/>
      <c r="W123" s="91"/>
      <c r="X123" s="110"/>
      <c r="Y123" s="109"/>
      <c r="Z123" s="105"/>
      <c r="AA123" s="112"/>
      <c r="AB123" s="118"/>
      <c r="AC123" s="119"/>
      <c r="AD123" s="83"/>
      <c r="AE123" s="48"/>
      <c r="AF123" s="8" t="s">
        <v>4</v>
      </c>
      <c r="AG123" s="28" t="s">
        <v>73</v>
      </c>
      <c r="AH123" s="23" t="s">
        <v>74</v>
      </c>
      <c r="AI123" s="9" t="s">
        <v>76</v>
      </c>
      <c r="AJ123" s="10"/>
      <c r="AK123" s="9">
        <v>0</v>
      </c>
      <c r="AL123" s="10"/>
      <c r="AM123" s="25" t="s">
        <v>82</v>
      </c>
      <c r="AN123" s="29" t="s">
        <v>78</v>
      </c>
      <c r="AO123" s="28"/>
      <c r="AP123" s="37"/>
      <c r="AQ123" s="38"/>
      <c r="AR123" s="38"/>
      <c r="AS123" s="9">
        <v>0</v>
      </c>
      <c r="AT123" s="9">
        <v>0</v>
      </c>
      <c r="AU123" s="38"/>
      <c r="AV123" s="9"/>
    </row>
    <row r="124" spans="1:48" s="11" customFormat="1" ht="54.75" hidden="1" customHeight="1">
      <c r="A124" s="53" t="s">
        <v>66</v>
      </c>
      <c r="B124" s="57" t="s">
        <v>67</v>
      </c>
      <c r="C124" s="53" t="s">
        <v>68</v>
      </c>
      <c r="D124" s="53" t="e">
        <v>#N/A</v>
      </c>
      <c r="E124" s="53" t="s">
        <v>69</v>
      </c>
      <c r="F124" s="53" t="s">
        <v>70</v>
      </c>
      <c r="G124" s="53" t="s">
        <v>71</v>
      </c>
      <c r="H124" s="59">
        <v>34500000</v>
      </c>
      <c r="I124" s="59" t="e">
        <v>#N/A</v>
      </c>
      <c r="J124" s="55">
        <v>34500000</v>
      </c>
      <c r="K124" s="45" t="s">
        <v>72</v>
      </c>
      <c r="L124" s="55" t="s">
        <v>73</v>
      </c>
      <c r="M124" s="68" t="s">
        <v>74</v>
      </c>
      <c r="N124" s="68"/>
      <c r="O124" s="79" t="s">
        <v>4</v>
      </c>
      <c r="P124" s="87" t="e">
        <v>#N/A</v>
      </c>
      <c r="Q124" s="88" t="e">
        <v>#N/A</v>
      </c>
      <c r="R124" s="83" t="e">
        <v>#N/A</v>
      </c>
      <c r="S124" s="91" t="e">
        <v>#N/A</v>
      </c>
      <c r="T124" s="96"/>
      <c r="U124" s="97"/>
      <c r="V124" s="83"/>
      <c r="W124" s="91"/>
      <c r="X124" s="110"/>
      <c r="Y124" s="109"/>
      <c r="Z124" s="105"/>
      <c r="AA124" s="112"/>
      <c r="AB124" s="118"/>
      <c r="AC124" s="119"/>
      <c r="AD124" s="83"/>
      <c r="AE124" s="48"/>
      <c r="AF124" s="8" t="s">
        <v>4</v>
      </c>
      <c r="AG124" s="28" t="s">
        <v>73</v>
      </c>
      <c r="AH124" s="23" t="s">
        <v>74</v>
      </c>
      <c r="AI124" s="9" t="s">
        <v>76</v>
      </c>
      <c r="AJ124" s="10"/>
      <c r="AK124" s="9"/>
      <c r="AL124" s="10"/>
      <c r="AM124" s="25" t="s">
        <v>77</v>
      </c>
      <c r="AN124" s="29" t="s">
        <v>78</v>
      </c>
      <c r="AO124" s="28"/>
      <c r="AP124" s="37"/>
      <c r="AQ124" s="38"/>
      <c r="AR124" s="38"/>
      <c r="AS124" s="9">
        <v>0</v>
      </c>
      <c r="AT124" s="9">
        <v>0</v>
      </c>
      <c r="AU124" s="38"/>
      <c r="AV124" s="9"/>
    </row>
    <row r="125" spans="1:48" s="11" customFormat="1" ht="69.95" hidden="1" customHeight="1">
      <c r="A125" s="53" t="s">
        <v>91</v>
      </c>
      <c r="B125" s="57" t="s">
        <v>92</v>
      </c>
      <c r="C125" s="53" t="s">
        <v>68</v>
      </c>
      <c r="D125" s="53" t="e">
        <v>#N/A</v>
      </c>
      <c r="E125" s="53" t="s">
        <v>81</v>
      </c>
      <c r="F125" s="53" t="s">
        <v>93</v>
      </c>
      <c r="G125" s="53" t="s">
        <v>94</v>
      </c>
      <c r="H125" s="54">
        <v>17706665</v>
      </c>
      <c r="I125" s="54" t="e">
        <v>#N/A</v>
      </c>
      <c r="J125" s="55">
        <v>17706665</v>
      </c>
      <c r="K125" s="46" t="e">
        <v>#N/A</v>
      </c>
      <c r="L125" s="55" t="s">
        <v>73</v>
      </c>
      <c r="M125" s="68" t="s">
        <v>74</v>
      </c>
      <c r="N125" s="68"/>
      <c r="O125" s="80" t="s">
        <v>4</v>
      </c>
      <c r="P125" s="87" t="e">
        <v>#N/A</v>
      </c>
      <c r="Q125" s="88" t="e">
        <v>#N/A</v>
      </c>
      <c r="R125" s="84" t="e">
        <v>#N/A</v>
      </c>
      <c r="S125" s="92" t="e">
        <v>#N/A</v>
      </c>
      <c r="T125" s="98"/>
      <c r="U125" s="99"/>
      <c r="V125" s="84"/>
      <c r="W125" s="91"/>
      <c r="X125" s="110"/>
      <c r="Y125" s="109"/>
      <c r="Z125" s="105"/>
      <c r="AA125" s="112"/>
      <c r="AB125" s="118"/>
      <c r="AC125" s="119"/>
      <c r="AD125" s="83"/>
      <c r="AE125" s="48"/>
      <c r="AF125" s="8" t="s">
        <v>4</v>
      </c>
      <c r="AG125" s="28" t="s">
        <v>73</v>
      </c>
      <c r="AH125" s="23" t="s">
        <v>74</v>
      </c>
      <c r="AI125" s="9" t="s">
        <v>76</v>
      </c>
      <c r="AJ125" s="10"/>
      <c r="AK125" s="9"/>
      <c r="AL125" s="10"/>
      <c r="AM125" s="16" t="s">
        <v>95</v>
      </c>
      <c r="AN125" s="29" t="s">
        <v>78</v>
      </c>
      <c r="AO125" s="28"/>
      <c r="AP125" s="37"/>
      <c r="AQ125" s="38"/>
      <c r="AR125" s="38"/>
      <c r="AS125" s="9">
        <v>0</v>
      </c>
      <c r="AT125" s="9">
        <v>0</v>
      </c>
      <c r="AU125" s="38"/>
      <c r="AV125" s="9"/>
    </row>
    <row r="126" spans="1:48" s="11" customFormat="1" ht="69.95" hidden="1" customHeight="1">
      <c r="A126" s="53" t="s">
        <v>96</v>
      </c>
      <c r="B126" s="57" t="s">
        <v>97</v>
      </c>
      <c r="C126" s="53" t="s">
        <v>68</v>
      </c>
      <c r="D126" s="53" t="e">
        <v>#N/A</v>
      </c>
      <c r="E126" s="53" t="s">
        <v>81</v>
      </c>
      <c r="F126" s="53" t="s">
        <v>98</v>
      </c>
      <c r="G126" s="53" t="s">
        <v>86</v>
      </c>
      <c r="H126" s="54">
        <v>80500000</v>
      </c>
      <c r="I126" s="54" t="e">
        <v>#N/A</v>
      </c>
      <c r="J126" s="55">
        <v>80500000</v>
      </c>
      <c r="K126" s="46" t="e">
        <v>#N/A</v>
      </c>
      <c r="L126" s="55" t="s">
        <v>73</v>
      </c>
      <c r="M126" s="68" t="s">
        <v>74</v>
      </c>
      <c r="N126" s="68"/>
      <c r="O126" s="80" t="s">
        <v>4</v>
      </c>
      <c r="P126" s="87" t="e">
        <v>#N/A</v>
      </c>
      <c r="Q126" s="88" t="e">
        <v>#N/A</v>
      </c>
      <c r="R126" s="84" t="e">
        <v>#N/A</v>
      </c>
      <c r="S126" s="92" t="e">
        <v>#N/A</v>
      </c>
      <c r="T126" s="98"/>
      <c r="U126" s="99"/>
      <c r="V126" s="84"/>
      <c r="W126" s="91"/>
      <c r="X126" s="110"/>
      <c r="Y126" s="109"/>
      <c r="Z126" s="105"/>
      <c r="AA126" s="112"/>
      <c r="AB126" s="118"/>
      <c r="AC126" s="119"/>
      <c r="AD126" s="83"/>
      <c r="AE126" s="48"/>
      <c r="AF126" s="8" t="s">
        <v>4</v>
      </c>
      <c r="AG126" s="28" t="s">
        <v>73</v>
      </c>
      <c r="AH126" s="23" t="s">
        <v>74</v>
      </c>
      <c r="AI126" s="9" t="s">
        <v>76</v>
      </c>
      <c r="AJ126" s="10"/>
      <c r="AK126" s="9"/>
      <c r="AL126" s="10"/>
      <c r="AM126" s="22" t="s">
        <v>99</v>
      </c>
      <c r="AN126" s="29" t="s">
        <v>78</v>
      </c>
      <c r="AO126" s="28"/>
      <c r="AP126" s="37"/>
      <c r="AQ126" s="38"/>
      <c r="AR126" s="38"/>
      <c r="AS126" s="9">
        <v>0</v>
      </c>
      <c r="AT126" s="9">
        <v>0</v>
      </c>
      <c r="AU126" s="38"/>
      <c r="AV126" s="9"/>
    </row>
    <row r="127" spans="1:48" s="11" customFormat="1" ht="54.75" hidden="1" customHeight="1">
      <c r="A127" s="60" t="s">
        <v>1701</v>
      </c>
      <c r="B127" s="57" t="s">
        <v>1702</v>
      </c>
      <c r="C127" s="53" t="s">
        <v>68</v>
      </c>
      <c r="D127" s="53" t="s">
        <v>150</v>
      </c>
      <c r="E127" s="53" t="s">
        <v>81</v>
      </c>
      <c r="F127" s="53" t="s">
        <v>81</v>
      </c>
      <c r="G127" s="53" t="s">
        <v>94</v>
      </c>
      <c r="H127" s="54">
        <v>28370499.999999996</v>
      </c>
      <c r="I127" s="54" t="s">
        <v>151</v>
      </c>
      <c r="J127" s="55">
        <v>28370499.999999996</v>
      </c>
      <c r="K127" s="46" t="e">
        <v>#N/A</v>
      </c>
      <c r="L127" s="55" t="s">
        <v>1703</v>
      </c>
      <c r="M127" s="68" t="s">
        <v>74</v>
      </c>
      <c r="N127" s="68"/>
      <c r="O127" s="80" t="s">
        <v>7</v>
      </c>
      <c r="P127" s="87">
        <v>45109</v>
      </c>
      <c r="Q127" s="88">
        <v>45139</v>
      </c>
      <c r="R127" s="82">
        <v>45139</v>
      </c>
      <c r="S127" s="90">
        <v>45169</v>
      </c>
      <c r="T127" s="87">
        <v>45169</v>
      </c>
      <c r="U127" s="88">
        <v>45312</v>
      </c>
      <c r="V127" s="81">
        <v>45386</v>
      </c>
      <c r="W127" s="89">
        <v>45552</v>
      </c>
      <c r="X127" s="107">
        <v>45578</v>
      </c>
      <c r="Y127" s="109"/>
      <c r="Z127" s="106"/>
      <c r="AA127" s="113"/>
      <c r="AB127" s="116"/>
      <c r="AC127" s="117"/>
      <c r="AD127" s="114"/>
      <c r="AE127" s="47"/>
      <c r="AF127" s="8" t="s">
        <v>7</v>
      </c>
      <c r="AG127" s="28" t="s">
        <v>1703</v>
      </c>
      <c r="AH127" s="23" t="s">
        <v>74</v>
      </c>
      <c r="AI127" s="9" t="s">
        <v>159</v>
      </c>
      <c r="AJ127" s="10">
        <v>45552</v>
      </c>
      <c r="AK127" s="9" t="s">
        <v>160</v>
      </c>
      <c r="AL127" s="10">
        <v>45552</v>
      </c>
      <c r="AM127" s="16" t="s">
        <v>1704</v>
      </c>
      <c r="AN127" s="29" t="s">
        <v>78</v>
      </c>
      <c r="AO127" s="29"/>
      <c r="AP127" s="37"/>
      <c r="AQ127" s="38">
        <v>45578</v>
      </c>
      <c r="AR127" s="38"/>
      <c r="AS127" s="9">
        <v>0</v>
      </c>
      <c r="AT127" s="9" t="s">
        <v>245</v>
      </c>
      <c r="AU127" s="38"/>
      <c r="AV127" s="9"/>
    </row>
    <row r="128" spans="1:48" s="11" customFormat="1" ht="54.75" hidden="1" customHeight="1">
      <c r="A128" s="60" t="s">
        <v>1705</v>
      </c>
      <c r="B128" s="57" t="s">
        <v>1706</v>
      </c>
      <c r="C128" s="53" t="s">
        <v>68</v>
      </c>
      <c r="D128" s="53" t="s">
        <v>150</v>
      </c>
      <c r="E128" s="53" t="s">
        <v>81</v>
      </c>
      <c r="F128" s="53" t="s">
        <v>81</v>
      </c>
      <c r="G128" s="53" t="s">
        <v>94</v>
      </c>
      <c r="H128" s="54">
        <v>92000000</v>
      </c>
      <c r="I128" s="54" t="s">
        <v>170</v>
      </c>
      <c r="J128" s="55">
        <v>92000000</v>
      </c>
      <c r="K128" s="46" t="e">
        <v>#N/A</v>
      </c>
      <c r="L128" s="55" t="s">
        <v>1703</v>
      </c>
      <c r="M128" s="68" t="s">
        <v>74</v>
      </c>
      <c r="N128" s="68"/>
      <c r="O128" s="80" t="s">
        <v>7</v>
      </c>
      <c r="P128" s="87">
        <v>45109</v>
      </c>
      <c r="Q128" s="88">
        <v>45139</v>
      </c>
      <c r="R128" s="82">
        <v>45139</v>
      </c>
      <c r="S128" s="90">
        <v>45169</v>
      </c>
      <c r="T128" s="87">
        <v>45169</v>
      </c>
      <c r="U128" s="88">
        <v>45312</v>
      </c>
      <c r="V128" s="81">
        <v>45386</v>
      </c>
      <c r="W128" s="89">
        <v>45559</v>
      </c>
      <c r="X128" s="107">
        <v>45603</v>
      </c>
      <c r="Y128" s="109"/>
      <c r="Z128" s="106"/>
      <c r="AA128" s="113"/>
      <c r="AB128" s="116"/>
      <c r="AC128" s="117"/>
      <c r="AD128" s="114"/>
      <c r="AE128" s="47"/>
      <c r="AF128" s="8" t="s">
        <v>7</v>
      </c>
      <c r="AG128" s="28" t="s">
        <v>1703</v>
      </c>
      <c r="AH128" s="23" t="s">
        <v>74</v>
      </c>
      <c r="AI128" s="9" t="s">
        <v>159</v>
      </c>
      <c r="AJ128" s="10">
        <v>45565</v>
      </c>
      <c r="AK128" s="9" t="s">
        <v>160</v>
      </c>
      <c r="AL128" s="10">
        <v>45585</v>
      </c>
      <c r="AM128" s="16" t="s">
        <v>1707</v>
      </c>
      <c r="AN128" s="29" t="s">
        <v>78</v>
      </c>
      <c r="AO128" s="29"/>
      <c r="AP128" s="37"/>
      <c r="AQ128" s="38">
        <v>45603</v>
      </c>
      <c r="AR128" s="38"/>
      <c r="AS128" s="9">
        <v>0</v>
      </c>
      <c r="AT128" s="9" t="s">
        <v>171</v>
      </c>
      <c r="AU128" s="38"/>
      <c r="AV128" s="9"/>
    </row>
    <row r="129" spans="1:48" s="11" customFormat="1" ht="69.95" hidden="1" customHeight="1">
      <c r="A129" s="53" t="s">
        <v>1708</v>
      </c>
      <c r="B129" s="57" t="s">
        <v>1709</v>
      </c>
      <c r="C129" s="53" t="s">
        <v>68</v>
      </c>
      <c r="D129" s="53" t="s">
        <v>150</v>
      </c>
      <c r="E129" s="53" t="s">
        <v>81</v>
      </c>
      <c r="F129" s="53" t="s">
        <v>81</v>
      </c>
      <c r="G129" s="53" t="s">
        <v>86</v>
      </c>
      <c r="H129" s="54">
        <v>10000000</v>
      </c>
      <c r="I129" s="54" t="s">
        <v>258</v>
      </c>
      <c r="J129" s="55">
        <v>10000000</v>
      </c>
      <c r="K129" s="46" t="e">
        <v>#N/A</v>
      </c>
      <c r="L129" s="55" t="s">
        <v>73</v>
      </c>
      <c r="M129" s="68" t="s">
        <v>74</v>
      </c>
      <c r="N129" s="68"/>
      <c r="O129" s="80" t="s">
        <v>4</v>
      </c>
      <c r="P129" s="87" t="e">
        <v>#N/A</v>
      </c>
      <c r="Q129" s="88" t="e">
        <v>#N/A</v>
      </c>
      <c r="R129" s="84" t="e">
        <v>#N/A</v>
      </c>
      <c r="S129" s="92" t="e">
        <v>#N/A</v>
      </c>
      <c r="T129" s="100"/>
      <c r="U129" s="101"/>
      <c r="V129" s="93"/>
      <c r="W129" s="91"/>
      <c r="X129" s="110"/>
      <c r="Y129" s="109"/>
      <c r="Z129" s="105"/>
      <c r="AA129" s="112"/>
      <c r="AB129" s="118"/>
      <c r="AC129" s="119"/>
      <c r="AD129" s="83"/>
      <c r="AE129" s="48"/>
      <c r="AF129" s="8" t="s">
        <v>4</v>
      </c>
      <c r="AG129" s="28" t="s">
        <v>73</v>
      </c>
      <c r="AH129" s="23" t="s">
        <v>74</v>
      </c>
      <c r="AI129" s="9" t="s">
        <v>76</v>
      </c>
      <c r="AJ129" s="10"/>
      <c r="AK129" s="9"/>
      <c r="AL129" s="10"/>
      <c r="AM129" s="16" t="s">
        <v>1710</v>
      </c>
      <c r="AN129" s="29" t="s">
        <v>78</v>
      </c>
      <c r="AO129" s="29"/>
      <c r="AP129" s="37"/>
      <c r="AQ129" s="38"/>
      <c r="AR129" s="38"/>
      <c r="AS129" s="9">
        <v>0</v>
      </c>
      <c r="AT129" s="9">
        <v>0</v>
      </c>
      <c r="AU129" s="38"/>
      <c r="AV129" s="9"/>
    </row>
    <row r="130" spans="1:48" s="11" customFormat="1" ht="69.95" hidden="1" customHeight="1">
      <c r="A130" s="53" t="s">
        <v>100</v>
      </c>
      <c r="B130" s="57" t="s">
        <v>101</v>
      </c>
      <c r="C130" s="53" t="s">
        <v>68</v>
      </c>
      <c r="D130" s="53" t="e">
        <v>#N/A</v>
      </c>
      <c r="E130" s="53" t="s">
        <v>81</v>
      </c>
      <c r="F130" s="53" t="s">
        <v>81</v>
      </c>
      <c r="G130" s="53" t="s">
        <v>94</v>
      </c>
      <c r="H130" s="54">
        <v>92000000</v>
      </c>
      <c r="I130" s="54" t="e">
        <v>#N/A</v>
      </c>
      <c r="J130" s="55">
        <v>92000000</v>
      </c>
      <c r="K130" s="46" t="e">
        <v>#N/A</v>
      </c>
      <c r="L130" s="55" t="s">
        <v>73</v>
      </c>
      <c r="M130" s="68" t="s">
        <v>74</v>
      </c>
      <c r="N130" s="68"/>
      <c r="O130" s="80" t="s">
        <v>4</v>
      </c>
      <c r="P130" s="87" t="e">
        <v>#N/A</v>
      </c>
      <c r="Q130" s="88" t="e">
        <v>#N/A</v>
      </c>
      <c r="R130" s="84" t="e">
        <v>#N/A</v>
      </c>
      <c r="S130" s="92" t="e">
        <v>#N/A</v>
      </c>
      <c r="T130" s="98"/>
      <c r="U130" s="99"/>
      <c r="V130" s="84"/>
      <c r="W130" s="91"/>
      <c r="X130" s="110"/>
      <c r="Y130" s="109"/>
      <c r="Z130" s="105"/>
      <c r="AA130" s="112"/>
      <c r="AB130" s="118"/>
      <c r="AC130" s="119"/>
      <c r="AD130" s="83"/>
      <c r="AE130" s="48"/>
      <c r="AF130" s="8" t="s">
        <v>4</v>
      </c>
      <c r="AG130" s="28" t="s">
        <v>73</v>
      </c>
      <c r="AH130" s="23" t="s">
        <v>74</v>
      </c>
      <c r="AI130" s="9" t="s">
        <v>76</v>
      </c>
      <c r="AJ130" s="10"/>
      <c r="AK130" s="9"/>
      <c r="AL130" s="10"/>
      <c r="AM130" s="22" t="s">
        <v>102</v>
      </c>
      <c r="AN130" s="29" t="s">
        <v>78</v>
      </c>
      <c r="AO130" s="29"/>
      <c r="AP130" s="37"/>
      <c r="AQ130" s="38"/>
      <c r="AR130" s="38"/>
      <c r="AS130" s="9">
        <v>0</v>
      </c>
      <c r="AT130" s="9">
        <v>0</v>
      </c>
      <c r="AU130" s="38"/>
      <c r="AV130" s="9"/>
    </row>
    <row r="131" spans="1:48" s="11" customFormat="1" ht="69.95" hidden="1" customHeight="1">
      <c r="A131" s="53" t="s">
        <v>103</v>
      </c>
      <c r="B131" s="57" t="s">
        <v>104</v>
      </c>
      <c r="C131" s="53" t="s">
        <v>68</v>
      </c>
      <c r="D131" s="53" t="e">
        <v>#N/A</v>
      </c>
      <c r="E131" s="53" t="s">
        <v>81</v>
      </c>
      <c r="F131" s="53" t="s">
        <v>81</v>
      </c>
      <c r="G131" s="53" t="s">
        <v>86</v>
      </c>
      <c r="H131" s="54">
        <v>51749999.999999993</v>
      </c>
      <c r="I131" s="54" t="e">
        <v>#N/A</v>
      </c>
      <c r="J131" s="55">
        <v>51749999.999999993</v>
      </c>
      <c r="K131" s="46" t="e">
        <v>#N/A</v>
      </c>
      <c r="L131" s="55" t="s">
        <v>73</v>
      </c>
      <c r="M131" s="68" t="s">
        <v>74</v>
      </c>
      <c r="N131" s="68"/>
      <c r="O131" s="80" t="s">
        <v>4</v>
      </c>
      <c r="P131" s="87" t="e">
        <v>#N/A</v>
      </c>
      <c r="Q131" s="88" t="e">
        <v>#N/A</v>
      </c>
      <c r="R131" s="84" t="e">
        <v>#N/A</v>
      </c>
      <c r="S131" s="92" t="e">
        <v>#N/A</v>
      </c>
      <c r="T131" s="98"/>
      <c r="U131" s="99"/>
      <c r="V131" s="84"/>
      <c r="W131" s="91"/>
      <c r="X131" s="110"/>
      <c r="Y131" s="109"/>
      <c r="Z131" s="105"/>
      <c r="AA131" s="112"/>
      <c r="AB131" s="118"/>
      <c r="AC131" s="119"/>
      <c r="AD131" s="83"/>
      <c r="AE131" s="48"/>
      <c r="AF131" s="8" t="s">
        <v>4</v>
      </c>
      <c r="AG131" s="28" t="s">
        <v>73</v>
      </c>
      <c r="AH131" s="23" t="s">
        <v>74</v>
      </c>
      <c r="AI131" s="9" t="s">
        <v>76</v>
      </c>
      <c r="AJ131" s="10"/>
      <c r="AK131" s="9"/>
      <c r="AL131" s="10"/>
      <c r="AM131" s="22" t="s">
        <v>99</v>
      </c>
      <c r="AN131" s="29" t="s">
        <v>78</v>
      </c>
      <c r="AO131" s="29"/>
      <c r="AP131" s="37"/>
      <c r="AQ131" s="38"/>
      <c r="AR131" s="38"/>
      <c r="AS131" s="9">
        <v>0</v>
      </c>
      <c r="AT131" s="9">
        <v>0</v>
      </c>
      <c r="AU131" s="38"/>
      <c r="AV131" s="9"/>
    </row>
    <row r="132" spans="1:48" s="11" customFormat="1" ht="69.95" hidden="1" customHeight="1">
      <c r="A132" s="53" t="s">
        <v>105</v>
      </c>
      <c r="B132" s="57" t="s">
        <v>106</v>
      </c>
      <c r="C132" s="53" t="s">
        <v>68</v>
      </c>
      <c r="D132" s="53" t="e">
        <v>#N/A</v>
      </c>
      <c r="E132" s="53" t="s">
        <v>81</v>
      </c>
      <c r="F132" s="53" t="s">
        <v>107</v>
      </c>
      <c r="G132" s="53" t="s">
        <v>86</v>
      </c>
      <c r="H132" s="54">
        <v>103499999.99999999</v>
      </c>
      <c r="I132" s="54" t="e">
        <v>#N/A</v>
      </c>
      <c r="J132" s="55">
        <v>103499999.99999999</v>
      </c>
      <c r="K132" s="46" t="e">
        <v>#N/A</v>
      </c>
      <c r="L132" s="55" t="s">
        <v>73</v>
      </c>
      <c r="M132" s="68" t="s">
        <v>74</v>
      </c>
      <c r="N132" s="68"/>
      <c r="O132" s="80" t="s">
        <v>4</v>
      </c>
      <c r="P132" s="87" t="e">
        <v>#N/A</v>
      </c>
      <c r="Q132" s="88" t="e">
        <v>#N/A</v>
      </c>
      <c r="R132" s="84" t="e">
        <v>#N/A</v>
      </c>
      <c r="S132" s="92" t="e">
        <v>#N/A</v>
      </c>
      <c r="T132" s="98"/>
      <c r="U132" s="99"/>
      <c r="V132" s="84"/>
      <c r="W132" s="91"/>
      <c r="X132" s="110"/>
      <c r="Y132" s="109"/>
      <c r="Z132" s="105"/>
      <c r="AA132" s="112"/>
      <c r="AB132" s="118"/>
      <c r="AC132" s="119"/>
      <c r="AD132" s="83"/>
      <c r="AE132" s="48"/>
      <c r="AF132" s="8" t="s">
        <v>4</v>
      </c>
      <c r="AG132" s="28" t="s">
        <v>73</v>
      </c>
      <c r="AH132" s="23" t="s">
        <v>74</v>
      </c>
      <c r="AI132" s="9" t="s">
        <v>76</v>
      </c>
      <c r="AJ132" s="10"/>
      <c r="AK132" s="9"/>
      <c r="AL132" s="10"/>
      <c r="AM132" s="22" t="s">
        <v>99</v>
      </c>
      <c r="AN132" s="29" t="s">
        <v>78</v>
      </c>
      <c r="AO132" s="29"/>
      <c r="AP132" s="37"/>
      <c r="AQ132" s="38"/>
      <c r="AR132" s="38"/>
      <c r="AS132" s="9">
        <v>0</v>
      </c>
      <c r="AT132" s="9">
        <v>0</v>
      </c>
      <c r="AU132" s="38"/>
      <c r="AV132" s="9"/>
    </row>
    <row r="133" spans="1:48" s="11" customFormat="1" ht="69.95" hidden="1" customHeight="1">
      <c r="A133" s="53" t="s">
        <v>108</v>
      </c>
      <c r="B133" s="57" t="s">
        <v>109</v>
      </c>
      <c r="C133" s="53" t="s">
        <v>68</v>
      </c>
      <c r="D133" s="53" t="e">
        <v>#N/A</v>
      </c>
      <c r="E133" s="53" t="s">
        <v>81</v>
      </c>
      <c r="F133" s="53" t="s">
        <v>110</v>
      </c>
      <c r="G133" s="53" t="s">
        <v>86</v>
      </c>
      <c r="H133" s="54">
        <v>8049999.9999999991</v>
      </c>
      <c r="I133" s="54" t="e">
        <v>#N/A</v>
      </c>
      <c r="J133" s="55">
        <v>8049999.9999999991</v>
      </c>
      <c r="K133" s="46" t="e">
        <v>#N/A</v>
      </c>
      <c r="L133" s="55" t="s">
        <v>73</v>
      </c>
      <c r="M133" s="68" t="s">
        <v>74</v>
      </c>
      <c r="N133" s="68"/>
      <c r="O133" s="80" t="s">
        <v>4</v>
      </c>
      <c r="P133" s="87" t="e">
        <v>#N/A</v>
      </c>
      <c r="Q133" s="88" t="e">
        <v>#N/A</v>
      </c>
      <c r="R133" s="84" t="e">
        <v>#N/A</v>
      </c>
      <c r="S133" s="92" t="e">
        <v>#N/A</v>
      </c>
      <c r="T133" s="98"/>
      <c r="U133" s="99"/>
      <c r="V133" s="84"/>
      <c r="W133" s="91"/>
      <c r="X133" s="110"/>
      <c r="Y133" s="109"/>
      <c r="Z133" s="105"/>
      <c r="AA133" s="112"/>
      <c r="AB133" s="118"/>
      <c r="AC133" s="119"/>
      <c r="AD133" s="83"/>
      <c r="AE133" s="48"/>
      <c r="AF133" s="8" t="s">
        <v>4</v>
      </c>
      <c r="AG133" s="28" t="s">
        <v>73</v>
      </c>
      <c r="AH133" s="23" t="s">
        <v>74</v>
      </c>
      <c r="AI133" s="9" t="s">
        <v>76</v>
      </c>
      <c r="AJ133" s="10"/>
      <c r="AK133" s="9"/>
      <c r="AL133" s="10"/>
      <c r="AM133" s="22" t="s">
        <v>99</v>
      </c>
      <c r="AN133" s="29" t="s">
        <v>78</v>
      </c>
      <c r="AO133" s="29"/>
      <c r="AP133" s="37"/>
      <c r="AQ133" s="38"/>
      <c r="AR133" s="38"/>
      <c r="AS133" s="9">
        <v>0</v>
      </c>
      <c r="AT133" s="9">
        <v>0</v>
      </c>
      <c r="AU133" s="38"/>
      <c r="AV133" s="9"/>
    </row>
    <row r="134" spans="1:48" s="11" customFormat="1" ht="69.95" hidden="1" customHeight="1">
      <c r="A134" s="53" t="s">
        <v>403</v>
      </c>
      <c r="B134" s="57" t="s">
        <v>404</v>
      </c>
      <c r="C134" s="53" t="s">
        <v>68</v>
      </c>
      <c r="D134" s="53" t="e">
        <v>#N/A</v>
      </c>
      <c r="E134" s="53" t="s">
        <v>395</v>
      </c>
      <c r="F134" s="53" t="s">
        <v>395</v>
      </c>
      <c r="G134" s="53" t="s">
        <v>94</v>
      </c>
      <c r="H134" s="54">
        <v>86250000</v>
      </c>
      <c r="I134" s="54" t="e">
        <v>#N/A</v>
      </c>
      <c r="J134" s="55">
        <v>86250000</v>
      </c>
      <c r="K134" s="46" t="e">
        <v>#N/A</v>
      </c>
      <c r="L134" s="55" t="s">
        <v>73</v>
      </c>
      <c r="M134" s="68" t="s">
        <v>74</v>
      </c>
      <c r="N134" s="68"/>
      <c r="O134" s="80" t="s">
        <v>4</v>
      </c>
      <c r="P134" s="87" t="e">
        <v>#N/A</v>
      </c>
      <c r="Q134" s="88" t="e">
        <v>#N/A</v>
      </c>
      <c r="R134" s="84" t="e">
        <v>#N/A</v>
      </c>
      <c r="S134" s="92" t="e">
        <v>#N/A</v>
      </c>
      <c r="T134" s="98"/>
      <c r="U134" s="99"/>
      <c r="V134" s="84"/>
      <c r="W134" s="91"/>
      <c r="X134" s="110"/>
      <c r="Y134" s="109"/>
      <c r="Z134" s="105"/>
      <c r="AA134" s="112"/>
      <c r="AB134" s="118"/>
      <c r="AC134" s="119"/>
      <c r="AD134" s="83"/>
      <c r="AE134" s="48"/>
      <c r="AF134" s="8" t="s">
        <v>4</v>
      </c>
      <c r="AG134" s="28" t="s">
        <v>73</v>
      </c>
      <c r="AH134" s="23" t="s">
        <v>74</v>
      </c>
      <c r="AI134" s="9" t="s">
        <v>76</v>
      </c>
      <c r="AJ134" s="10"/>
      <c r="AK134" s="9"/>
      <c r="AL134" s="10"/>
      <c r="AM134" s="22" t="s">
        <v>405</v>
      </c>
      <c r="AN134" s="29" t="s">
        <v>78</v>
      </c>
      <c r="AO134" s="29"/>
      <c r="AP134" s="37"/>
      <c r="AQ134" s="38"/>
      <c r="AR134" s="38"/>
      <c r="AS134" s="9">
        <v>0</v>
      </c>
      <c r="AT134" s="9">
        <v>0</v>
      </c>
      <c r="AU134" s="38"/>
      <c r="AV134" s="9"/>
    </row>
    <row r="135" spans="1:48" s="11" customFormat="1" ht="69.95" hidden="1" customHeight="1">
      <c r="A135" s="53" t="s">
        <v>406</v>
      </c>
      <c r="B135" s="57" t="s">
        <v>407</v>
      </c>
      <c r="C135" s="53" t="s">
        <v>68</v>
      </c>
      <c r="D135" s="53" t="s">
        <v>137</v>
      </c>
      <c r="E135" s="53" t="s">
        <v>395</v>
      </c>
      <c r="F135" s="53" t="s">
        <v>395</v>
      </c>
      <c r="G135" s="53" t="s">
        <v>94</v>
      </c>
      <c r="H135" s="54">
        <v>28749999.999999996</v>
      </c>
      <c r="I135" s="54" t="s">
        <v>258</v>
      </c>
      <c r="J135" s="55">
        <v>28749999.999999996</v>
      </c>
      <c r="K135" s="46" t="e">
        <v>#N/A</v>
      </c>
      <c r="L135" s="55" t="s">
        <v>73</v>
      </c>
      <c r="M135" s="68" t="s">
        <v>74</v>
      </c>
      <c r="N135" s="68"/>
      <c r="O135" s="80" t="s">
        <v>4</v>
      </c>
      <c r="P135" s="87" t="e">
        <v>#N/A</v>
      </c>
      <c r="Q135" s="88" t="e">
        <v>#N/A</v>
      </c>
      <c r="R135" s="84" t="e">
        <v>#N/A</v>
      </c>
      <c r="S135" s="92" t="e">
        <v>#N/A</v>
      </c>
      <c r="T135" s="100"/>
      <c r="U135" s="101"/>
      <c r="V135" s="93"/>
      <c r="W135" s="91"/>
      <c r="X135" s="110"/>
      <c r="Y135" s="109"/>
      <c r="Z135" s="105"/>
      <c r="AA135" s="112"/>
      <c r="AB135" s="118"/>
      <c r="AC135" s="119"/>
      <c r="AD135" s="83"/>
      <c r="AE135" s="48"/>
      <c r="AF135" s="8" t="s">
        <v>4</v>
      </c>
      <c r="AG135" s="28" t="s">
        <v>73</v>
      </c>
      <c r="AH135" s="23" t="s">
        <v>74</v>
      </c>
      <c r="AI135" s="9" t="s">
        <v>76</v>
      </c>
      <c r="AJ135" s="10"/>
      <c r="AK135" s="9"/>
      <c r="AL135" s="10"/>
      <c r="AM135" s="16" t="s">
        <v>408</v>
      </c>
      <c r="AN135" s="29" t="s">
        <v>78</v>
      </c>
      <c r="AO135" s="29"/>
      <c r="AP135" s="37"/>
      <c r="AQ135" s="38"/>
      <c r="AR135" s="38"/>
      <c r="AS135" s="9">
        <v>0</v>
      </c>
      <c r="AT135" s="9">
        <v>0</v>
      </c>
      <c r="AU135" s="38"/>
      <c r="AV135" s="9"/>
    </row>
    <row r="136" spans="1:48" s="11" customFormat="1" ht="69.95" hidden="1" customHeight="1">
      <c r="A136" s="53" t="s">
        <v>409</v>
      </c>
      <c r="B136" s="57" t="s">
        <v>410</v>
      </c>
      <c r="C136" s="53" t="s">
        <v>68</v>
      </c>
      <c r="D136" s="53" t="e">
        <v>#N/A</v>
      </c>
      <c r="E136" s="53" t="s">
        <v>395</v>
      </c>
      <c r="F136" s="53" t="s">
        <v>411</v>
      </c>
      <c r="G136" s="53" t="s">
        <v>86</v>
      </c>
      <c r="H136" s="54">
        <v>27599999.999999996</v>
      </c>
      <c r="I136" s="54" t="e">
        <v>#N/A</v>
      </c>
      <c r="J136" s="55">
        <v>27599999.999999996</v>
      </c>
      <c r="K136" s="46" t="e">
        <v>#N/A</v>
      </c>
      <c r="L136" s="55" t="s">
        <v>73</v>
      </c>
      <c r="M136" s="68" t="s">
        <v>74</v>
      </c>
      <c r="N136" s="68"/>
      <c r="O136" s="80" t="s">
        <v>4</v>
      </c>
      <c r="P136" s="87" t="e">
        <v>#N/A</v>
      </c>
      <c r="Q136" s="88" t="e">
        <v>#N/A</v>
      </c>
      <c r="R136" s="84" t="e">
        <v>#N/A</v>
      </c>
      <c r="S136" s="92" t="e">
        <v>#N/A</v>
      </c>
      <c r="T136" s="98"/>
      <c r="U136" s="99"/>
      <c r="V136" s="84"/>
      <c r="W136" s="91"/>
      <c r="X136" s="110"/>
      <c r="Y136" s="109"/>
      <c r="Z136" s="105"/>
      <c r="AA136" s="112"/>
      <c r="AB136" s="118"/>
      <c r="AC136" s="119"/>
      <c r="AD136" s="83"/>
      <c r="AE136" s="48"/>
      <c r="AF136" s="8" t="s">
        <v>4</v>
      </c>
      <c r="AG136" s="28" t="s">
        <v>73</v>
      </c>
      <c r="AH136" s="23" t="s">
        <v>74</v>
      </c>
      <c r="AI136" s="9" t="s">
        <v>76</v>
      </c>
      <c r="AJ136" s="10"/>
      <c r="AK136" s="9"/>
      <c r="AL136" s="10"/>
      <c r="AM136" s="22" t="s">
        <v>412</v>
      </c>
      <c r="AN136" s="29" t="s">
        <v>78</v>
      </c>
      <c r="AO136" s="29"/>
      <c r="AP136" s="37"/>
      <c r="AQ136" s="38"/>
      <c r="AR136" s="38"/>
      <c r="AS136" s="9">
        <v>0</v>
      </c>
      <c r="AT136" s="9">
        <v>0</v>
      </c>
      <c r="AU136" s="38"/>
      <c r="AV136" s="9"/>
    </row>
    <row r="137" spans="1:48" s="11" customFormat="1" ht="54.75" hidden="1" customHeight="1">
      <c r="A137" s="60" t="s">
        <v>1711</v>
      </c>
      <c r="B137" s="57" t="s">
        <v>1712</v>
      </c>
      <c r="C137" s="53" t="s">
        <v>68</v>
      </c>
      <c r="D137" s="53" t="s">
        <v>137</v>
      </c>
      <c r="E137" s="53" t="s">
        <v>81</v>
      </c>
      <c r="F137" s="53" t="s">
        <v>114</v>
      </c>
      <c r="G137" s="53" t="s">
        <v>94</v>
      </c>
      <c r="H137" s="54">
        <v>34740925</v>
      </c>
      <c r="I137" s="54" t="s">
        <v>222</v>
      </c>
      <c r="J137" s="55">
        <v>34740925</v>
      </c>
      <c r="K137" s="46" t="e">
        <v>#N/A</v>
      </c>
      <c r="L137" s="55" t="s">
        <v>1703</v>
      </c>
      <c r="M137" s="68" t="s">
        <v>74</v>
      </c>
      <c r="N137" s="68"/>
      <c r="O137" s="80" t="s">
        <v>7</v>
      </c>
      <c r="P137" s="87">
        <v>45109</v>
      </c>
      <c r="Q137" s="88">
        <v>45139</v>
      </c>
      <c r="R137" s="82">
        <v>45139</v>
      </c>
      <c r="S137" s="90">
        <v>45169</v>
      </c>
      <c r="T137" s="87">
        <v>45169</v>
      </c>
      <c r="U137" s="88">
        <v>45313</v>
      </c>
      <c r="V137" s="81">
        <v>45648</v>
      </c>
      <c r="W137" s="89">
        <v>45739</v>
      </c>
      <c r="X137" s="107">
        <v>45771</v>
      </c>
      <c r="Y137" s="109"/>
      <c r="Z137" s="106"/>
      <c r="AA137" s="113"/>
      <c r="AB137" s="116"/>
      <c r="AC137" s="117"/>
      <c r="AD137" s="114"/>
      <c r="AE137" s="47"/>
      <c r="AF137" s="8" t="s">
        <v>7</v>
      </c>
      <c r="AG137" s="28" t="s">
        <v>1703</v>
      </c>
      <c r="AH137" s="23" t="s">
        <v>74</v>
      </c>
      <c r="AI137" s="9" t="s">
        <v>159</v>
      </c>
      <c r="AJ137" s="10">
        <v>45754</v>
      </c>
      <c r="AK137" s="9"/>
      <c r="AL137" s="10"/>
      <c r="AM137" s="16" t="s">
        <v>1713</v>
      </c>
      <c r="AN137" s="29" t="s">
        <v>78</v>
      </c>
      <c r="AO137" s="29"/>
      <c r="AP137" s="37"/>
      <c r="AQ137" s="38">
        <v>45771</v>
      </c>
      <c r="AR137" s="38"/>
      <c r="AS137" s="9">
        <v>0</v>
      </c>
      <c r="AT137" s="9">
        <v>0</v>
      </c>
      <c r="AU137" s="38"/>
      <c r="AV137" s="9"/>
    </row>
    <row r="138" spans="1:48" s="11" customFormat="1" ht="69.95" hidden="1" customHeight="1">
      <c r="A138" s="53" t="s">
        <v>112</v>
      </c>
      <c r="B138" s="57" t="s">
        <v>113</v>
      </c>
      <c r="C138" s="53" t="s">
        <v>68</v>
      </c>
      <c r="D138" s="53" t="e">
        <v>#N/A</v>
      </c>
      <c r="E138" s="53" t="s">
        <v>81</v>
      </c>
      <c r="F138" s="53" t="s">
        <v>114</v>
      </c>
      <c r="G138" s="53" t="s">
        <v>86</v>
      </c>
      <c r="H138" s="54">
        <v>41400000</v>
      </c>
      <c r="I138" s="54" t="e">
        <v>#N/A</v>
      </c>
      <c r="J138" s="55">
        <v>41400000</v>
      </c>
      <c r="K138" s="46" t="e">
        <v>#N/A</v>
      </c>
      <c r="L138" s="55" t="s">
        <v>73</v>
      </c>
      <c r="M138" s="68" t="s">
        <v>74</v>
      </c>
      <c r="N138" s="68"/>
      <c r="O138" s="80" t="s">
        <v>4</v>
      </c>
      <c r="P138" s="87" t="e">
        <v>#N/A</v>
      </c>
      <c r="Q138" s="88" t="e">
        <v>#N/A</v>
      </c>
      <c r="R138" s="84" t="e">
        <v>#N/A</v>
      </c>
      <c r="S138" s="92" t="e">
        <v>#N/A</v>
      </c>
      <c r="T138" s="98"/>
      <c r="U138" s="99"/>
      <c r="V138" s="84"/>
      <c r="W138" s="102"/>
      <c r="X138" s="110"/>
      <c r="Y138" s="109"/>
      <c r="Z138" s="105"/>
      <c r="AA138" s="112"/>
      <c r="AB138" s="118"/>
      <c r="AC138" s="119"/>
      <c r="AD138" s="83"/>
      <c r="AE138" s="48"/>
      <c r="AF138" s="8" t="s">
        <v>4</v>
      </c>
      <c r="AG138" s="28" t="s">
        <v>73</v>
      </c>
      <c r="AH138" s="23" t="s">
        <v>74</v>
      </c>
      <c r="AI138" s="9" t="s">
        <v>76</v>
      </c>
      <c r="AJ138" s="10"/>
      <c r="AK138" s="9"/>
      <c r="AL138" s="10"/>
      <c r="AM138" s="16" t="s">
        <v>115</v>
      </c>
      <c r="AN138" s="29" t="s">
        <v>78</v>
      </c>
      <c r="AO138" s="29"/>
      <c r="AP138" s="37"/>
      <c r="AQ138" s="38"/>
      <c r="AR138" s="38"/>
      <c r="AS138" s="9">
        <v>0</v>
      </c>
      <c r="AT138" s="9">
        <v>0</v>
      </c>
      <c r="AU138" s="38"/>
      <c r="AV138" s="9"/>
    </row>
    <row r="139" spans="1:48" s="11" customFormat="1" ht="69.95" hidden="1" customHeight="1">
      <c r="A139" s="53" t="s">
        <v>116</v>
      </c>
      <c r="B139" s="57" t="s">
        <v>117</v>
      </c>
      <c r="C139" s="53" t="s">
        <v>68</v>
      </c>
      <c r="D139" s="53" t="e">
        <v>#N/A</v>
      </c>
      <c r="E139" s="53" t="s">
        <v>81</v>
      </c>
      <c r="F139" s="53" t="s">
        <v>81</v>
      </c>
      <c r="G139" s="53" t="s">
        <v>71</v>
      </c>
      <c r="H139" s="54">
        <v>12649999.999999998</v>
      </c>
      <c r="I139" s="54" t="e">
        <v>#N/A</v>
      </c>
      <c r="J139" s="55">
        <v>12649999.999999998</v>
      </c>
      <c r="K139" s="46" t="e">
        <v>#N/A</v>
      </c>
      <c r="L139" s="55" t="s">
        <v>73</v>
      </c>
      <c r="M139" s="68" t="s">
        <v>74</v>
      </c>
      <c r="N139" s="68"/>
      <c r="O139" s="80" t="s">
        <v>4</v>
      </c>
      <c r="P139" s="87" t="e">
        <v>#N/A</v>
      </c>
      <c r="Q139" s="88" t="e">
        <v>#N/A</v>
      </c>
      <c r="R139" s="84" t="e">
        <v>#N/A</v>
      </c>
      <c r="S139" s="92" t="e">
        <v>#N/A</v>
      </c>
      <c r="T139" s="98"/>
      <c r="U139" s="99"/>
      <c r="V139" s="84"/>
      <c r="W139" s="102"/>
      <c r="X139" s="110"/>
      <c r="Y139" s="109"/>
      <c r="Z139" s="105"/>
      <c r="AA139" s="112"/>
      <c r="AB139" s="118"/>
      <c r="AC139" s="119"/>
      <c r="AD139" s="83"/>
      <c r="AE139" s="48"/>
      <c r="AF139" s="8" t="s">
        <v>4</v>
      </c>
      <c r="AG139" s="28" t="s">
        <v>73</v>
      </c>
      <c r="AH139" s="23" t="s">
        <v>74</v>
      </c>
      <c r="AI139" s="9" t="s">
        <v>76</v>
      </c>
      <c r="AJ139" s="10"/>
      <c r="AK139" s="9"/>
      <c r="AL139" s="10"/>
      <c r="AM139" s="22" t="s">
        <v>119</v>
      </c>
      <c r="AN139" s="29" t="s">
        <v>78</v>
      </c>
      <c r="AO139" s="29"/>
      <c r="AP139" s="37"/>
      <c r="AQ139" s="38"/>
      <c r="AR139" s="38"/>
      <c r="AS139" s="9">
        <v>0</v>
      </c>
      <c r="AT139" s="9">
        <v>0</v>
      </c>
      <c r="AU139" s="38"/>
      <c r="AV139" s="9"/>
    </row>
    <row r="140" spans="1:48" s="11" customFormat="1" ht="69.95" hidden="1" customHeight="1">
      <c r="A140" s="53" t="s">
        <v>120</v>
      </c>
      <c r="B140" s="57" t="s">
        <v>121</v>
      </c>
      <c r="C140" s="53" t="s">
        <v>68</v>
      </c>
      <c r="D140" s="53" t="e">
        <v>#N/A</v>
      </c>
      <c r="E140" s="53" t="s">
        <v>81</v>
      </c>
      <c r="F140" s="53" t="s">
        <v>81</v>
      </c>
      <c r="G140" s="53" t="s">
        <v>122</v>
      </c>
      <c r="H140" s="54">
        <v>8049999.9999999991</v>
      </c>
      <c r="I140" s="54" t="e">
        <v>#N/A</v>
      </c>
      <c r="J140" s="55">
        <v>8049999.9999999991</v>
      </c>
      <c r="K140" s="46" t="e">
        <v>#N/A</v>
      </c>
      <c r="L140" s="55" t="s">
        <v>73</v>
      </c>
      <c r="M140" s="68" t="s">
        <v>74</v>
      </c>
      <c r="N140" s="68"/>
      <c r="O140" s="80" t="s">
        <v>4</v>
      </c>
      <c r="P140" s="87" t="e">
        <v>#N/A</v>
      </c>
      <c r="Q140" s="88" t="e">
        <v>#N/A</v>
      </c>
      <c r="R140" s="84" t="e">
        <v>#N/A</v>
      </c>
      <c r="S140" s="92" t="e">
        <v>#N/A</v>
      </c>
      <c r="T140" s="98"/>
      <c r="U140" s="99"/>
      <c r="V140" s="84"/>
      <c r="W140" s="102"/>
      <c r="X140" s="110"/>
      <c r="Y140" s="109"/>
      <c r="Z140" s="105"/>
      <c r="AA140" s="112"/>
      <c r="AB140" s="118"/>
      <c r="AC140" s="119"/>
      <c r="AD140" s="83"/>
      <c r="AE140" s="48"/>
      <c r="AF140" s="8" t="s">
        <v>4</v>
      </c>
      <c r="AG140" s="28" t="s">
        <v>73</v>
      </c>
      <c r="AH140" s="23" t="s">
        <v>74</v>
      </c>
      <c r="AI140" s="9" t="s">
        <v>76</v>
      </c>
      <c r="AJ140" s="10"/>
      <c r="AK140" s="9"/>
      <c r="AL140" s="10"/>
      <c r="AM140" s="22" t="s">
        <v>123</v>
      </c>
      <c r="AN140" s="29" t="s">
        <v>78</v>
      </c>
      <c r="AO140" s="29"/>
      <c r="AP140" s="37"/>
      <c r="AQ140" s="38"/>
      <c r="AR140" s="38"/>
      <c r="AS140" s="9">
        <v>0</v>
      </c>
      <c r="AT140" s="9">
        <v>0</v>
      </c>
      <c r="AU140" s="38"/>
      <c r="AV140" s="9"/>
    </row>
    <row r="141" spans="1:48" s="11" customFormat="1" ht="69.95" hidden="1" customHeight="1">
      <c r="A141" s="53" t="s">
        <v>124</v>
      </c>
      <c r="B141" s="57" t="s">
        <v>125</v>
      </c>
      <c r="C141" s="53" t="s">
        <v>68</v>
      </c>
      <c r="D141" s="53" t="e">
        <v>#N/A</v>
      </c>
      <c r="E141" s="53" t="s">
        <v>81</v>
      </c>
      <c r="F141" s="53" t="s">
        <v>90</v>
      </c>
      <c r="G141" s="53" t="s">
        <v>94</v>
      </c>
      <c r="H141" s="54">
        <v>43700000</v>
      </c>
      <c r="I141" s="54" t="e">
        <v>#N/A</v>
      </c>
      <c r="J141" s="55">
        <v>43700000</v>
      </c>
      <c r="K141" s="46" t="e">
        <v>#N/A</v>
      </c>
      <c r="L141" s="55" t="s">
        <v>73</v>
      </c>
      <c r="M141" s="68" t="s">
        <v>74</v>
      </c>
      <c r="N141" s="68"/>
      <c r="O141" s="80" t="s">
        <v>4</v>
      </c>
      <c r="P141" s="87" t="e">
        <v>#N/A</v>
      </c>
      <c r="Q141" s="88" t="e">
        <v>#N/A</v>
      </c>
      <c r="R141" s="84" t="e">
        <v>#N/A</v>
      </c>
      <c r="S141" s="92" t="e">
        <v>#N/A</v>
      </c>
      <c r="T141" s="98"/>
      <c r="U141" s="99"/>
      <c r="V141" s="84"/>
      <c r="W141" s="102"/>
      <c r="X141" s="110"/>
      <c r="Y141" s="109"/>
      <c r="Z141" s="105"/>
      <c r="AA141" s="112"/>
      <c r="AB141" s="118"/>
      <c r="AC141" s="119"/>
      <c r="AD141" s="83"/>
      <c r="AE141" s="48"/>
      <c r="AF141" s="8" t="s">
        <v>4</v>
      </c>
      <c r="AG141" s="28" t="s">
        <v>73</v>
      </c>
      <c r="AH141" s="23" t="s">
        <v>74</v>
      </c>
      <c r="AI141" s="9" t="s">
        <v>76</v>
      </c>
      <c r="AJ141" s="10"/>
      <c r="AK141" s="9"/>
      <c r="AL141" s="10"/>
      <c r="AM141" s="22" t="s">
        <v>126</v>
      </c>
      <c r="AN141" s="29" t="s">
        <v>78</v>
      </c>
      <c r="AO141" s="29"/>
      <c r="AP141" s="37"/>
      <c r="AQ141" s="38"/>
      <c r="AR141" s="38"/>
      <c r="AS141" s="9">
        <v>0</v>
      </c>
      <c r="AT141" s="9">
        <v>0</v>
      </c>
      <c r="AU141" s="38"/>
      <c r="AV141" s="9"/>
    </row>
    <row r="142" spans="1:48" s="11" customFormat="1" ht="69.95" hidden="1" customHeight="1">
      <c r="A142" s="53" t="s">
        <v>127</v>
      </c>
      <c r="B142" s="57" t="s">
        <v>128</v>
      </c>
      <c r="C142" s="53" t="s">
        <v>68</v>
      </c>
      <c r="D142" s="53" t="e">
        <v>#N/A</v>
      </c>
      <c r="E142" s="53" t="s">
        <v>81</v>
      </c>
      <c r="F142" s="53" t="s">
        <v>90</v>
      </c>
      <c r="G142" s="53" t="s">
        <v>86</v>
      </c>
      <c r="H142" s="54">
        <v>40250000</v>
      </c>
      <c r="I142" s="54" t="e">
        <v>#N/A</v>
      </c>
      <c r="J142" s="55">
        <v>40250000</v>
      </c>
      <c r="K142" s="46" t="e">
        <v>#N/A</v>
      </c>
      <c r="L142" s="55" t="s">
        <v>73</v>
      </c>
      <c r="M142" s="68" t="s">
        <v>74</v>
      </c>
      <c r="N142" s="68"/>
      <c r="O142" s="80" t="s">
        <v>4</v>
      </c>
      <c r="P142" s="87" t="e">
        <v>#N/A</v>
      </c>
      <c r="Q142" s="88" t="e">
        <v>#N/A</v>
      </c>
      <c r="R142" s="84" t="e">
        <v>#N/A</v>
      </c>
      <c r="S142" s="92" t="e">
        <v>#N/A</v>
      </c>
      <c r="T142" s="98"/>
      <c r="U142" s="99"/>
      <c r="V142" s="84"/>
      <c r="W142" s="102"/>
      <c r="X142" s="110"/>
      <c r="Y142" s="109"/>
      <c r="Z142" s="105"/>
      <c r="AA142" s="112"/>
      <c r="AB142" s="118"/>
      <c r="AC142" s="119"/>
      <c r="AD142" s="83"/>
      <c r="AE142" s="48"/>
      <c r="AF142" s="8" t="s">
        <v>4</v>
      </c>
      <c r="AG142" s="28" t="s">
        <v>73</v>
      </c>
      <c r="AH142" s="23" t="s">
        <v>74</v>
      </c>
      <c r="AI142" s="9" t="s">
        <v>76</v>
      </c>
      <c r="AJ142" s="10"/>
      <c r="AK142" s="9"/>
      <c r="AL142" s="10"/>
      <c r="AM142" s="22" t="s">
        <v>126</v>
      </c>
      <c r="AN142" s="29" t="s">
        <v>78</v>
      </c>
      <c r="AO142" s="29"/>
      <c r="AP142" s="37"/>
      <c r="AQ142" s="38"/>
      <c r="AR142" s="38"/>
      <c r="AS142" s="9">
        <v>0</v>
      </c>
      <c r="AT142" s="9">
        <v>0</v>
      </c>
      <c r="AU142" s="38"/>
      <c r="AV142" s="9"/>
    </row>
    <row r="143" spans="1:48" s="11" customFormat="1" ht="69.95" hidden="1" customHeight="1">
      <c r="A143" s="53" t="s">
        <v>129</v>
      </c>
      <c r="B143" s="57" t="s">
        <v>130</v>
      </c>
      <c r="C143" s="53" t="s">
        <v>68</v>
      </c>
      <c r="D143" s="53" t="e">
        <v>#N/A</v>
      </c>
      <c r="E143" s="53" t="s">
        <v>81</v>
      </c>
      <c r="F143" s="53" t="s">
        <v>90</v>
      </c>
      <c r="G143" s="53" t="s">
        <v>94</v>
      </c>
      <c r="H143" s="54">
        <v>6724050</v>
      </c>
      <c r="I143" s="54" t="e">
        <v>#N/A</v>
      </c>
      <c r="J143" s="55">
        <v>6724050</v>
      </c>
      <c r="K143" s="46" t="e">
        <v>#N/A</v>
      </c>
      <c r="L143" s="55" t="s">
        <v>73</v>
      </c>
      <c r="M143" s="68" t="s">
        <v>74</v>
      </c>
      <c r="N143" s="68"/>
      <c r="O143" s="80" t="s">
        <v>4</v>
      </c>
      <c r="P143" s="87" t="e">
        <v>#N/A</v>
      </c>
      <c r="Q143" s="88" t="e">
        <v>#N/A</v>
      </c>
      <c r="R143" s="84" t="e">
        <v>#N/A</v>
      </c>
      <c r="S143" s="92" t="e">
        <v>#N/A</v>
      </c>
      <c r="T143" s="98"/>
      <c r="U143" s="99"/>
      <c r="V143" s="84"/>
      <c r="W143" s="102"/>
      <c r="X143" s="110"/>
      <c r="Y143" s="109"/>
      <c r="Z143" s="105"/>
      <c r="AA143" s="112"/>
      <c r="AB143" s="118"/>
      <c r="AC143" s="119"/>
      <c r="AD143" s="83"/>
      <c r="AE143" s="48"/>
      <c r="AF143" s="8" t="s">
        <v>4</v>
      </c>
      <c r="AG143" s="28" t="s">
        <v>73</v>
      </c>
      <c r="AH143" s="23" t="s">
        <v>74</v>
      </c>
      <c r="AI143" s="9" t="s">
        <v>76</v>
      </c>
      <c r="AJ143" s="10"/>
      <c r="AK143" s="9"/>
      <c r="AL143" s="10"/>
      <c r="AM143" s="22" t="s">
        <v>126</v>
      </c>
      <c r="AN143" s="29" t="s">
        <v>78</v>
      </c>
      <c r="AO143" s="29"/>
      <c r="AP143" s="37"/>
      <c r="AQ143" s="38"/>
      <c r="AR143" s="38"/>
      <c r="AS143" s="9">
        <v>0</v>
      </c>
      <c r="AT143" s="9">
        <v>0</v>
      </c>
      <c r="AU143" s="38"/>
      <c r="AV143" s="9"/>
    </row>
    <row r="144" spans="1:48" s="11" customFormat="1" ht="69.95" hidden="1" customHeight="1">
      <c r="A144" s="53" t="s">
        <v>131</v>
      </c>
      <c r="B144" s="57" t="s">
        <v>132</v>
      </c>
      <c r="C144" s="53" t="s">
        <v>68</v>
      </c>
      <c r="D144" s="53" t="e">
        <v>#N/A</v>
      </c>
      <c r="E144" s="53" t="s">
        <v>81</v>
      </c>
      <c r="F144" s="53" t="s">
        <v>90</v>
      </c>
      <c r="G144" s="53" t="s">
        <v>86</v>
      </c>
      <c r="H144" s="54">
        <v>17250000</v>
      </c>
      <c r="I144" s="54" t="e">
        <v>#N/A</v>
      </c>
      <c r="J144" s="55">
        <v>17250000</v>
      </c>
      <c r="K144" s="46" t="e">
        <v>#N/A</v>
      </c>
      <c r="L144" s="55" t="s">
        <v>73</v>
      </c>
      <c r="M144" s="68" t="s">
        <v>74</v>
      </c>
      <c r="N144" s="68"/>
      <c r="O144" s="80" t="s">
        <v>4</v>
      </c>
      <c r="P144" s="87" t="e">
        <v>#N/A</v>
      </c>
      <c r="Q144" s="88" t="e">
        <v>#N/A</v>
      </c>
      <c r="R144" s="84" t="e">
        <v>#N/A</v>
      </c>
      <c r="S144" s="92" t="e">
        <v>#N/A</v>
      </c>
      <c r="T144" s="98"/>
      <c r="U144" s="99"/>
      <c r="V144" s="84"/>
      <c r="W144" s="102"/>
      <c r="X144" s="110"/>
      <c r="Y144" s="109"/>
      <c r="Z144" s="105"/>
      <c r="AA144" s="112"/>
      <c r="AB144" s="118"/>
      <c r="AC144" s="119"/>
      <c r="AD144" s="83"/>
      <c r="AE144" s="48"/>
      <c r="AF144" s="8" t="s">
        <v>4</v>
      </c>
      <c r="AG144" s="28" t="s">
        <v>73</v>
      </c>
      <c r="AH144" s="23" t="s">
        <v>74</v>
      </c>
      <c r="AI144" s="9" t="s">
        <v>76</v>
      </c>
      <c r="AJ144" s="10"/>
      <c r="AK144" s="9"/>
      <c r="AL144" s="10"/>
      <c r="AM144" s="22" t="s">
        <v>126</v>
      </c>
      <c r="AN144" s="29" t="s">
        <v>78</v>
      </c>
      <c r="AO144" s="29"/>
      <c r="AP144" s="37"/>
      <c r="AQ144" s="38"/>
      <c r="AR144" s="38"/>
      <c r="AS144" s="9">
        <v>0</v>
      </c>
      <c r="AT144" s="9">
        <v>0</v>
      </c>
      <c r="AU144" s="38"/>
      <c r="AV144" s="9"/>
    </row>
    <row r="145" spans="1:48" s="11" customFormat="1" ht="69.95" hidden="1" customHeight="1">
      <c r="A145" s="53" t="s">
        <v>133</v>
      </c>
      <c r="B145" s="57" t="s">
        <v>134</v>
      </c>
      <c r="C145" s="53" t="s">
        <v>68</v>
      </c>
      <c r="D145" s="53" t="e">
        <v>#N/A</v>
      </c>
      <c r="E145" s="53" t="s">
        <v>81</v>
      </c>
      <c r="F145" s="53" t="s">
        <v>90</v>
      </c>
      <c r="G145" s="53" t="s">
        <v>86</v>
      </c>
      <c r="H145" s="54">
        <v>97749999.999999985</v>
      </c>
      <c r="I145" s="54" t="e">
        <v>#N/A</v>
      </c>
      <c r="J145" s="55">
        <v>97749999.999999985</v>
      </c>
      <c r="K145" s="46" t="e">
        <v>#N/A</v>
      </c>
      <c r="L145" s="55" t="s">
        <v>73</v>
      </c>
      <c r="M145" s="68" t="s">
        <v>74</v>
      </c>
      <c r="N145" s="68"/>
      <c r="O145" s="80" t="s">
        <v>4</v>
      </c>
      <c r="P145" s="87" t="e">
        <v>#N/A</v>
      </c>
      <c r="Q145" s="88" t="e">
        <v>#N/A</v>
      </c>
      <c r="R145" s="84" t="e">
        <v>#N/A</v>
      </c>
      <c r="S145" s="92" t="e">
        <v>#N/A</v>
      </c>
      <c r="T145" s="98"/>
      <c r="U145" s="99"/>
      <c r="V145" s="84"/>
      <c r="W145" s="102"/>
      <c r="X145" s="110"/>
      <c r="Y145" s="109"/>
      <c r="Z145" s="105"/>
      <c r="AA145" s="112"/>
      <c r="AB145" s="118"/>
      <c r="AC145" s="119"/>
      <c r="AD145" s="83"/>
      <c r="AE145" s="48"/>
      <c r="AF145" s="8" t="s">
        <v>4</v>
      </c>
      <c r="AG145" s="28" t="s">
        <v>73</v>
      </c>
      <c r="AH145" s="23" t="s">
        <v>74</v>
      </c>
      <c r="AI145" s="9" t="s">
        <v>76</v>
      </c>
      <c r="AJ145" s="10"/>
      <c r="AK145" s="9"/>
      <c r="AL145" s="10"/>
      <c r="AM145" s="22" t="s">
        <v>126</v>
      </c>
      <c r="AN145" s="29" t="s">
        <v>78</v>
      </c>
      <c r="AO145" s="29"/>
      <c r="AP145" s="37"/>
      <c r="AQ145" s="38"/>
      <c r="AR145" s="38"/>
      <c r="AS145" s="9">
        <v>0</v>
      </c>
      <c r="AT145" s="9">
        <v>0</v>
      </c>
      <c r="AU145" s="38"/>
      <c r="AV145" s="9"/>
    </row>
    <row r="146" spans="1:48" s="11" customFormat="1" ht="69.95" hidden="1" customHeight="1">
      <c r="A146" s="53" t="s">
        <v>413</v>
      </c>
      <c r="B146" s="57" t="s">
        <v>414</v>
      </c>
      <c r="C146" s="53" t="s">
        <v>68</v>
      </c>
      <c r="D146" s="53" t="e">
        <v>#N/A</v>
      </c>
      <c r="E146" s="53" t="s">
        <v>395</v>
      </c>
      <c r="F146" s="53" t="s">
        <v>415</v>
      </c>
      <c r="G146" s="53" t="s">
        <v>94</v>
      </c>
      <c r="H146" s="54">
        <v>10560120.525</v>
      </c>
      <c r="I146" s="54" t="e">
        <v>#N/A</v>
      </c>
      <c r="J146" s="55">
        <v>10560120.525</v>
      </c>
      <c r="K146" s="46" t="e">
        <v>#N/A</v>
      </c>
      <c r="L146" s="55" t="s">
        <v>73</v>
      </c>
      <c r="M146" s="68" t="s">
        <v>74</v>
      </c>
      <c r="N146" s="68"/>
      <c r="O146" s="80" t="s">
        <v>4</v>
      </c>
      <c r="P146" s="87" t="e">
        <v>#N/A</v>
      </c>
      <c r="Q146" s="88" t="e">
        <v>#N/A</v>
      </c>
      <c r="R146" s="84" t="e">
        <v>#N/A</v>
      </c>
      <c r="S146" s="92" t="e">
        <v>#N/A</v>
      </c>
      <c r="T146" s="98"/>
      <c r="U146" s="99"/>
      <c r="V146" s="84"/>
      <c r="W146" s="102"/>
      <c r="X146" s="110"/>
      <c r="Y146" s="109"/>
      <c r="Z146" s="105"/>
      <c r="AA146" s="112"/>
      <c r="AB146" s="118"/>
      <c r="AC146" s="119"/>
      <c r="AD146" s="83"/>
      <c r="AE146" s="48"/>
      <c r="AF146" s="8" t="s">
        <v>4</v>
      </c>
      <c r="AG146" s="28" t="s">
        <v>73</v>
      </c>
      <c r="AH146" s="23" t="s">
        <v>74</v>
      </c>
      <c r="AI146" s="9" t="s">
        <v>76</v>
      </c>
      <c r="AJ146" s="10"/>
      <c r="AK146" s="9"/>
      <c r="AL146" s="10"/>
      <c r="AM146" s="22" t="s">
        <v>126</v>
      </c>
      <c r="AN146" s="29" t="s">
        <v>78</v>
      </c>
      <c r="AO146" s="29"/>
      <c r="AP146" s="37"/>
      <c r="AQ146" s="38"/>
      <c r="AR146" s="38"/>
      <c r="AS146" s="9">
        <v>0</v>
      </c>
      <c r="AT146" s="9">
        <v>0</v>
      </c>
      <c r="AU146" s="38"/>
      <c r="AV146" s="9"/>
    </row>
    <row r="147" spans="1:48" s="11" customFormat="1" ht="69.95" hidden="1" customHeight="1">
      <c r="A147" s="53" t="s">
        <v>416</v>
      </c>
      <c r="B147" s="57" t="s">
        <v>417</v>
      </c>
      <c r="C147" s="53" t="s">
        <v>68</v>
      </c>
      <c r="D147" s="53" t="e">
        <v>#N/A</v>
      </c>
      <c r="E147" s="53" t="s">
        <v>395</v>
      </c>
      <c r="F147" s="53" t="s">
        <v>415</v>
      </c>
      <c r="G147" s="53" t="s">
        <v>86</v>
      </c>
      <c r="H147" s="54">
        <v>202802499.99999997</v>
      </c>
      <c r="I147" s="54" t="e">
        <v>#N/A</v>
      </c>
      <c r="J147" s="55">
        <v>202802499.99999997</v>
      </c>
      <c r="K147" s="46" t="e">
        <v>#N/A</v>
      </c>
      <c r="L147" s="55" t="s">
        <v>73</v>
      </c>
      <c r="M147" s="68" t="s">
        <v>74</v>
      </c>
      <c r="N147" s="68"/>
      <c r="O147" s="80" t="s">
        <v>4</v>
      </c>
      <c r="P147" s="87" t="e">
        <v>#N/A</v>
      </c>
      <c r="Q147" s="88" t="e">
        <v>#N/A</v>
      </c>
      <c r="R147" s="84" t="e">
        <v>#N/A</v>
      </c>
      <c r="S147" s="92" t="e">
        <v>#N/A</v>
      </c>
      <c r="T147" s="98"/>
      <c r="U147" s="99"/>
      <c r="V147" s="84"/>
      <c r="W147" s="102"/>
      <c r="X147" s="110"/>
      <c r="Y147" s="109"/>
      <c r="Z147" s="105"/>
      <c r="AA147" s="112"/>
      <c r="AB147" s="118"/>
      <c r="AC147" s="119"/>
      <c r="AD147" s="83"/>
      <c r="AE147" s="48"/>
      <c r="AF147" s="8" t="s">
        <v>4</v>
      </c>
      <c r="AG147" s="28" t="s">
        <v>73</v>
      </c>
      <c r="AH147" s="23" t="s">
        <v>74</v>
      </c>
      <c r="AI147" s="9" t="s">
        <v>76</v>
      </c>
      <c r="AJ147" s="10"/>
      <c r="AK147" s="9"/>
      <c r="AL147" s="10"/>
      <c r="AM147" s="22" t="s">
        <v>99</v>
      </c>
      <c r="AN147" s="29" t="s">
        <v>78</v>
      </c>
      <c r="AO147" s="29"/>
      <c r="AP147" s="37"/>
      <c r="AQ147" s="38"/>
      <c r="AR147" s="38"/>
      <c r="AS147" s="9">
        <v>0</v>
      </c>
      <c r="AT147" s="9">
        <v>0</v>
      </c>
      <c r="AU147" s="38"/>
      <c r="AV147" s="9"/>
    </row>
    <row r="148" spans="1:48" s="11" customFormat="1" ht="69.95" hidden="1" customHeight="1">
      <c r="A148" s="53" t="s">
        <v>418</v>
      </c>
      <c r="B148" s="57" t="s">
        <v>419</v>
      </c>
      <c r="C148" s="53" t="s">
        <v>68</v>
      </c>
      <c r="D148" s="53" t="e">
        <v>#N/A</v>
      </c>
      <c r="E148" s="53" t="s">
        <v>395</v>
      </c>
      <c r="F148" s="53" t="s">
        <v>415</v>
      </c>
      <c r="G148" s="53" t="s">
        <v>86</v>
      </c>
      <c r="H148" s="54">
        <v>14719999.999999998</v>
      </c>
      <c r="I148" s="54" t="e">
        <v>#N/A</v>
      </c>
      <c r="J148" s="55">
        <v>14719999.999999998</v>
      </c>
      <c r="K148" s="46" t="e">
        <v>#N/A</v>
      </c>
      <c r="L148" s="55" t="s">
        <v>73</v>
      </c>
      <c r="M148" s="68" t="s">
        <v>74</v>
      </c>
      <c r="N148" s="68"/>
      <c r="O148" s="80" t="s">
        <v>4</v>
      </c>
      <c r="P148" s="87" t="e">
        <v>#N/A</v>
      </c>
      <c r="Q148" s="88" t="e">
        <v>#N/A</v>
      </c>
      <c r="R148" s="84" t="e">
        <v>#N/A</v>
      </c>
      <c r="S148" s="92" t="e">
        <v>#N/A</v>
      </c>
      <c r="T148" s="98"/>
      <c r="U148" s="99"/>
      <c r="V148" s="84"/>
      <c r="W148" s="102"/>
      <c r="X148" s="110"/>
      <c r="Y148" s="109"/>
      <c r="Z148" s="105"/>
      <c r="AA148" s="112"/>
      <c r="AB148" s="118"/>
      <c r="AC148" s="119"/>
      <c r="AD148" s="83"/>
      <c r="AE148" s="48"/>
      <c r="AF148" s="8" t="s">
        <v>4</v>
      </c>
      <c r="AG148" s="28" t="s">
        <v>73</v>
      </c>
      <c r="AH148" s="23" t="s">
        <v>74</v>
      </c>
      <c r="AI148" s="9" t="s">
        <v>76</v>
      </c>
      <c r="AJ148" s="10"/>
      <c r="AK148" s="9"/>
      <c r="AL148" s="10"/>
      <c r="AM148" s="22" t="s">
        <v>99</v>
      </c>
      <c r="AN148" s="29" t="s">
        <v>78</v>
      </c>
      <c r="AO148" s="29"/>
      <c r="AP148" s="37"/>
      <c r="AQ148" s="38"/>
      <c r="AR148" s="38"/>
      <c r="AS148" s="9">
        <v>0</v>
      </c>
      <c r="AT148" s="9">
        <v>0</v>
      </c>
      <c r="AU148" s="38"/>
      <c r="AV148" s="9"/>
    </row>
    <row r="149" spans="1:48" s="11" customFormat="1" ht="69.95" hidden="1" customHeight="1">
      <c r="A149" s="53" t="s">
        <v>420</v>
      </c>
      <c r="B149" s="57" t="s">
        <v>421</v>
      </c>
      <c r="C149" s="53" t="s">
        <v>68</v>
      </c>
      <c r="D149" s="53" t="e">
        <v>#N/A</v>
      </c>
      <c r="E149" s="53" t="s">
        <v>395</v>
      </c>
      <c r="F149" s="53" t="s">
        <v>415</v>
      </c>
      <c r="G149" s="53" t="s">
        <v>86</v>
      </c>
      <c r="H149" s="54">
        <v>78200000</v>
      </c>
      <c r="I149" s="54" t="e">
        <v>#N/A</v>
      </c>
      <c r="J149" s="55">
        <v>78200000</v>
      </c>
      <c r="K149" s="46" t="e">
        <v>#N/A</v>
      </c>
      <c r="L149" s="55" t="s">
        <v>73</v>
      </c>
      <c r="M149" s="68" t="s">
        <v>74</v>
      </c>
      <c r="N149" s="68"/>
      <c r="O149" s="80" t="s">
        <v>4</v>
      </c>
      <c r="P149" s="87" t="e">
        <v>#N/A</v>
      </c>
      <c r="Q149" s="88" t="e">
        <v>#N/A</v>
      </c>
      <c r="R149" s="84" t="e">
        <v>#N/A</v>
      </c>
      <c r="S149" s="92" t="e">
        <v>#N/A</v>
      </c>
      <c r="T149" s="98"/>
      <c r="U149" s="99"/>
      <c r="V149" s="84"/>
      <c r="W149" s="102"/>
      <c r="X149" s="110"/>
      <c r="Y149" s="109"/>
      <c r="Z149" s="105"/>
      <c r="AA149" s="112"/>
      <c r="AB149" s="118"/>
      <c r="AC149" s="119"/>
      <c r="AD149" s="83"/>
      <c r="AE149" s="48"/>
      <c r="AF149" s="8" t="s">
        <v>4</v>
      </c>
      <c r="AG149" s="28" t="s">
        <v>73</v>
      </c>
      <c r="AH149" s="23" t="s">
        <v>74</v>
      </c>
      <c r="AI149" s="9" t="s">
        <v>76</v>
      </c>
      <c r="AJ149" s="10"/>
      <c r="AK149" s="9"/>
      <c r="AL149" s="10"/>
      <c r="AM149" s="22" t="s">
        <v>99</v>
      </c>
      <c r="AN149" s="29" t="s">
        <v>78</v>
      </c>
      <c r="AO149" s="29"/>
      <c r="AP149" s="37"/>
      <c r="AQ149" s="38"/>
      <c r="AR149" s="38"/>
      <c r="AS149" s="9">
        <v>0</v>
      </c>
      <c r="AT149" s="9">
        <v>0</v>
      </c>
      <c r="AU149" s="38"/>
      <c r="AV149" s="9"/>
    </row>
    <row r="150" spans="1:48" s="11" customFormat="1" ht="69.95" hidden="1" customHeight="1">
      <c r="A150" s="53" t="s">
        <v>422</v>
      </c>
      <c r="B150" s="57" t="s">
        <v>423</v>
      </c>
      <c r="C150" s="53" t="s">
        <v>68</v>
      </c>
      <c r="D150" s="53" t="e">
        <v>#N/A</v>
      </c>
      <c r="E150" s="53" t="s">
        <v>395</v>
      </c>
      <c r="F150" s="53" t="s">
        <v>424</v>
      </c>
      <c r="G150" s="53" t="s">
        <v>86</v>
      </c>
      <c r="H150" s="54">
        <v>51749999.999999993</v>
      </c>
      <c r="I150" s="54" t="e">
        <v>#N/A</v>
      </c>
      <c r="J150" s="55">
        <v>51749999.999999993</v>
      </c>
      <c r="K150" s="46" t="e">
        <v>#N/A</v>
      </c>
      <c r="L150" s="55" t="s">
        <v>73</v>
      </c>
      <c r="M150" s="68" t="s">
        <v>74</v>
      </c>
      <c r="N150" s="68"/>
      <c r="O150" s="80" t="s">
        <v>4</v>
      </c>
      <c r="P150" s="87" t="e">
        <v>#N/A</v>
      </c>
      <c r="Q150" s="88" t="e">
        <v>#N/A</v>
      </c>
      <c r="R150" s="84" t="e">
        <v>#N/A</v>
      </c>
      <c r="S150" s="92" t="e">
        <v>#N/A</v>
      </c>
      <c r="T150" s="98"/>
      <c r="U150" s="99"/>
      <c r="V150" s="84"/>
      <c r="W150" s="102"/>
      <c r="X150" s="110"/>
      <c r="Y150" s="109"/>
      <c r="Z150" s="105"/>
      <c r="AA150" s="112"/>
      <c r="AB150" s="118"/>
      <c r="AC150" s="119"/>
      <c r="AD150" s="83"/>
      <c r="AE150" s="48"/>
      <c r="AF150" s="8" t="s">
        <v>4</v>
      </c>
      <c r="AG150" s="28" t="s">
        <v>73</v>
      </c>
      <c r="AH150" s="23" t="s">
        <v>74</v>
      </c>
      <c r="AI150" s="9" t="s">
        <v>76</v>
      </c>
      <c r="AJ150" s="10"/>
      <c r="AK150" s="9"/>
      <c r="AL150" s="10"/>
      <c r="AM150" s="22" t="s">
        <v>126</v>
      </c>
      <c r="AN150" s="29" t="s">
        <v>78</v>
      </c>
      <c r="AO150" s="29"/>
      <c r="AP150" s="37"/>
      <c r="AQ150" s="38"/>
      <c r="AR150" s="38"/>
      <c r="AS150" s="9">
        <v>0</v>
      </c>
      <c r="AT150" s="9">
        <v>0</v>
      </c>
      <c r="AU150" s="38"/>
      <c r="AV150" s="9"/>
    </row>
    <row r="151" spans="1:48" s="11" customFormat="1" ht="69.95" hidden="1" customHeight="1">
      <c r="A151" s="53" t="s">
        <v>425</v>
      </c>
      <c r="B151" s="57" t="s">
        <v>426</v>
      </c>
      <c r="C151" s="53" t="s">
        <v>68</v>
      </c>
      <c r="D151" s="53" t="e">
        <v>#N/A</v>
      </c>
      <c r="E151" s="53" t="s">
        <v>395</v>
      </c>
      <c r="F151" s="53" t="s">
        <v>424</v>
      </c>
      <c r="G151" s="53" t="s">
        <v>94</v>
      </c>
      <c r="H151" s="54">
        <v>4527527</v>
      </c>
      <c r="I151" s="54" t="e">
        <v>#N/A</v>
      </c>
      <c r="J151" s="55">
        <v>4527527</v>
      </c>
      <c r="K151" s="46" t="e">
        <v>#N/A</v>
      </c>
      <c r="L151" s="55" t="s">
        <v>73</v>
      </c>
      <c r="M151" s="68" t="s">
        <v>74</v>
      </c>
      <c r="N151" s="68"/>
      <c r="O151" s="80" t="s">
        <v>4</v>
      </c>
      <c r="P151" s="87" t="e">
        <v>#N/A</v>
      </c>
      <c r="Q151" s="88" t="e">
        <v>#N/A</v>
      </c>
      <c r="R151" s="84" t="e">
        <v>#N/A</v>
      </c>
      <c r="S151" s="92" t="e">
        <v>#N/A</v>
      </c>
      <c r="T151" s="98"/>
      <c r="U151" s="99"/>
      <c r="V151" s="84"/>
      <c r="W151" s="102"/>
      <c r="X151" s="110"/>
      <c r="Y151" s="109"/>
      <c r="Z151" s="105"/>
      <c r="AA151" s="112"/>
      <c r="AB151" s="118"/>
      <c r="AC151" s="119"/>
      <c r="AD151" s="83"/>
      <c r="AE151" s="48"/>
      <c r="AF151" s="8" t="s">
        <v>4</v>
      </c>
      <c r="AG151" s="28" t="s">
        <v>73</v>
      </c>
      <c r="AH151" s="23" t="s">
        <v>74</v>
      </c>
      <c r="AI151" s="9" t="s">
        <v>76</v>
      </c>
      <c r="AJ151" s="10"/>
      <c r="AK151" s="9"/>
      <c r="AL151" s="10"/>
      <c r="AM151" s="22" t="s">
        <v>126</v>
      </c>
      <c r="AN151" s="29" t="s">
        <v>78</v>
      </c>
      <c r="AO151" s="29"/>
      <c r="AP151" s="37"/>
      <c r="AQ151" s="38"/>
      <c r="AR151" s="38"/>
      <c r="AS151" s="9">
        <v>0</v>
      </c>
      <c r="AT151" s="9">
        <v>0</v>
      </c>
      <c r="AU151" s="38"/>
      <c r="AV151" s="9"/>
    </row>
    <row r="152" spans="1:48" s="11" customFormat="1" ht="69.95" hidden="1" customHeight="1">
      <c r="A152" s="53" t="s">
        <v>427</v>
      </c>
      <c r="B152" s="57" t="s">
        <v>428</v>
      </c>
      <c r="C152" s="53" t="s">
        <v>68</v>
      </c>
      <c r="D152" s="53" t="e">
        <v>#N/A</v>
      </c>
      <c r="E152" s="53" t="s">
        <v>395</v>
      </c>
      <c r="F152" s="53" t="s">
        <v>395</v>
      </c>
      <c r="G152" s="58" t="s">
        <v>71</v>
      </c>
      <c r="H152" s="54">
        <v>15524999.999999998</v>
      </c>
      <c r="I152" s="54" t="e">
        <v>#N/A</v>
      </c>
      <c r="J152" s="55">
        <v>15524999.999999998</v>
      </c>
      <c r="K152" s="46" t="e">
        <v>#N/A</v>
      </c>
      <c r="L152" s="55" t="s">
        <v>73</v>
      </c>
      <c r="M152" s="68" t="s">
        <v>74</v>
      </c>
      <c r="N152" s="68"/>
      <c r="O152" s="80" t="s">
        <v>4</v>
      </c>
      <c r="P152" s="87" t="e">
        <v>#N/A</v>
      </c>
      <c r="Q152" s="88" t="e">
        <v>#N/A</v>
      </c>
      <c r="R152" s="84" t="e">
        <v>#N/A</v>
      </c>
      <c r="S152" s="92" t="e">
        <v>#N/A</v>
      </c>
      <c r="T152" s="98"/>
      <c r="U152" s="99"/>
      <c r="V152" s="84"/>
      <c r="W152" s="102"/>
      <c r="X152" s="110"/>
      <c r="Y152" s="109"/>
      <c r="Z152" s="105"/>
      <c r="AA152" s="112"/>
      <c r="AB152" s="118"/>
      <c r="AC152" s="119"/>
      <c r="AD152" s="83"/>
      <c r="AE152" s="48"/>
      <c r="AF152" s="8" t="s">
        <v>4</v>
      </c>
      <c r="AG152" s="28" t="s">
        <v>73</v>
      </c>
      <c r="AH152" s="23" t="s">
        <v>74</v>
      </c>
      <c r="AI152" s="9" t="s">
        <v>76</v>
      </c>
      <c r="AJ152" s="10"/>
      <c r="AK152" s="9"/>
      <c r="AL152" s="10"/>
      <c r="AM152" s="22" t="s">
        <v>119</v>
      </c>
      <c r="AN152" s="29" t="s">
        <v>78</v>
      </c>
      <c r="AO152" s="29"/>
      <c r="AP152" s="37"/>
      <c r="AQ152" s="38"/>
      <c r="AR152" s="38"/>
      <c r="AS152" s="9">
        <v>0</v>
      </c>
      <c r="AT152" s="9">
        <v>0</v>
      </c>
      <c r="AU152" s="38"/>
      <c r="AV152" s="9"/>
    </row>
    <row r="153" spans="1:48" s="11" customFormat="1" ht="69.95" hidden="1" customHeight="1">
      <c r="A153" s="53" t="s">
        <v>429</v>
      </c>
      <c r="B153" s="57" t="s">
        <v>430</v>
      </c>
      <c r="C153" s="53" t="s">
        <v>68</v>
      </c>
      <c r="D153" s="53" t="e">
        <v>#N/A</v>
      </c>
      <c r="E153" s="53" t="s">
        <v>395</v>
      </c>
      <c r="F153" s="53" t="s">
        <v>431</v>
      </c>
      <c r="G153" s="53" t="s">
        <v>86</v>
      </c>
      <c r="H153" s="54">
        <v>59799999.999999993</v>
      </c>
      <c r="I153" s="54" t="e">
        <v>#N/A</v>
      </c>
      <c r="J153" s="55">
        <v>59799999.999999993</v>
      </c>
      <c r="K153" s="46" t="e">
        <v>#N/A</v>
      </c>
      <c r="L153" s="55" t="s">
        <v>73</v>
      </c>
      <c r="M153" s="68" t="s">
        <v>74</v>
      </c>
      <c r="N153" s="68"/>
      <c r="O153" s="80" t="s">
        <v>4</v>
      </c>
      <c r="P153" s="87" t="e">
        <v>#N/A</v>
      </c>
      <c r="Q153" s="88" t="e">
        <v>#N/A</v>
      </c>
      <c r="R153" s="84" t="e">
        <v>#N/A</v>
      </c>
      <c r="S153" s="92" t="e">
        <v>#N/A</v>
      </c>
      <c r="T153" s="98"/>
      <c r="U153" s="99"/>
      <c r="V153" s="84"/>
      <c r="W153" s="102"/>
      <c r="X153" s="110"/>
      <c r="Y153" s="109"/>
      <c r="Z153" s="105"/>
      <c r="AA153" s="112"/>
      <c r="AB153" s="118"/>
      <c r="AC153" s="119"/>
      <c r="AD153" s="83"/>
      <c r="AE153" s="48"/>
      <c r="AF153" s="8" t="s">
        <v>4</v>
      </c>
      <c r="AG153" s="28" t="s">
        <v>73</v>
      </c>
      <c r="AH153" s="23" t="s">
        <v>74</v>
      </c>
      <c r="AI153" s="9" t="s">
        <v>76</v>
      </c>
      <c r="AJ153" s="10"/>
      <c r="AK153" s="9"/>
      <c r="AL153" s="10"/>
      <c r="AM153" s="22" t="s">
        <v>126</v>
      </c>
      <c r="AN153" s="29" t="s">
        <v>78</v>
      </c>
      <c r="AO153" s="29"/>
      <c r="AP153" s="37"/>
      <c r="AQ153" s="38"/>
      <c r="AR153" s="38"/>
      <c r="AS153" s="9">
        <v>0</v>
      </c>
      <c r="AT153" s="9">
        <v>0</v>
      </c>
      <c r="AU153" s="38"/>
      <c r="AV153" s="9"/>
    </row>
    <row r="154" spans="1:48" s="11" customFormat="1" ht="69.95" hidden="1" customHeight="1">
      <c r="A154" s="53" t="s">
        <v>432</v>
      </c>
      <c r="B154" s="57" t="s">
        <v>433</v>
      </c>
      <c r="C154" s="53" t="s">
        <v>68</v>
      </c>
      <c r="D154" s="53" t="e">
        <v>#N/A</v>
      </c>
      <c r="E154" s="53" t="s">
        <v>395</v>
      </c>
      <c r="F154" s="53" t="s">
        <v>431</v>
      </c>
      <c r="G154" s="53" t="s">
        <v>86</v>
      </c>
      <c r="H154" s="54">
        <v>12649999.999999998</v>
      </c>
      <c r="I154" s="54" t="e">
        <v>#N/A</v>
      </c>
      <c r="J154" s="55">
        <v>12649999.999999998</v>
      </c>
      <c r="K154" s="46" t="e">
        <v>#N/A</v>
      </c>
      <c r="L154" s="55" t="s">
        <v>73</v>
      </c>
      <c r="M154" s="68" t="s">
        <v>74</v>
      </c>
      <c r="N154" s="68"/>
      <c r="O154" s="80" t="s">
        <v>4</v>
      </c>
      <c r="P154" s="87" t="e">
        <v>#N/A</v>
      </c>
      <c r="Q154" s="88" t="e">
        <v>#N/A</v>
      </c>
      <c r="R154" s="84" t="e">
        <v>#N/A</v>
      </c>
      <c r="S154" s="92" t="e">
        <v>#N/A</v>
      </c>
      <c r="T154" s="98"/>
      <c r="U154" s="99"/>
      <c r="V154" s="84"/>
      <c r="W154" s="102"/>
      <c r="X154" s="110"/>
      <c r="Y154" s="109"/>
      <c r="Z154" s="105"/>
      <c r="AA154" s="112"/>
      <c r="AB154" s="118"/>
      <c r="AC154" s="119"/>
      <c r="AD154" s="83"/>
      <c r="AE154" s="48"/>
      <c r="AF154" s="8" t="s">
        <v>4</v>
      </c>
      <c r="AG154" s="28" t="s">
        <v>73</v>
      </c>
      <c r="AH154" s="23" t="s">
        <v>74</v>
      </c>
      <c r="AI154" s="9" t="s">
        <v>76</v>
      </c>
      <c r="AJ154" s="10"/>
      <c r="AK154" s="9"/>
      <c r="AL154" s="10"/>
      <c r="AM154" s="22" t="s">
        <v>434</v>
      </c>
      <c r="AN154" s="29" t="s">
        <v>78</v>
      </c>
      <c r="AO154" s="29"/>
      <c r="AP154" s="37"/>
      <c r="AQ154" s="38"/>
      <c r="AR154" s="38"/>
      <c r="AS154" s="9">
        <v>0</v>
      </c>
      <c r="AT154" s="9">
        <v>0</v>
      </c>
      <c r="AU154" s="38"/>
      <c r="AV154" s="9"/>
    </row>
    <row r="155" spans="1:48" ht="79.5" hidden="1" customHeight="1" thickBot="1">
      <c r="A155" s="53" t="s">
        <v>148</v>
      </c>
      <c r="B155" s="57" t="s">
        <v>149</v>
      </c>
      <c r="C155" s="53" t="s">
        <v>68</v>
      </c>
      <c r="D155" s="53" t="s">
        <v>150</v>
      </c>
      <c r="E155" s="53" t="s">
        <v>81</v>
      </c>
      <c r="F155" s="53" t="s">
        <v>81</v>
      </c>
      <c r="G155" s="53" t="s">
        <v>94</v>
      </c>
      <c r="H155" s="54">
        <v>59799999.999999993</v>
      </c>
      <c r="I155" s="54" t="s">
        <v>151</v>
      </c>
      <c r="J155" s="55">
        <v>59799999.999999993</v>
      </c>
      <c r="K155" s="43" t="s">
        <v>72</v>
      </c>
      <c r="L155" s="55" t="s">
        <v>152</v>
      </c>
      <c r="M155" s="45" t="s">
        <v>142</v>
      </c>
      <c r="N155" s="76" t="s">
        <v>75</v>
      </c>
      <c r="O155" s="77" t="s">
        <v>6</v>
      </c>
      <c r="P155" s="135">
        <v>45109</v>
      </c>
      <c r="Q155" s="136">
        <v>45139</v>
      </c>
      <c r="R155" s="130">
        <v>45139</v>
      </c>
      <c r="S155" s="131">
        <v>45169</v>
      </c>
      <c r="T155" s="135">
        <v>45169</v>
      </c>
      <c r="U155" s="136">
        <v>45312</v>
      </c>
      <c r="V155" s="130">
        <v>45386</v>
      </c>
      <c r="W155" s="134">
        <v>46006</v>
      </c>
      <c r="X155" s="127"/>
      <c r="Y155" s="128"/>
      <c r="Z155" s="104"/>
      <c r="AA155" s="111"/>
      <c r="AB155" s="120"/>
      <c r="AC155" s="121"/>
      <c r="AD155" s="114"/>
      <c r="AE155" s="47"/>
      <c r="AF155" s="8" t="s">
        <v>6</v>
      </c>
      <c r="AG155" s="28" t="s">
        <v>152</v>
      </c>
      <c r="AH155" s="31" t="s">
        <v>144</v>
      </c>
      <c r="AI155" s="9" t="s">
        <v>76</v>
      </c>
      <c r="AJ155" s="10"/>
      <c r="AK155" s="9"/>
      <c r="AL155" s="10"/>
      <c r="AM155" s="16" t="s">
        <v>153</v>
      </c>
      <c r="AN155" s="29" t="s">
        <v>78</v>
      </c>
      <c r="AO155" s="28" t="s">
        <v>147</v>
      </c>
      <c r="AP155" s="37"/>
      <c r="AQ155" s="38"/>
      <c r="AR155" s="38"/>
      <c r="AS155" s="9"/>
      <c r="AT155" s="9"/>
      <c r="AU155" s="38"/>
      <c r="AV155" s="9"/>
    </row>
    <row r="157" spans="1:48">
      <c r="A157" s="64"/>
      <c r="C157" s="65"/>
    </row>
    <row r="158" spans="1:48">
      <c r="A158" s="64"/>
      <c r="C158" s="66"/>
    </row>
    <row r="159" spans="1:48">
      <c r="A159" s="64"/>
      <c r="C159" s="66"/>
    </row>
    <row r="160" spans="1:48">
      <c r="A160" s="64"/>
      <c r="C160" s="66"/>
    </row>
    <row r="161" spans="1:3">
      <c r="A161" s="64"/>
      <c r="C161" s="66"/>
    </row>
    <row r="162" spans="1:3">
      <c r="A162" s="64"/>
      <c r="C162" s="66"/>
    </row>
    <row r="163" spans="1:3" ht="24.6">
      <c r="A163" s="63"/>
      <c r="C163" s="66"/>
    </row>
    <row r="164" spans="1:3" ht="24.6">
      <c r="A164" s="63"/>
      <c r="C164" s="66"/>
    </row>
    <row r="165" spans="1:3" ht="24.6">
      <c r="A165" s="63"/>
      <c r="C165" s="66"/>
    </row>
    <row r="166" spans="1:3" ht="24.6">
      <c r="A166" s="67"/>
      <c r="C166" s="66"/>
    </row>
  </sheetData>
  <sheetProtection formatCells="0" formatColumns="0" formatRows="0" selectLockedCells="1" sort="0" autoFilter="0" pivotTables="0"/>
  <mergeCells count="13">
    <mergeCell ref="P3:Q3"/>
    <mergeCell ref="R3:S3"/>
    <mergeCell ref="T3:U3"/>
    <mergeCell ref="P4:Q4"/>
    <mergeCell ref="R4:S4"/>
    <mergeCell ref="T4:U4"/>
    <mergeCell ref="AP4:AV4"/>
    <mergeCell ref="V4:W4"/>
    <mergeCell ref="X4:Y4"/>
    <mergeCell ref="Z4:AA4"/>
    <mergeCell ref="AB4:AC4"/>
    <mergeCell ref="AD4:AE4"/>
    <mergeCell ref="AI4:AL4"/>
  </mergeCells>
  <conditionalFormatting sqref="A1:A1048576">
    <cfRule type="duplicateValues" dxfId="107" priority="1"/>
  </conditionalFormatting>
  <conditionalFormatting sqref="A6:A156">
    <cfRule type="duplicateValues" dxfId="106" priority="13"/>
  </conditionalFormatting>
  <conditionalFormatting sqref="A6:A166">
    <cfRule type="duplicateValues" dxfId="105" priority="2"/>
  </conditionalFormatting>
  <conditionalFormatting sqref="A157">
    <cfRule type="duplicateValues" dxfId="104" priority="4"/>
  </conditionalFormatting>
  <conditionalFormatting sqref="A158:A159">
    <cfRule type="duplicateValues" dxfId="103" priority="3"/>
  </conditionalFormatting>
  <conditionalFormatting sqref="A160:A161">
    <cfRule type="duplicateValues" dxfId="102" priority="5"/>
  </conditionalFormatting>
  <conditionalFormatting sqref="A162">
    <cfRule type="duplicateValues" dxfId="101" priority="6"/>
  </conditionalFormatting>
  <conditionalFormatting sqref="A163:A165">
    <cfRule type="duplicateValues" dxfId="100" priority="10"/>
    <cfRule type="duplicateValues" dxfId="99" priority="11"/>
    <cfRule type="duplicateValues" dxfId="98" priority="12"/>
  </conditionalFormatting>
  <conditionalFormatting sqref="A166">
    <cfRule type="duplicateValues" dxfId="97" priority="7"/>
    <cfRule type="duplicateValues" dxfId="96" priority="8"/>
    <cfRule type="duplicateValues" dxfId="95" priority="9"/>
  </conditionalFormatting>
  <pageMargins left="0.23622047244094491" right="0.23622047244094491" top="0.74803149606299213" bottom="0.74803149606299213" header="0.31496062992125984" footer="0.31496062992125984"/>
  <pageSetup paperSize="8" scale="1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193ffdd-5c62-4ddf-9ee5-b92687be29ae">
      <Terms xmlns="http://schemas.microsoft.com/office/infopath/2007/PartnerControls"/>
    </lcf76f155ced4ddcb4097134ff3c332f>
    <TaxCatchAll xmlns="c54453c8-bd35-456c-9a88-87d3ce26189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410BBE243EFD14E9A9BE630A9F2D4F1" ma:contentTypeVersion="16" ma:contentTypeDescription="Create a new document." ma:contentTypeScope="" ma:versionID="6d8f73e61f17c85bc31959341e78d926">
  <xsd:schema xmlns:xsd="http://www.w3.org/2001/XMLSchema" xmlns:xs="http://www.w3.org/2001/XMLSchema" xmlns:p="http://schemas.microsoft.com/office/2006/metadata/properties" xmlns:ns2="c54453c8-bd35-456c-9a88-87d3ce26189b" xmlns:ns3="f193ffdd-5c62-4ddf-9ee5-b92687be29ae" xmlns:ns4="ec5b77a7-3c8c-4b8e-aaf0-d99358d79089" targetNamespace="http://schemas.microsoft.com/office/2006/metadata/properties" ma:root="true" ma:fieldsID="d9f43791e54cc2b9106cc68711477648" ns2:_="" ns3:_="" ns4:_="">
    <xsd:import namespace="c54453c8-bd35-456c-9a88-87d3ce26189b"/>
    <xsd:import namespace="f193ffdd-5c62-4ddf-9ee5-b92687be29ae"/>
    <xsd:import namespace="ec5b77a7-3c8c-4b8e-aaf0-d99358d79089"/>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3:MediaServiceLocation"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4453c8-bd35-456c-9a88-87d3ce2618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f5cea751-1674-401e-9db6-7429445cf7cd}" ma:internalName="TaxCatchAll" ma:showField="CatchAllData" ma:web="c54453c8-bd35-456c-9a88-87d3ce2618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193ffdd-5c62-4ddf-9ee5-b92687be29a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736617d-e744-49dc-8c2a-216fc45cca7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5b77a7-3c8c-4b8e-aaf0-d99358d79089"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file>

<file path=customXml/itemProps1.xml><?xml version="1.0" encoding="utf-8"?>
<ds:datastoreItem xmlns:ds="http://schemas.openxmlformats.org/officeDocument/2006/customXml" ds:itemID="{C4F9C4B7-203A-468F-A331-570EDF2E60E9}"/>
</file>

<file path=customXml/itemProps2.xml><?xml version="1.0" encoding="utf-8"?>
<ds:datastoreItem xmlns:ds="http://schemas.openxmlformats.org/officeDocument/2006/customXml" ds:itemID="{A2439DF3-CE47-491B-A34D-774A66E6B8C6}"/>
</file>

<file path=customXml/itemProps3.xml><?xml version="1.0" encoding="utf-8"?>
<ds:datastoreItem xmlns:ds="http://schemas.openxmlformats.org/officeDocument/2006/customXml" ds:itemID="{0493B636-CEE2-476B-8686-6E198EBA80EE}"/>
</file>

<file path=customXml/itemProps4.xml><?xml version="1.0" encoding="utf-8"?>
<ds:datastoreItem xmlns:ds="http://schemas.openxmlformats.org/officeDocument/2006/customXml" ds:itemID="{DB13AE81-5F67-48B4-83B7-969429D3DE40}"/>
</file>

<file path=docMetadata/LabelInfo.xml><?xml version="1.0" encoding="utf-8"?>
<clbl:labelList xmlns:clbl="http://schemas.microsoft.com/office/2020/mipLabelMetadata">
  <clbl:label id="{b344bd43-a15c-46f1-a818-f847f921129b}" enabled="0" method="" siteId="{b344bd43-a15c-46f1-a818-f847f921129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Yassien, Abdelrahman</dc:creator>
  <cp:keywords/>
  <dc:description/>
  <cp:lastModifiedBy/>
  <cp:revision/>
  <dcterms:created xsi:type="dcterms:W3CDTF">2025-10-28T11:33:42Z</dcterms:created>
  <dcterms:modified xsi:type="dcterms:W3CDTF">2026-10-11T06:34:02Z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{"NWC production server (d8dd937d2b36831ffb7149d619dff468fe3e06f5)":{"ClassificationDisplayName":"Public / عام","ClassificationMode":"ClassificationMode_UserDriven","LabelId":"5","Version":"1"}}</vt:lpwstr>
  </property>
  <property fmtid="{D5CDD505-2E9C-101B-9397-08002B2CF9AE}" pid="3" name="SecloreClassificationDisplayName_d8dd937d2b36831ffb7149d619dff468fe3e06f5">
    <vt:lpwstr>Public / عام</vt:lpwstr>
  </property>
  <property fmtid="{D5CDD505-2E9C-101B-9397-08002B2CF9AE}" pid="4" name="SecloreClassificationHeaderTextValue">
    <vt:lpwstr>Public / عام</vt:lpwstr>
  </property>
  <property fmtid="{D5CDD505-2E9C-101B-9397-08002B2CF9AE}" pid="5" name="SecloreClassificationHeaderColorHex">
    <vt:lpwstr>#91c47d</vt:lpwstr>
  </property>
  <property fmtid="{D5CDD505-2E9C-101B-9397-08002B2CF9AE}" pid="6" name="SecloreClassificationHeaderFontSize">
    <vt:lpwstr>12</vt:lpwstr>
  </property>
  <property fmtid="{D5CDD505-2E9C-101B-9397-08002B2CF9AE}" pid="7" name="SecloreClassificationHeaderAlignment">
    <vt:lpwstr>Center</vt:lpwstr>
  </property>
  <property fmtid="{D5CDD505-2E9C-101B-9397-08002B2CF9AE}" pid="8" name="ContentTypeId">
    <vt:lpwstr>0x0101002410BBE243EFD14E9A9BE630A9F2D4F1</vt:lpwstr>
  </property>
  <property fmtid="{D5CDD505-2E9C-101B-9397-08002B2CF9AE}" pid="9" name="MediaServiceImageTags">
    <vt:lpwstr/>
  </property>
</Properties>
</file>